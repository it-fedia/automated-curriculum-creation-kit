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21E01D1-738A-44D0-8081-4E0DFEFA1312}" xr6:coauthVersionLast="46" xr6:coauthVersionMax="47" xr10:uidLastSave="{00000000-0000-0000-0000-000000000000}"/>
  <bookViews>
    <workbookView xWindow="-108" yWindow="-108" windowWidth="16608" windowHeight="8832" tabRatio="700" xr2:uid="{00000000-000D-0000-FFFF-FFFF00000000}"/>
  </bookViews>
  <sheets>
    <sheet name="УН сводная" sheetId="1" r:id="rId1"/>
    <sheet name="ООП" sheetId="2" r:id="rId2"/>
    <sheet name="Список кафедр" sheetId="3" state="hidden" r:id="rId3"/>
    <sheet name="ОУП" sheetId="4" r:id="rId4"/>
    <sheet name="Нормы УР" sheetId="5" r:id="rId5"/>
    <sheet name="Списки" sheetId="6" r:id="rId6"/>
  </sheets>
  <externalReferences>
    <externalReference r:id="rId7"/>
  </externalReferences>
  <definedNames>
    <definedName name="_xlnm._FilterDatabase" localSheetId="4" hidden="1">'Нормы УР'!$A$4:$H$58</definedName>
    <definedName name="_xlnm._FilterDatabase" localSheetId="1" hidden="1">ООП!$A$2:$N$960</definedName>
    <definedName name="_xlnm._FilterDatabase" localSheetId="3" hidden="1">ОУП!$B$2:$B$1344</definedName>
    <definedName name="_xlnm._FilterDatabase" localSheetId="2" hidden="1">'Список кафедр'!$A$1:$B$284</definedName>
    <definedName name="_xlnm._FilterDatabase" localSheetId="0" hidden="1">'УН сводная'!$A$5:$BM$547</definedName>
    <definedName name="блок_ООП">Списки!$A$77:$A$81</definedName>
    <definedName name="Вид_ПА_ГИА">Списки!$A$36:$A$42</definedName>
    <definedName name="Вид_УР" localSheetId="3">[1]Списки!$A$44:$A$73</definedName>
    <definedName name="Вид_УР">Списки!$A$45:$A$75</definedName>
    <definedName name="ВПИБ" localSheetId="3">'[1]Нормы УР'!$E$19</definedName>
    <definedName name="ВПИБ">'Нормы УР'!$E$19</definedName>
    <definedName name="ВПКП" localSheetId="3">'[1]Нормы УР'!$E$18</definedName>
    <definedName name="ВПКП">'Нормы УР'!$E$18</definedName>
    <definedName name="ВПКР" localSheetId="3">'[1]Нормы УР'!$E$17</definedName>
    <definedName name="ВПКР">'Нормы УР'!$E$17</definedName>
    <definedName name="ВПр" localSheetId="3">'[1]Нормы УР'!$E$31</definedName>
    <definedName name="ВПр">'Нормы УР'!$E$31</definedName>
    <definedName name="Должность" localSheetId="3">[1]Списки!$A$14:$A$19</definedName>
    <definedName name="Должность">Списки!$A$14:$A$20</definedName>
    <definedName name="КдЭк" localSheetId="3">'[1]Нормы УР'!$E$54</definedName>
    <definedName name="КдЭк">'Нормы УР'!$E$54</definedName>
    <definedName name="Код_ООП" localSheetId="1">ООП!$A$3:$M$960</definedName>
    <definedName name="Код_ООП" localSheetId="3">ОУП!$B$3:$B$1344</definedName>
    <definedName name="Код_ООП">ООП!$A$3:$M$960</definedName>
    <definedName name="Компонета">Списки!$A$83:$A$86</definedName>
    <definedName name="КРФРЯ">'Нормы УР'!$E$21</definedName>
    <definedName name="Л">'Нормы УР'!$E$5</definedName>
    <definedName name="ЛР">'Нормы УР'!$E$7</definedName>
    <definedName name="НИРА" localSheetId="3">'[1]Нормы УР'!$E$36</definedName>
    <definedName name="НИРА">'Нормы УР'!$E$36</definedName>
    <definedName name="НИРАИ" localSheetId="3">'[1]Нормы УР'!$E$37</definedName>
    <definedName name="НИРАИ">'Нормы УР'!$E$37</definedName>
    <definedName name="НИРМ" localSheetId="3">'[1]Нормы УР'!$E$33</definedName>
    <definedName name="НИРМ">'Нормы УР'!$E$33</definedName>
    <definedName name="НИРМИн" localSheetId="3">'[1]Нормы УР'!$E$34</definedName>
    <definedName name="НИРМИн">'Нормы УР'!$E$34</definedName>
    <definedName name="НКД" localSheetId="3">'[1]Нормы УР'!#REF!</definedName>
    <definedName name="НКД">'Нормы УР'!#REF!</definedName>
    <definedName name="ОУП">ОУП!$A$1:$B$25</definedName>
    <definedName name="ОфВед" localSheetId="3">'[1]Нормы УР'!$E$27</definedName>
    <definedName name="ОфВед">'Нормы УР'!$E$27</definedName>
    <definedName name="ПАБРС" localSheetId="3">'[1]Нормы УР'!$E$24</definedName>
    <definedName name="ПАБРС">'Нормы УР'!$E$24</definedName>
    <definedName name="ПГ" localSheetId="3">'[1]Нормы УР'!$E$49</definedName>
    <definedName name="ПГ">'Нормы УР'!$E$49</definedName>
    <definedName name="ПЗ">'Нормы УР'!$E$6</definedName>
    <definedName name="ПрИн">'Нормы УР'!$E$8</definedName>
    <definedName name="ПрРЯ">'Нормы УР'!$E$9</definedName>
    <definedName name="ПЭФРЯ">'Нормы УР'!$E$22</definedName>
    <definedName name="РБ" localSheetId="3">'[1]Нормы УР'!$E$38</definedName>
    <definedName name="РБ">'Нормы УР'!$E$38</definedName>
    <definedName name="РБИ" localSheetId="3">'[1]Нормы УР'!$E$39</definedName>
    <definedName name="РБИ">'Нормы УР'!$E$39</definedName>
    <definedName name="РДП" localSheetId="3">'[1]Нормы УР'!$E$44</definedName>
    <definedName name="РДП">'Нормы УР'!$E$44</definedName>
    <definedName name="РефАсп" localSheetId="3">'[1]Нормы УР'!$E$25</definedName>
    <definedName name="РефАсп">'Нормы УР'!$E$25</definedName>
    <definedName name="РефФил" localSheetId="3">'[1]Нормы УР'!$E$26</definedName>
    <definedName name="РефФил">'Нормы УР'!$E$26</definedName>
    <definedName name="РНКР" localSheetId="3">'[1]Нормы УР'!$E$42</definedName>
    <definedName name="РНКР">'Нормы УР'!$E$42</definedName>
    <definedName name="РНКРИн" localSheetId="3">'[1]Нормы УР'!$E$43</definedName>
    <definedName name="РНКРИн">'Нормы УР'!$E$43</definedName>
    <definedName name="РПА" localSheetId="3">'[1]Нормы УР'!$E$35</definedName>
    <definedName name="РПА">'Нормы УР'!$E$35</definedName>
    <definedName name="РПП" localSheetId="3">'[1]Нормы УР'!$E$30</definedName>
    <definedName name="РПП">'Нормы УР'!$E$30</definedName>
    <definedName name="РРА" localSheetId="3">'[1]Нормы УР'!$E$47</definedName>
    <definedName name="РРА">'Нормы УР'!$E$47</definedName>
    <definedName name="РРБ" localSheetId="3">'[1]Нормы УР'!$E$45</definedName>
    <definedName name="РРБ">'Нормы УР'!$E$45</definedName>
    <definedName name="РРСМ" localSheetId="3">'[1]Нормы УР'!$E$46</definedName>
    <definedName name="РРСМ">'Нормы УР'!$E$46</definedName>
    <definedName name="РСМ" localSheetId="3">'[1]Нормы УР'!$E$40</definedName>
    <definedName name="РСМ">'Нормы УР'!$E$40</definedName>
    <definedName name="РСМИ" localSheetId="3">'[1]Нормы УР'!$E$41</definedName>
    <definedName name="РСМИ">'Нормы УР'!$E$41</definedName>
    <definedName name="РукИна" localSheetId="3">'[1]Нормы УР'!$E$56</definedName>
    <definedName name="РукИна">'Нормы УР'!$E$56</definedName>
    <definedName name="РукИСт" localSheetId="3">'[1]Нормы УР'!#REF!</definedName>
    <definedName name="РукИСт">'Нормы УР'!#REF!</definedName>
    <definedName name="РукПЛ" localSheetId="3">'[1]Нормы УР'!$E$57</definedName>
    <definedName name="РукПЛ">'Нормы УР'!$E$57</definedName>
    <definedName name="РукРФа" localSheetId="3">'[1]Нормы УР'!$E$55</definedName>
    <definedName name="РукРФа">'Нормы УР'!$E$55</definedName>
    <definedName name="РукСт" localSheetId="3">'[1]Нормы УР'!#REF!</definedName>
    <definedName name="РукСт">'Нормы УР'!#REF!</definedName>
    <definedName name="РУП" localSheetId="3">'[1]Нормы УР'!$E$28</definedName>
    <definedName name="РУП">'Нормы УР'!$E$28</definedName>
    <definedName name="РУПЛеч" localSheetId="3">'[1]Нормы УР'!$E$29</definedName>
    <definedName name="РУПЛеч">'Нормы УР'!$E$29</definedName>
    <definedName name="СГ" localSheetId="3">'[1]Нормы УР'!$E$53</definedName>
    <definedName name="СГ">'Нормы УР'!$E$53</definedName>
    <definedName name="ТГИЭ" localSheetId="3">'[1]Нормы УР'!$E$48</definedName>
    <definedName name="ТГИЭ">'Нормы УР'!$E$48</definedName>
    <definedName name="ТКиРА" localSheetId="3">'[1]Нормы УР'!$E$20</definedName>
    <definedName name="ТКиРА">'Нормы УР'!$E$20</definedName>
    <definedName name="ТКЛВ" localSheetId="3">'[1]Нормы УР'!$E$15</definedName>
    <definedName name="ТКЛВ">'Нормы УР'!$E$15</definedName>
    <definedName name="ТКЛД" localSheetId="3">'[1]Нормы УР'!$E$14</definedName>
    <definedName name="ТКЛД">'Нормы УР'!$E$14</definedName>
    <definedName name="ТКЛЗ" localSheetId="3">'[1]Нормы УР'!$E$16</definedName>
    <definedName name="ТКЛЗ">'Нормы УР'!$E$16</definedName>
    <definedName name="ТУИС">'Нормы УР'!$E$10</definedName>
    <definedName name="Уровень_ОП">Списки!$A$7:$A$11</definedName>
    <definedName name="Условия_привлечения" localSheetId="3">[1]Списки!$A$22:$A$26</definedName>
    <definedName name="Условия_привлечения">Списки!$A$23:$A$27</definedName>
    <definedName name="УЭФРЯ">'Нормы УР'!$E$23</definedName>
    <definedName name="форма_обучения">Списки!$A$2:$A$4</definedName>
    <definedName name="ЦП" localSheetId="3">'[1]Нормы УР'!$E$32</definedName>
    <definedName name="ЦП">'Нормы УР'!$E$32</definedName>
    <definedName name="ЧГ" localSheetId="3">'[1]Нормы УР'!$E$51</definedName>
    <definedName name="ЧГ">'Нормы УР'!$E$51</definedName>
  </definedNames>
  <calcPr calcId="19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76" i="1" l="1"/>
  <c r="B76" i="1"/>
  <c r="AY76" i="1" s="1"/>
  <c r="D76" i="1"/>
  <c r="E76" i="1"/>
  <c r="F76" i="1"/>
  <c r="X76" i="1"/>
  <c r="AB76" i="1"/>
  <c r="AM76" i="1" s="1"/>
  <c r="AE76" i="1"/>
  <c r="AN76" i="1"/>
  <c r="AP76" i="1"/>
  <c r="AQ76" i="1"/>
  <c r="AR76" i="1" s="1"/>
  <c r="AT76" i="1"/>
  <c r="AU76" i="1"/>
  <c r="AV76" i="1"/>
  <c r="AW76" i="1"/>
  <c r="AX76" i="1"/>
  <c r="BA76" i="1"/>
  <c r="BC76" i="1"/>
  <c r="BD76" i="1"/>
  <c r="BE76" i="1"/>
  <c r="BK76" i="1"/>
  <c r="BL76" i="1" s="1"/>
  <c r="BM76" i="1"/>
  <c r="AG76" i="1" l="1"/>
  <c r="AF76" i="1" s="1"/>
  <c r="AO76" i="1" s="1"/>
  <c r="BH76" i="1" s="1"/>
  <c r="BI76" i="1" s="1"/>
  <c r="AS76" i="1"/>
  <c r="BB76" i="1"/>
  <c r="AZ76" i="1"/>
  <c r="BJ76" i="1" l="1"/>
  <c r="BF76" i="1"/>
  <c r="BJ539" i="1" l="1"/>
  <c r="BH539" i="1"/>
  <c r="BI539" i="1" s="1"/>
  <c r="BE539" i="1"/>
  <c r="BD539" i="1"/>
  <c r="BC539" i="1"/>
  <c r="BA539" i="1"/>
  <c r="AX539" i="1"/>
  <c r="AW539" i="1"/>
  <c r="AV539" i="1"/>
  <c r="AU539" i="1"/>
  <c r="AT539" i="1"/>
  <c r="AQ539" i="1"/>
  <c r="AR539" i="1" s="1"/>
  <c r="AP539" i="1"/>
  <c r="AO539" i="1"/>
  <c r="AN539" i="1"/>
  <c r="AE539" i="1"/>
  <c r="AB539" i="1"/>
  <c r="X539" i="1"/>
  <c r="E539" i="1"/>
  <c r="D539" i="1"/>
  <c r="BE540" i="1"/>
  <c r="BD540" i="1"/>
  <c r="BC540" i="1"/>
  <c r="BA540" i="1"/>
  <c r="AX540" i="1"/>
  <c r="AW540" i="1"/>
  <c r="AV540" i="1"/>
  <c r="AU540" i="1"/>
  <c r="AT540" i="1"/>
  <c r="AQ540" i="1"/>
  <c r="AR540" i="1" s="1"/>
  <c r="AP540" i="1"/>
  <c r="AO540" i="1"/>
  <c r="AN540" i="1"/>
  <c r="AE540" i="1"/>
  <c r="AB540" i="1"/>
  <c r="X540" i="1"/>
  <c r="E540" i="1"/>
  <c r="D540" i="1"/>
  <c r="BE535" i="1"/>
  <c r="BD535" i="1"/>
  <c r="BC535" i="1"/>
  <c r="BA535" i="1"/>
  <c r="AX535" i="1"/>
  <c r="AW535" i="1"/>
  <c r="AV535" i="1"/>
  <c r="AU535" i="1"/>
  <c r="AT535" i="1"/>
  <c r="AQ535" i="1"/>
  <c r="AR535" i="1" s="1"/>
  <c r="AP535" i="1"/>
  <c r="BM535" i="1" s="1"/>
  <c r="AO535" i="1"/>
  <c r="AN535" i="1"/>
  <c r="AE535" i="1"/>
  <c r="AB535" i="1"/>
  <c r="AM535" i="1" s="1"/>
  <c r="X535" i="1"/>
  <c r="E535" i="1"/>
  <c r="D535" i="1"/>
  <c r="BE531" i="1"/>
  <c r="BD531" i="1"/>
  <c r="BC531" i="1"/>
  <c r="BA531" i="1"/>
  <c r="AX531" i="1"/>
  <c r="AW531" i="1"/>
  <c r="AV531" i="1"/>
  <c r="AU531" i="1"/>
  <c r="AT531" i="1"/>
  <c r="AQ531" i="1"/>
  <c r="AR531" i="1" s="1"/>
  <c r="AP531" i="1"/>
  <c r="BM531" i="1" s="1"/>
  <c r="AO531" i="1"/>
  <c r="AN531" i="1"/>
  <c r="AE531" i="1"/>
  <c r="AB531" i="1"/>
  <c r="AM531" i="1" s="1"/>
  <c r="X531" i="1"/>
  <c r="E531" i="1"/>
  <c r="D531" i="1"/>
  <c r="BJ530" i="1"/>
  <c r="BH530" i="1"/>
  <c r="BI530" i="1" s="1"/>
  <c r="BE530" i="1"/>
  <c r="BD530" i="1"/>
  <c r="BC530" i="1"/>
  <c r="BA530" i="1"/>
  <c r="AX530" i="1"/>
  <c r="AW530" i="1"/>
  <c r="AV530" i="1"/>
  <c r="AU530" i="1"/>
  <c r="AT530" i="1"/>
  <c r="AQ530" i="1"/>
  <c r="AR530" i="1" s="1"/>
  <c r="AP530" i="1"/>
  <c r="AO530" i="1"/>
  <c r="AN530" i="1"/>
  <c r="AE530" i="1"/>
  <c r="AB530" i="1"/>
  <c r="AM530" i="1" s="1"/>
  <c r="X530" i="1"/>
  <c r="E530" i="1"/>
  <c r="D530" i="1"/>
  <c r="BM522" i="1"/>
  <c r="BK522" i="1"/>
  <c r="BL522" i="1" s="1"/>
  <c r="BE522" i="1"/>
  <c r="BD522" i="1"/>
  <c r="BC522" i="1"/>
  <c r="BA522" i="1"/>
  <c r="AX522" i="1"/>
  <c r="AW522" i="1"/>
  <c r="AV522" i="1"/>
  <c r="AU522" i="1"/>
  <c r="AT522" i="1"/>
  <c r="AQ522" i="1"/>
  <c r="AP522" i="1"/>
  <c r="AO522" i="1"/>
  <c r="AN522" i="1"/>
  <c r="AE522" i="1"/>
  <c r="AB522" i="1"/>
  <c r="AM522" i="1" s="1"/>
  <c r="X522" i="1"/>
  <c r="F522" i="1"/>
  <c r="E522" i="1"/>
  <c r="D522" i="1"/>
  <c r="BE515" i="1"/>
  <c r="BD515" i="1"/>
  <c r="BC515" i="1"/>
  <c r="BA515" i="1"/>
  <c r="AX515" i="1"/>
  <c r="AW515" i="1"/>
  <c r="AV515" i="1"/>
  <c r="AU515" i="1"/>
  <c r="AT515" i="1"/>
  <c r="AQ515" i="1"/>
  <c r="AR515" i="1" s="1"/>
  <c r="AP515" i="1"/>
  <c r="BJ515" i="1" s="1"/>
  <c r="AO515" i="1"/>
  <c r="AN515" i="1"/>
  <c r="AE515" i="1"/>
  <c r="AB515" i="1"/>
  <c r="AM515" i="1" s="1"/>
  <c r="X515" i="1"/>
  <c r="E515" i="1"/>
  <c r="D515" i="1"/>
  <c r="BJ538" i="1"/>
  <c r="BH538" i="1"/>
  <c r="BI538" i="1" s="1"/>
  <c r="BE538" i="1"/>
  <c r="BD538" i="1"/>
  <c r="BC538" i="1"/>
  <c r="BA538" i="1"/>
  <c r="AX538" i="1"/>
  <c r="AV538" i="1"/>
  <c r="AU538" i="1"/>
  <c r="AT538" i="1"/>
  <c r="AQ538" i="1"/>
  <c r="AR538" i="1" s="1"/>
  <c r="AP538" i="1"/>
  <c r="AO538" i="1"/>
  <c r="AN538" i="1"/>
  <c r="AE538" i="1"/>
  <c r="AB538" i="1"/>
  <c r="X538" i="1"/>
  <c r="F538" i="1"/>
  <c r="E538" i="1"/>
  <c r="D538" i="1"/>
  <c r="D528" i="1"/>
  <c r="E528" i="1"/>
  <c r="F528" i="1"/>
  <c r="X528" i="1"/>
  <c r="AB528" i="1"/>
  <c r="AW528" i="1" s="1"/>
  <c r="AE528" i="1"/>
  <c r="AN528" i="1"/>
  <c r="AO528" i="1"/>
  <c r="AP528" i="1"/>
  <c r="AQ528" i="1"/>
  <c r="AR528" i="1" s="1"/>
  <c r="AT528" i="1"/>
  <c r="AU528" i="1"/>
  <c r="AV528" i="1"/>
  <c r="AX528" i="1"/>
  <c r="BA528" i="1"/>
  <c r="BC528" i="1"/>
  <c r="BD528" i="1"/>
  <c r="BE528" i="1"/>
  <c r="BH528" i="1"/>
  <c r="BI528" i="1" s="1"/>
  <c r="BJ528" i="1"/>
  <c r="M947" i="2"/>
  <c r="L947" i="2"/>
  <c r="K947" i="2"/>
  <c r="M946" i="2"/>
  <c r="L946" i="2"/>
  <c r="K946" i="2"/>
  <c r="M945" i="2"/>
  <c r="L945" i="2"/>
  <c r="K945" i="2"/>
  <c r="M944" i="2"/>
  <c r="L944" i="2"/>
  <c r="K944" i="2"/>
  <c r="M943" i="2"/>
  <c r="L943" i="2"/>
  <c r="K943" i="2"/>
  <c r="M942" i="2"/>
  <c r="L942" i="2"/>
  <c r="K942" i="2"/>
  <c r="M941" i="2"/>
  <c r="L941" i="2"/>
  <c r="K941" i="2"/>
  <c r="M940" i="2"/>
  <c r="L940" i="2"/>
  <c r="K940" i="2"/>
  <c r="M939" i="2"/>
  <c r="L939" i="2"/>
  <c r="K939" i="2"/>
  <c r="M938" i="2"/>
  <c r="L938" i="2"/>
  <c r="K938" i="2"/>
  <c r="M937" i="2"/>
  <c r="L937" i="2"/>
  <c r="K937" i="2"/>
  <c r="M936" i="2"/>
  <c r="L936" i="2"/>
  <c r="K936" i="2"/>
  <c r="M935" i="2"/>
  <c r="L935" i="2"/>
  <c r="K935" i="2"/>
  <c r="M934" i="2"/>
  <c r="L934" i="2"/>
  <c r="K934" i="2"/>
  <c r="M933" i="2"/>
  <c r="L933" i="2"/>
  <c r="K933" i="2"/>
  <c r="M932" i="2"/>
  <c r="L932" i="2"/>
  <c r="K932" i="2"/>
  <c r="M931" i="2"/>
  <c r="L931" i="2"/>
  <c r="K931" i="2"/>
  <c r="M930" i="2"/>
  <c r="L930" i="2"/>
  <c r="K930" i="2"/>
  <c r="M929" i="2"/>
  <c r="L929" i="2"/>
  <c r="K929" i="2"/>
  <c r="M928" i="2"/>
  <c r="L928" i="2"/>
  <c r="K928" i="2"/>
  <c r="M927" i="2"/>
  <c r="L927" i="2"/>
  <c r="K927" i="2"/>
  <c r="M926" i="2"/>
  <c r="L926" i="2"/>
  <c r="K926" i="2"/>
  <c r="M925" i="2"/>
  <c r="L925" i="2"/>
  <c r="K925" i="2"/>
  <c r="M924" i="2"/>
  <c r="L924" i="2"/>
  <c r="K924" i="2"/>
  <c r="M923" i="2"/>
  <c r="L923" i="2"/>
  <c r="K923" i="2"/>
  <c r="M922" i="2"/>
  <c r="L922" i="2"/>
  <c r="K922" i="2"/>
  <c r="M921" i="2"/>
  <c r="L921" i="2"/>
  <c r="K921" i="2"/>
  <c r="M920" i="2"/>
  <c r="L920" i="2"/>
  <c r="K920" i="2"/>
  <c r="M919" i="2"/>
  <c r="L919" i="2"/>
  <c r="K919" i="2"/>
  <c r="M918" i="2"/>
  <c r="L918" i="2"/>
  <c r="K918" i="2"/>
  <c r="M917" i="2"/>
  <c r="L917" i="2"/>
  <c r="K917" i="2"/>
  <c r="M916" i="2"/>
  <c r="L916" i="2"/>
  <c r="K916" i="2"/>
  <c r="M915" i="2"/>
  <c r="L915" i="2"/>
  <c r="K915" i="2"/>
  <c r="M914" i="2"/>
  <c r="L914" i="2"/>
  <c r="K914" i="2"/>
  <c r="M913" i="2"/>
  <c r="L913" i="2"/>
  <c r="K913" i="2"/>
  <c r="M912" i="2"/>
  <c r="L912" i="2"/>
  <c r="K912" i="2"/>
  <c r="M911" i="2"/>
  <c r="L911" i="2"/>
  <c r="K911" i="2"/>
  <c r="M910" i="2"/>
  <c r="L910" i="2"/>
  <c r="K910" i="2"/>
  <c r="M909" i="2"/>
  <c r="L909" i="2"/>
  <c r="K909" i="2"/>
  <c r="M908" i="2"/>
  <c r="L908" i="2"/>
  <c r="K908" i="2"/>
  <c r="M907" i="2"/>
  <c r="L907" i="2"/>
  <c r="K907" i="2"/>
  <c r="M906" i="2"/>
  <c r="L906" i="2"/>
  <c r="K906" i="2"/>
  <c r="M905" i="2"/>
  <c r="L905" i="2"/>
  <c r="K905" i="2"/>
  <c r="M904" i="2"/>
  <c r="L904" i="2"/>
  <c r="K904" i="2"/>
  <c r="M903" i="2"/>
  <c r="L903" i="2"/>
  <c r="K903" i="2"/>
  <c r="M902" i="2"/>
  <c r="L902" i="2"/>
  <c r="K902" i="2"/>
  <c r="M901" i="2"/>
  <c r="L901" i="2"/>
  <c r="K901" i="2"/>
  <c r="M900" i="2"/>
  <c r="L900" i="2"/>
  <c r="K900" i="2"/>
  <c r="M899" i="2"/>
  <c r="L899" i="2"/>
  <c r="K899" i="2"/>
  <c r="M898" i="2"/>
  <c r="L898" i="2"/>
  <c r="K898" i="2"/>
  <c r="M897" i="2"/>
  <c r="L897" i="2"/>
  <c r="K897" i="2"/>
  <c r="M896" i="2"/>
  <c r="L896" i="2"/>
  <c r="K896" i="2"/>
  <c r="M895" i="2"/>
  <c r="L895" i="2"/>
  <c r="K895" i="2"/>
  <c r="M894" i="2"/>
  <c r="L894" i="2"/>
  <c r="K894" i="2"/>
  <c r="M893" i="2"/>
  <c r="L893" i="2"/>
  <c r="K893" i="2"/>
  <c r="M892" i="2"/>
  <c r="L892" i="2"/>
  <c r="K892" i="2"/>
  <c r="M891" i="2"/>
  <c r="L891" i="2"/>
  <c r="K891" i="2"/>
  <c r="M890" i="2"/>
  <c r="L890" i="2"/>
  <c r="K890" i="2"/>
  <c r="M889" i="2"/>
  <c r="L889" i="2"/>
  <c r="K889" i="2"/>
  <c r="M888" i="2"/>
  <c r="L888" i="2"/>
  <c r="K888" i="2"/>
  <c r="M887" i="2"/>
  <c r="L887" i="2"/>
  <c r="K887" i="2"/>
  <c r="M886" i="2"/>
  <c r="L886" i="2"/>
  <c r="K886" i="2"/>
  <c r="M885" i="2"/>
  <c r="L885" i="2"/>
  <c r="K885" i="2"/>
  <c r="M884" i="2"/>
  <c r="L884" i="2"/>
  <c r="K884" i="2"/>
  <c r="M883" i="2"/>
  <c r="L883" i="2"/>
  <c r="K883" i="2"/>
  <c r="M882" i="2"/>
  <c r="L882" i="2"/>
  <c r="K882" i="2"/>
  <c r="M881" i="2"/>
  <c r="L881" i="2"/>
  <c r="K881" i="2"/>
  <c r="M880" i="2"/>
  <c r="L880" i="2"/>
  <c r="K880" i="2"/>
  <c r="M879" i="2"/>
  <c r="L879" i="2"/>
  <c r="K879" i="2"/>
  <c r="M878" i="2"/>
  <c r="L878" i="2"/>
  <c r="K878" i="2"/>
  <c r="M877" i="2"/>
  <c r="L877" i="2"/>
  <c r="K877" i="2"/>
  <c r="M876" i="2"/>
  <c r="L876" i="2"/>
  <c r="K876" i="2"/>
  <c r="M875" i="2"/>
  <c r="L875" i="2"/>
  <c r="K875" i="2"/>
  <c r="M874" i="2"/>
  <c r="L874" i="2"/>
  <c r="K874" i="2"/>
  <c r="M873" i="2"/>
  <c r="L873" i="2"/>
  <c r="K873" i="2"/>
  <c r="M872" i="2"/>
  <c r="L872" i="2"/>
  <c r="K872" i="2"/>
  <c r="M871" i="2"/>
  <c r="L871" i="2"/>
  <c r="K871" i="2"/>
  <c r="M870" i="2"/>
  <c r="L870" i="2"/>
  <c r="K870" i="2"/>
  <c r="M869" i="2"/>
  <c r="L869" i="2"/>
  <c r="K869" i="2"/>
  <c r="M868" i="2"/>
  <c r="L868" i="2"/>
  <c r="K868" i="2"/>
  <c r="M867" i="2"/>
  <c r="L867" i="2"/>
  <c r="K867" i="2"/>
  <c r="M866" i="2"/>
  <c r="L866" i="2"/>
  <c r="K866" i="2"/>
  <c r="M865" i="2"/>
  <c r="L865" i="2"/>
  <c r="K865" i="2"/>
  <c r="M864" i="2"/>
  <c r="L864" i="2"/>
  <c r="K864" i="2"/>
  <c r="M863" i="2"/>
  <c r="L863" i="2"/>
  <c r="K863" i="2"/>
  <c r="M862" i="2"/>
  <c r="L862" i="2"/>
  <c r="K862" i="2"/>
  <c r="M861" i="2"/>
  <c r="L861" i="2"/>
  <c r="K861" i="2"/>
  <c r="M860" i="2"/>
  <c r="L860" i="2"/>
  <c r="K860" i="2"/>
  <c r="M859" i="2"/>
  <c r="L859" i="2"/>
  <c r="K859" i="2"/>
  <c r="M858" i="2"/>
  <c r="L858" i="2"/>
  <c r="K858" i="2"/>
  <c r="M857" i="2"/>
  <c r="L857" i="2"/>
  <c r="K857" i="2"/>
  <c r="M856" i="2"/>
  <c r="L856" i="2"/>
  <c r="K856" i="2"/>
  <c r="M855" i="2"/>
  <c r="L855" i="2"/>
  <c r="K855" i="2"/>
  <c r="M854" i="2"/>
  <c r="L854" i="2"/>
  <c r="K854" i="2"/>
  <c r="M853" i="2"/>
  <c r="L853" i="2"/>
  <c r="K853" i="2"/>
  <c r="M852" i="2"/>
  <c r="L852" i="2"/>
  <c r="K852" i="2"/>
  <c r="M851" i="2"/>
  <c r="L851" i="2"/>
  <c r="K851" i="2"/>
  <c r="M850" i="2"/>
  <c r="L850" i="2"/>
  <c r="K850" i="2"/>
  <c r="M849" i="2"/>
  <c r="L849" i="2"/>
  <c r="K849" i="2"/>
  <c r="M848" i="2"/>
  <c r="L848" i="2"/>
  <c r="K848" i="2"/>
  <c r="M847" i="2"/>
  <c r="L847" i="2"/>
  <c r="K847" i="2"/>
  <c r="M846" i="2"/>
  <c r="L846" i="2"/>
  <c r="K846" i="2"/>
  <c r="M845" i="2"/>
  <c r="L845" i="2"/>
  <c r="K845" i="2"/>
  <c r="M844" i="2"/>
  <c r="L844" i="2"/>
  <c r="K844" i="2"/>
  <c r="M843" i="2"/>
  <c r="L843" i="2"/>
  <c r="K843" i="2"/>
  <c r="M842" i="2"/>
  <c r="L842" i="2"/>
  <c r="K842" i="2"/>
  <c r="M841" i="2"/>
  <c r="L841" i="2"/>
  <c r="K841" i="2"/>
  <c r="M840" i="2"/>
  <c r="L840" i="2"/>
  <c r="K840" i="2"/>
  <c r="M839" i="2"/>
  <c r="L839" i="2"/>
  <c r="K839" i="2"/>
  <c r="M838" i="2"/>
  <c r="L838" i="2"/>
  <c r="K838" i="2"/>
  <c r="M837" i="2"/>
  <c r="L837" i="2"/>
  <c r="K837" i="2"/>
  <c r="M836" i="2"/>
  <c r="L836" i="2"/>
  <c r="K836" i="2"/>
  <c r="M835" i="2"/>
  <c r="L835" i="2"/>
  <c r="K835" i="2"/>
  <c r="M834" i="2"/>
  <c r="L834" i="2"/>
  <c r="K834" i="2"/>
  <c r="M833" i="2"/>
  <c r="L833" i="2"/>
  <c r="K833" i="2"/>
  <c r="M832" i="2"/>
  <c r="L832" i="2"/>
  <c r="K832" i="2"/>
  <c r="M831" i="2"/>
  <c r="L831" i="2"/>
  <c r="K831" i="2"/>
  <c r="M830" i="2"/>
  <c r="L830" i="2"/>
  <c r="K830" i="2"/>
  <c r="M829" i="2"/>
  <c r="L829" i="2"/>
  <c r="K829" i="2"/>
  <c r="M828" i="2"/>
  <c r="L828" i="2"/>
  <c r="K828" i="2"/>
  <c r="M827" i="2"/>
  <c r="L827" i="2"/>
  <c r="K827" i="2"/>
  <c r="M826" i="2"/>
  <c r="L826" i="2"/>
  <c r="K826" i="2"/>
  <c r="M825" i="2"/>
  <c r="L825" i="2"/>
  <c r="K825" i="2"/>
  <c r="M824" i="2"/>
  <c r="L824" i="2"/>
  <c r="K824" i="2"/>
  <c r="M823" i="2"/>
  <c r="L823" i="2"/>
  <c r="K823" i="2"/>
  <c r="M822" i="2"/>
  <c r="L822" i="2"/>
  <c r="K822" i="2"/>
  <c r="M821" i="2"/>
  <c r="L821" i="2"/>
  <c r="K821" i="2"/>
  <c r="M820" i="2"/>
  <c r="L820" i="2"/>
  <c r="K820" i="2"/>
  <c r="M819" i="2"/>
  <c r="L819" i="2"/>
  <c r="K819" i="2"/>
  <c r="M818" i="2"/>
  <c r="L818" i="2"/>
  <c r="K818" i="2"/>
  <c r="M817" i="2"/>
  <c r="L817" i="2"/>
  <c r="K817" i="2"/>
  <c r="M816" i="2"/>
  <c r="L816" i="2"/>
  <c r="K816" i="2"/>
  <c r="M815" i="2"/>
  <c r="L815" i="2"/>
  <c r="K815" i="2"/>
  <c r="M814" i="2"/>
  <c r="L814" i="2"/>
  <c r="K814" i="2"/>
  <c r="M813" i="2"/>
  <c r="L813" i="2"/>
  <c r="K813" i="2"/>
  <c r="M812" i="2"/>
  <c r="L812" i="2"/>
  <c r="K812" i="2"/>
  <c r="M811" i="2"/>
  <c r="L811" i="2"/>
  <c r="K811" i="2"/>
  <c r="M810" i="2"/>
  <c r="L810" i="2"/>
  <c r="K810" i="2"/>
  <c r="M809" i="2"/>
  <c r="L809" i="2"/>
  <c r="K809" i="2"/>
  <c r="M808" i="2"/>
  <c r="L808" i="2"/>
  <c r="K808" i="2"/>
  <c r="M807" i="2"/>
  <c r="L807" i="2"/>
  <c r="K807" i="2"/>
  <c r="M806" i="2"/>
  <c r="L806" i="2"/>
  <c r="K806" i="2"/>
  <c r="M805" i="2"/>
  <c r="L805" i="2"/>
  <c r="K805" i="2"/>
  <c r="M804" i="2"/>
  <c r="L804" i="2"/>
  <c r="K804" i="2"/>
  <c r="M803" i="2"/>
  <c r="L803" i="2"/>
  <c r="K803" i="2"/>
  <c r="M802" i="2"/>
  <c r="L802" i="2"/>
  <c r="K802" i="2"/>
  <c r="M801" i="2"/>
  <c r="L801" i="2"/>
  <c r="K801" i="2"/>
  <c r="M800" i="2"/>
  <c r="L800" i="2"/>
  <c r="K800" i="2"/>
  <c r="M799" i="2"/>
  <c r="L799" i="2"/>
  <c r="K799" i="2"/>
  <c r="M798" i="2"/>
  <c r="L798" i="2"/>
  <c r="K798" i="2"/>
  <c r="M797" i="2"/>
  <c r="L797" i="2"/>
  <c r="K797" i="2"/>
  <c r="M796" i="2"/>
  <c r="L796" i="2"/>
  <c r="K796" i="2"/>
  <c r="M795" i="2"/>
  <c r="L795" i="2"/>
  <c r="K795" i="2"/>
  <c r="M794" i="2"/>
  <c r="L794" i="2"/>
  <c r="K794" i="2"/>
  <c r="M793" i="2"/>
  <c r="L793" i="2"/>
  <c r="K793" i="2"/>
  <c r="M792" i="2"/>
  <c r="L792" i="2"/>
  <c r="K792" i="2"/>
  <c r="M791" i="2"/>
  <c r="L791" i="2"/>
  <c r="K791" i="2"/>
  <c r="M790" i="2"/>
  <c r="L790" i="2"/>
  <c r="K790" i="2"/>
  <c r="M789" i="2"/>
  <c r="L789" i="2"/>
  <c r="K789" i="2"/>
  <c r="M788" i="2"/>
  <c r="L788" i="2"/>
  <c r="K788" i="2"/>
  <c r="M787" i="2"/>
  <c r="L787" i="2"/>
  <c r="K787" i="2"/>
  <c r="M786" i="2"/>
  <c r="L786" i="2"/>
  <c r="K786" i="2"/>
  <c r="M785" i="2"/>
  <c r="L785" i="2"/>
  <c r="K785" i="2"/>
  <c r="M784" i="2"/>
  <c r="L784" i="2"/>
  <c r="K784" i="2"/>
  <c r="M783" i="2"/>
  <c r="L783" i="2"/>
  <c r="K783" i="2"/>
  <c r="M782" i="2"/>
  <c r="L782" i="2"/>
  <c r="K782" i="2"/>
  <c r="M781" i="2"/>
  <c r="L781" i="2"/>
  <c r="K781" i="2"/>
  <c r="M780" i="2"/>
  <c r="L780" i="2"/>
  <c r="K780" i="2"/>
  <c r="M779" i="2"/>
  <c r="L779" i="2"/>
  <c r="K779" i="2"/>
  <c r="M778" i="2"/>
  <c r="L778" i="2"/>
  <c r="K778" i="2"/>
  <c r="M777" i="2"/>
  <c r="L777" i="2"/>
  <c r="K777" i="2"/>
  <c r="M776" i="2"/>
  <c r="L776" i="2"/>
  <c r="K776" i="2"/>
  <c r="M775" i="2"/>
  <c r="L775" i="2"/>
  <c r="K775" i="2"/>
  <c r="M774" i="2"/>
  <c r="L774" i="2"/>
  <c r="K774" i="2"/>
  <c r="M773" i="2"/>
  <c r="L773" i="2"/>
  <c r="K773" i="2"/>
  <c r="M772" i="2"/>
  <c r="L772" i="2"/>
  <c r="K772" i="2"/>
  <c r="M771" i="2"/>
  <c r="L771" i="2"/>
  <c r="K771" i="2"/>
  <c r="M770" i="2"/>
  <c r="L770" i="2"/>
  <c r="K770" i="2"/>
  <c r="M769" i="2"/>
  <c r="L769" i="2"/>
  <c r="K769" i="2"/>
  <c r="M768" i="2"/>
  <c r="L768" i="2"/>
  <c r="K768" i="2"/>
  <c r="M767" i="2"/>
  <c r="L767" i="2"/>
  <c r="K767" i="2"/>
  <c r="M766" i="2"/>
  <c r="L766" i="2"/>
  <c r="K766" i="2"/>
  <c r="M765" i="2"/>
  <c r="L765" i="2"/>
  <c r="K765" i="2"/>
  <c r="M764" i="2"/>
  <c r="L764" i="2"/>
  <c r="K764" i="2"/>
  <c r="M763" i="2"/>
  <c r="L763" i="2"/>
  <c r="K763" i="2"/>
  <c r="M762" i="2"/>
  <c r="L762" i="2"/>
  <c r="K762" i="2"/>
  <c r="M761" i="2"/>
  <c r="L761" i="2"/>
  <c r="K761" i="2"/>
  <c r="M760" i="2"/>
  <c r="L760" i="2"/>
  <c r="K760" i="2"/>
  <c r="M759" i="2"/>
  <c r="L759" i="2"/>
  <c r="K759" i="2"/>
  <c r="M758" i="2"/>
  <c r="L758" i="2"/>
  <c r="K758" i="2"/>
  <c r="M757" i="2"/>
  <c r="L757" i="2"/>
  <c r="K757" i="2"/>
  <c r="M756" i="2"/>
  <c r="L756" i="2"/>
  <c r="K756" i="2"/>
  <c r="M755" i="2"/>
  <c r="L755" i="2"/>
  <c r="K755" i="2"/>
  <c r="M754" i="2"/>
  <c r="L754" i="2"/>
  <c r="K754" i="2"/>
  <c r="M753" i="2"/>
  <c r="L753" i="2"/>
  <c r="K753" i="2"/>
  <c r="M752" i="2"/>
  <c r="L752" i="2"/>
  <c r="K752" i="2"/>
  <c r="M751" i="2"/>
  <c r="L751" i="2"/>
  <c r="K751" i="2"/>
  <c r="M750" i="2"/>
  <c r="L750" i="2"/>
  <c r="K750" i="2"/>
  <c r="M749" i="2"/>
  <c r="L749" i="2"/>
  <c r="K749" i="2"/>
  <c r="M748" i="2"/>
  <c r="L748" i="2"/>
  <c r="K748" i="2"/>
  <c r="M747" i="2"/>
  <c r="L747" i="2"/>
  <c r="K747" i="2"/>
  <c r="M746" i="2"/>
  <c r="L746" i="2"/>
  <c r="K746" i="2"/>
  <c r="M745" i="2"/>
  <c r="L745" i="2"/>
  <c r="K745" i="2"/>
  <c r="M744" i="2"/>
  <c r="L744" i="2"/>
  <c r="K744" i="2"/>
  <c r="M743" i="2"/>
  <c r="L743" i="2"/>
  <c r="K743" i="2"/>
  <c r="M742" i="2"/>
  <c r="L742" i="2"/>
  <c r="K742" i="2"/>
  <c r="M741" i="2"/>
  <c r="L741" i="2"/>
  <c r="K741" i="2"/>
  <c r="M740" i="2"/>
  <c r="L740" i="2"/>
  <c r="K740" i="2"/>
  <c r="M739" i="2"/>
  <c r="L739" i="2"/>
  <c r="K739" i="2"/>
  <c r="M738" i="2"/>
  <c r="L738" i="2"/>
  <c r="K738" i="2"/>
  <c r="M737" i="2"/>
  <c r="L737" i="2"/>
  <c r="K737" i="2"/>
  <c r="M736" i="2"/>
  <c r="L736" i="2"/>
  <c r="K736" i="2"/>
  <c r="M735" i="2"/>
  <c r="L735" i="2"/>
  <c r="K735" i="2"/>
  <c r="M734" i="2"/>
  <c r="L734" i="2"/>
  <c r="K734" i="2"/>
  <c r="M733" i="2"/>
  <c r="L733" i="2"/>
  <c r="K733" i="2"/>
  <c r="M732" i="2"/>
  <c r="L732" i="2"/>
  <c r="K732" i="2"/>
  <c r="M731" i="2"/>
  <c r="L731" i="2"/>
  <c r="K731" i="2"/>
  <c r="M730" i="2"/>
  <c r="L730" i="2"/>
  <c r="K730" i="2"/>
  <c r="M729" i="2"/>
  <c r="L729" i="2"/>
  <c r="K729" i="2"/>
  <c r="M728" i="2"/>
  <c r="L728" i="2"/>
  <c r="K728" i="2"/>
  <c r="M727" i="2"/>
  <c r="L727" i="2"/>
  <c r="K727" i="2"/>
  <c r="M726" i="2"/>
  <c r="L726" i="2"/>
  <c r="K726" i="2"/>
  <c r="M725" i="2"/>
  <c r="L725" i="2"/>
  <c r="K725" i="2"/>
  <c r="M724" i="2"/>
  <c r="L724" i="2"/>
  <c r="K724" i="2"/>
  <c r="M723" i="2"/>
  <c r="L723" i="2"/>
  <c r="K723" i="2"/>
  <c r="M722" i="2"/>
  <c r="L722" i="2"/>
  <c r="K722" i="2"/>
  <c r="M721" i="2"/>
  <c r="L721" i="2"/>
  <c r="K721" i="2"/>
  <c r="M720" i="2"/>
  <c r="L720" i="2"/>
  <c r="K720" i="2"/>
  <c r="M719" i="2"/>
  <c r="L719" i="2"/>
  <c r="K719" i="2"/>
  <c r="M718" i="2"/>
  <c r="L718" i="2"/>
  <c r="K718" i="2"/>
  <c r="M717" i="2"/>
  <c r="L717" i="2"/>
  <c r="K717" i="2"/>
  <c r="M716" i="2"/>
  <c r="L716" i="2"/>
  <c r="K716" i="2"/>
  <c r="M715" i="2"/>
  <c r="L715" i="2"/>
  <c r="K715" i="2"/>
  <c r="M714" i="2"/>
  <c r="L714" i="2"/>
  <c r="K714" i="2"/>
  <c r="M713" i="2"/>
  <c r="L713" i="2"/>
  <c r="K713" i="2"/>
  <c r="M712" i="2"/>
  <c r="L712" i="2"/>
  <c r="K712" i="2"/>
  <c r="M711" i="2"/>
  <c r="L711" i="2"/>
  <c r="K711" i="2"/>
  <c r="M710" i="2"/>
  <c r="L710" i="2"/>
  <c r="K710" i="2"/>
  <c r="M709" i="2"/>
  <c r="L709" i="2"/>
  <c r="K709" i="2"/>
  <c r="M708" i="2"/>
  <c r="L708" i="2"/>
  <c r="K708" i="2"/>
  <c r="M707" i="2"/>
  <c r="L707" i="2"/>
  <c r="K707" i="2"/>
  <c r="M706" i="2"/>
  <c r="F535" i="1" s="1"/>
  <c r="L706" i="2"/>
  <c r="B539" i="1" s="1"/>
  <c r="AZ539" i="1" s="1"/>
  <c r="K706" i="2"/>
  <c r="A535" i="1" s="1"/>
  <c r="M705" i="2"/>
  <c r="L705" i="2"/>
  <c r="K705" i="2"/>
  <c r="M704" i="2"/>
  <c r="L704" i="2"/>
  <c r="K704" i="2"/>
  <c r="M703" i="2"/>
  <c r="L703" i="2"/>
  <c r="K703" i="2"/>
  <c r="M702" i="2"/>
  <c r="L702" i="2"/>
  <c r="K702" i="2"/>
  <c r="M701" i="2"/>
  <c r="L701" i="2"/>
  <c r="K701" i="2"/>
  <c r="M700" i="2"/>
  <c r="L700" i="2"/>
  <c r="K700" i="2"/>
  <c r="M699" i="2"/>
  <c r="F530" i="1" s="1"/>
  <c r="L699" i="2"/>
  <c r="B531" i="1" s="1"/>
  <c r="BB531" i="1" s="1"/>
  <c r="K699" i="2"/>
  <c r="A530" i="1" s="1"/>
  <c r="M698" i="2"/>
  <c r="L698" i="2"/>
  <c r="B522" i="1" s="1"/>
  <c r="BB522" i="1" s="1"/>
  <c r="K698" i="2"/>
  <c r="M697" i="2"/>
  <c r="L697" i="2"/>
  <c r="K697" i="2"/>
  <c r="M696" i="2"/>
  <c r="L696" i="2"/>
  <c r="K696" i="2"/>
  <c r="M695" i="2"/>
  <c r="L695" i="2"/>
  <c r="K695" i="2"/>
  <c r="M694" i="2"/>
  <c r="L694" i="2"/>
  <c r="K694" i="2"/>
  <c r="M693" i="2"/>
  <c r="L693" i="2"/>
  <c r="K693" i="2"/>
  <c r="M692" i="2"/>
  <c r="L692" i="2"/>
  <c r="K692" i="2"/>
  <c r="M691" i="2"/>
  <c r="L691" i="2"/>
  <c r="K691" i="2"/>
  <c r="M690" i="2"/>
  <c r="L690" i="2"/>
  <c r="K690" i="2"/>
  <c r="M689" i="2"/>
  <c r="L689" i="2"/>
  <c r="K689" i="2"/>
  <c r="M688" i="2"/>
  <c r="L688" i="2"/>
  <c r="K688" i="2"/>
  <c r="M687" i="2"/>
  <c r="L687" i="2"/>
  <c r="K687" i="2"/>
  <c r="M686" i="2"/>
  <c r="L686" i="2"/>
  <c r="K686" i="2"/>
  <c r="M685" i="2"/>
  <c r="L685" i="2"/>
  <c r="K685" i="2"/>
  <c r="M684" i="2"/>
  <c r="L684" i="2"/>
  <c r="K684" i="2"/>
  <c r="M683" i="2"/>
  <c r="L683" i="2"/>
  <c r="B512" i="1" s="1"/>
  <c r="K683" i="2"/>
  <c r="M682" i="2"/>
  <c r="L682" i="2"/>
  <c r="K682" i="2"/>
  <c r="A492" i="1" s="1"/>
  <c r="M681" i="2"/>
  <c r="L681" i="2"/>
  <c r="K681" i="2"/>
  <c r="M680" i="2"/>
  <c r="L680" i="2"/>
  <c r="K680" i="2"/>
  <c r="M679" i="2"/>
  <c r="L679" i="2"/>
  <c r="K679" i="2"/>
  <c r="M678" i="2"/>
  <c r="L678" i="2"/>
  <c r="K678" i="2"/>
  <c r="M677" i="2"/>
  <c r="L677" i="2"/>
  <c r="K677" i="2"/>
  <c r="M676" i="2"/>
  <c r="F425" i="1" s="1"/>
  <c r="L676" i="2"/>
  <c r="K676" i="2"/>
  <c r="M675" i="2"/>
  <c r="L675" i="2"/>
  <c r="K675" i="2"/>
  <c r="M674" i="2"/>
  <c r="L674" i="2"/>
  <c r="K674" i="2"/>
  <c r="M673" i="2"/>
  <c r="L673" i="2"/>
  <c r="K673" i="2"/>
  <c r="M672" i="2"/>
  <c r="L672" i="2"/>
  <c r="K672" i="2"/>
  <c r="M671" i="2"/>
  <c r="L671" i="2"/>
  <c r="K671" i="2"/>
  <c r="M670" i="2"/>
  <c r="L670" i="2"/>
  <c r="K670" i="2"/>
  <c r="M669" i="2"/>
  <c r="L669" i="2"/>
  <c r="K669" i="2"/>
  <c r="M668" i="2"/>
  <c r="L668" i="2"/>
  <c r="K668" i="2"/>
  <c r="M667" i="2"/>
  <c r="L667" i="2"/>
  <c r="K667" i="2"/>
  <c r="M666" i="2"/>
  <c r="L666" i="2"/>
  <c r="K666" i="2"/>
  <c r="M665" i="2"/>
  <c r="L665" i="2"/>
  <c r="K665" i="2"/>
  <c r="M664" i="2"/>
  <c r="L664" i="2"/>
  <c r="K664" i="2"/>
  <c r="M663" i="2"/>
  <c r="L663" i="2"/>
  <c r="K663" i="2"/>
  <c r="M662" i="2"/>
  <c r="L662" i="2"/>
  <c r="K662" i="2"/>
  <c r="M661" i="2"/>
  <c r="L661" i="2"/>
  <c r="K661" i="2"/>
  <c r="M660" i="2"/>
  <c r="L660" i="2"/>
  <c r="K660" i="2"/>
  <c r="M659" i="2"/>
  <c r="L659" i="2"/>
  <c r="K659" i="2"/>
  <c r="M658" i="2"/>
  <c r="L658" i="2"/>
  <c r="K658" i="2"/>
  <c r="M657" i="2"/>
  <c r="L657" i="2"/>
  <c r="K657" i="2"/>
  <c r="M656" i="2"/>
  <c r="L656" i="2"/>
  <c r="K656" i="2"/>
  <c r="M655" i="2"/>
  <c r="L655" i="2"/>
  <c r="K655" i="2"/>
  <c r="M654" i="2"/>
  <c r="L654" i="2"/>
  <c r="K654" i="2"/>
  <c r="M653" i="2"/>
  <c r="L653" i="2"/>
  <c r="K653" i="2"/>
  <c r="M652" i="2"/>
  <c r="L652" i="2"/>
  <c r="K652" i="2"/>
  <c r="M651" i="2"/>
  <c r="L651" i="2"/>
  <c r="K651" i="2"/>
  <c r="M650" i="2"/>
  <c r="L650" i="2"/>
  <c r="K650" i="2"/>
  <c r="M649" i="2"/>
  <c r="L649" i="2"/>
  <c r="K649" i="2"/>
  <c r="M648" i="2"/>
  <c r="L648" i="2"/>
  <c r="K648" i="2"/>
  <c r="M647" i="2"/>
  <c r="L647" i="2"/>
  <c r="K647" i="2"/>
  <c r="M646" i="2"/>
  <c r="L646" i="2"/>
  <c r="K646" i="2"/>
  <c r="M645" i="2"/>
  <c r="L645" i="2"/>
  <c r="K645" i="2"/>
  <c r="M644" i="2"/>
  <c r="L644" i="2"/>
  <c r="K644" i="2"/>
  <c r="M643" i="2"/>
  <c r="L643" i="2"/>
  <c r="K643" i="2"/>
  <c r="M642" i="2"/>
  <c r="L642" i="2"/>
  <c r="K642" i="2"/>
  <c r="M641" i="2"/>
  <c r="L641" i="2"/>
  <c r="K641" i="2"/>
  <c r="M640" i="2"/>
  <c r="L640" i="2"/>
  <c r="K640" i="2"/>
  <c r="M639" i="2"/>
  <c r="L639" i="2"/>
  <c r="K639" i="2"/>
  <c r="M638" i="2"/>
  <c r="L638" i="2"/>
  <c r="K638" i="2"/>
  <c r="M637" i="2"/>
  <c r="L637" i="2"/>
  <c r="K637" i="2"/>
  <c r="M636" i="2"/>
  <c r="L636" i="2"/>
  <c r="K636" i="2"/>
  <c r="M635" i="2"/>
  <c r="L635" i="2"/>
  <c r="K635" i="2"/>
  <c r="M634" i="2"/>
  <c r="L634" i="2"/>
  <c r="K634" i="2"/>
  <c r="M633" i="2"/>
  <c r="L633" i="2"/>
  <c r="K633" i="2"/>
  <c r="M632" i="2"/>
  <c r="L632" i="2"/>
  <c r="K632" i="2"/>
  <c r="M631" i="2"/>
  <c r="L631" i="2"/>
  <c r="K631" i="2"/>
  <c r="M630" i="2"/>
  <c r="L630" i="2"/>
  <c r="K630" i="2"/>
  <c r="M629" i="2"/>
  <c r="L629" i="2"/>
  <c r="K629" i="2"/>
  <c r="M628" i="2"/>
  <c r="L628" i="2"/>
  <c r="K628" i="2"/>
  <c r="M627" i="2"/>
  <c r="L627" i="2"/>
  <c r="K627" i="2"/>
  <c r="M626" i="2"/>
  <c r="L626" i="2"/>
  <c r="K626" i="2"/>
  <c r="M625" i="2"/>
  <c r="L625" i="2"/>
  <c r="K625" i="2"/>
  <c r="M624" i="2"/>
  <c r="L624" i="2"/>
  <c r="K624" i="2"/>
  <c r="M623" i="2"/>
  <c r="L623" i="2"/>
  <c r="K623" i="2"/>
  <c r="M622" i="2"/>
  <c r="L622" i="2"/>
  <c r="K622" i="2"/>
  <c r="M621" i="2"/>
  <c r="L621" i="2"/>
  <c r="K621" i="2"/>
  <c r="M620" i="2"/>
  <c r="L620" i="2"/>
  <c r="K620" i="2"/>
  <c r="M619" i="2"/>
  <c r="L619" i="2"/>
  <c r="K619" i="2"/>
  <c r="M618" i="2"/>
  <c r="L618" i="2"/>
  <c r="K618" i="2"/>
  <c r="M617" i="2"/>
  <c r="L617" i="2"/>
  <c r="K617" i="2"/>
  <c r="M616" i="2"/>
  <c r="L616" i="2"/>
  <c r="K616" i="2"/>
  <c r="M615" i="2"/>
  <c r="L615" i="2"/>
  <c r="K615" i="2"/>
  <c r="M614" i="2"/>
  <c r="L614" i="2"/>
  <c r="K614" i="2"/>
  <c r="M613" i="2"/>
  <c r="L613" i="2"/>
  <c r="K613" i="2"/>
  <c r="M612" i="2"/>
  <c r="L612" i="2"/>
  <c r="K612" i="2"/>
  <c r="M611" i="2"/>
  <c r="L611" i="2"/>
  <c r="K611" i="2"/>
  <c r="M610" i="2"/>
  <c r="L610" i="2"/>
  <c r="K610" i="2"/>
  <c r="M609" i="2"/>
  <c r="L609" i="2"/>
  <c r="K609" i="2"/>
  <c r="M608" i="2"/>
  <c r="L608" i="2"/>
  <c r="K608" i="2"/>
  <c r="M607" i="2"/>
  <c r="L607" i="2"/>
  <c r="K607" i="2"/>
  <c r="M606" i="2"/>
  <c r="L606" i="2"/>
  <c r="K606" i="2"/>
  <c r="M605" i="2"/>
  <c r="L605" i="2"/>
  <c r="K605" i="2"/>
  <c r="M604" i="2"/>
  <c r="L604" i="2"/>
  <c r="K604" i="2"/>
  <c r="M603" i="2"/>
  <c r="L603" i="2"/>
  <c r="K603" i="2"/>
  <c r="M602" i="2"/>
  <c r="L602" i="2"/>
  <c r="K602" i="2"/>
  <c r="M601" i="2"/>
  <c r="L601" i="2"/>
  <c r="K601" i="2"/>
  <c r="M600" i="2"/>
  <c r="L600" i="2"/>
  <c r="K600" i="2"/>
  <c r="M599" i="2"/>
  <c r="L599" i="2"/>
  <c r="K599" i="2"/>
  <c r="M598" i="2"/>
  <c r="L598" i="2"/>
  <c r="K598" i="2"/>
  <c r="M597" i="2"/>
  <c r="L597" i="2"/>
  <c r="K597" i="2"/>
  <c r="M596" i="2"/>
  <c r="L596" i="2"/>
  <c r="K596" i="2"/>
  <c r="M595" i="2"/>
  <c r="L595" i="2"/>
  <c r="K595" i="2"/>
  <c r="M594" i="2"/>
  <c r="L594" i="2"/>
  <c r="K594" i="2"/>
  <c r="M593" i="2"/>
  <c r="L593" i="2"/>
  <c r="K593" i="2"/>
  <c r="M592" i="2"/>
  <c r="L592" i="2"/>
  <c r="K592" i="2"/>
  <c r="M591" i="2"/>
  <c r="L591" i="2"/>
  <c r="K591" i="2"/>
  <c r="M590" i="2"/>
  <c r="L590" i="2"/>
  <c r="K590" i="2"/>
  <c r="M589" i="2"/>
  <c r="L589" i="2"/>
  <c r="K589" i="2"/>
  <c r="M588" i="2"/>
  <c r="L588" i="2"/>
  <c r="K588" i="2"/>
  <c r="M587" i="2"/>
  <c r="L587" i="2"/>
  <c r="K587" i="2"/>
  <c r="M586" i="2"/>
  <c r="L586" i="2"/>
  <c r="K586" i="2"/>
  <c r="M585" i="2"/>
  <c r="L585" i="2"/>
  <c r="K585" i="2"/>
  <c r="M584" i="2"/>
  <c r="L584" i="2"/>
  <c r="K584" i="2"/>
  <c r="M583" i="2"/>
  <c r="L583" i="2"/>
  <c r="K583" i="2"/>
  <c r="M582" i="2"/>
  <c r="L582" i="2"/>
  <c r="K582" i="2"/>
  <c r="M581" i="2"/>
  <c r="L581" i="2"/>
  <c r="K581" i="2"/>
  <c r="M580" i="2"/>
  <c r="L580" i="2"/>
  <c r="K580" i="2"/>
  <c r="M579" i="2"/>
  <c r="L579" i="2"/>
  <c r="K579" i="2"/>
  <c r="M578" i="2"/>
  <c r="L578" i="2"/>
  <c r="K578" i="2"/>
  <c r="M577" i="2"/>
  <c r="L577" i="2"/>
  <c r="K577" i="2"/>
  <c r="M576" i="2"/>
  <c r="L576" i="2"/>
  <c r="K576" i="2"/>
  <c r="M575" i="2"/>
  <c r="L575" i="2"/>
  <c r="K575" i="2"/>
  <c r="M574" i="2"/>
  <c r="L574" i="2"/>
  <c r="K574" i="2"/>
  <c r="M573" i="2"/>
  <c r="L573" i="2"/>
  <c r="K573" i="2"/>
  <c r="M572" i="2"/>
  <c r="L572" i="2"/>
  <c r="K572" i="2"/>
  <c r="M571" i="2"/>
  <c r="L571" i="2"/>
  <c r="K571" i="2"/>
  <c r="M570" i="2"/>
  <c r="L570" i="2"/>
  <c r="K570" i="2"/>
  <c r="M569" i="2"/>
  <c r="L569" i="2"/>
  <c r="K569" i="2"/>
  <c r="M568" i="2"/>
  <c r="L568" i="2"/>
  <c r="K568" i="2"/>
  <c r="M567" i="2"/>
  <c r="L567" i="2"/>
  <c r="K567" i="2"/>
  <c r="M566" i="2"/>
  <c r="L566" i="2"/>
  <c r="K566" i="2"/>
  <c r="M565" i="2"/>
  <c r="L565" i="2"/>
  <c r="K565" i="2"/>
  <c r="M564" i="2"/>
  <c r="L564" i="2"/>
  <c r="K564" i="2"/>
  <c r="M563" i="2"/>
  <c r="L563" i="2"/>
  <c r="K563" i="2"/>
  <c r="M562" i="2"/>
  <c r="L562" i="2"/>
  <c r="K562" i="2"/>
  <c r="M561" i="2"/>
  <c r="L561" i="2"/>
  <c r="K561" i="2"/>
  <c r="M560" i="2"/>
  <c r="L560" i="2"/>
  <c r="K560" i="2"/>
  <c r="M559" i="2"/>
  <c r="L559" i="2"/>
  <c r="K559" i="2"/>
  <c r="M558" i="2"/>
  <c r="L558" i="2"/>
  <c r="K558" i="2"/>
  <c r="M557" i="2"/>
  <c r="L557" i="2"/>
  <c r="K557" i="2"/>
  <c r="M556" i="2"/>
  <c r="L556" i="2"/>
  <c r="K556" i="2"/>
  <c r="M555" i="2"/>
  <c r="L555" i="2"/>
  <c r="K555" i="2"/>
  <c r="M554" i="2"/>
  <c r="L554" i="2"/>
  <c r="K554" i="2"/>
  <c r="M553" i="2"/>
  <c r="L553" i="2"/>
  <c r="K553" i="2"/>
  <c r="M552" i="2"/>
  <c r="L552" i="2"/>
  <c r="K552" i="2"/>
  <c r="M551" i="2"/>
  <c r="L551" i="2"/>
  <c r="K551" i="2"/>
  <c r="M550" i="2"/>
  <c r="L550" i="2"/>
  <c r="K550" i="2"/>
  <c r="M549" i="2"/>
  <c r="L549" i="2"/>
  <c r="K549" i="2"/>
  <c r="M548" i="2"/>
  <c r="L548" i="2"/>
  <c r="K548" i="2"/>
  <c r="M547" i="2"/>
  <c r="L547" i="2"/>
  <c r="K547" i="2"/>
  <c r="M546" i="2"/>
  <c r="L546" i="2"/>
  <c r="K546" i="2"/>
  <c r="M545" i="2"/>
  <c r="L545" i="2"/>
  <c r="K545" i="2"/>
  <c r="M544" i="2"/>
  <c r="L544" i="2"/>
  <c r="K544" i="2"/>
  <c r="M543" i="2"/>
  <c r="L543" i="2"/>
  <c r="K543" i="2"/>
  <c r="M542" i="2"/>
  <c r="L542" i="2"/>
  <c r="K542" i="2"/>
  <c r="M541" i="2"/>
  <c r="L541" i="2"/>
  <c r="K541" i="2"/>
  <c r="M540" i="2"/>
  <c r="L540" i="2"/>
  <c r="K540" i="2"/>
  <c r="M539" i="2"/>
  <c r="L539" i="2"/>
  <c r="K539" i="2"/>
  <c r="M538" i="2"/>
  <c r="L538" i="2"/>
  <c r="K538" i="2"/>
  <c r="M537" i="2"/>
  <c r="L537" i="2"/>
  <c r="K537" i="2"/>
  <c r="M536" i="2"/>
  <c r="L536" i="2"/>
  <c r="K536" i="2"/>
  <c r="M535" i="2"/>
  <c r="L535" i="2"/>
  <c r="K535" i="2"/>
  <c r="M534" i="2"/>
  <c r="L534" i="2"/>
  <c r="K534" i="2"/>
  <c r="M533" i="2"/>
  <c r="L533" i="2"/>
  <c r="K533" i="2"/>
  <c r="M532" i="2"/>
  <c r="L532" i="2"/>
  <c r="K532" i="2"/>
  <c r="M531" i="2"/>
  <c r="L531" i="2"/>
  <c r="K531" i="2"/>
  <c r="M530" i="2"/>
  <c r="L530" i="2"/>
  <c r="K530" i="2"/>
  <c r="M529" i="2"/>
  <c r="L529" i="2"/>
  <c r="K529" i="2"/>
  <c r="M528" i="2"/>
  <c r="L528" i="2"/>
  <c r="K528" i="2"/>
  <c r="M527" i="2"/>
  <c r="L527" i="2"/>
  <c r="K527" i="2"/>
  <c r="M526" i="2"/>
  <c r="L526" i="2"/>
  <c r="K526" i="2"/>
  <c r="M525" i="2"/>
  <c r="L525" i="2"/>
  <c r="K525" i="2"/>
  <c r="M524" i="2"/>
  <c r="L524" i="2"/>
  <c r="K524" i="2"/>
  <c r="M523" i="2"/>
  <c r="L523" i="2"/>
  <c r="K523" i="2"/>
  <c r="M522" i="2"/>
  <c r="L522" i="2"/>
  <c r="K522" i="2"/>
  <c r="M521" i="2"/>
  <c r="L521" i="2"/>
  <c r="K521" i="2"/>
  <c r="M520" i="2"/>
  <c r="L520" i="2"/>
  <c r="K520" i="2"/>
  <c r="M519" i="2"/>
  <c r="L519" i="2"/>
  <c r="K519" i="2"/>
  <c r="M518" i="2"/>
  <c r="L518" i="2"/>
  <c r="K518" i="2"/>
  <c r="M517" i="2"/>
  <c r="L517" i="2"/>
  <c r="K517" i="2"/>
  <c r="M516" i="2"/>
  <c r="L516" i="2"/>
  <c r="K516" i="2"/>
  <c r="M515" i="2"/>
  <c r="L515" i="2"/>
  <c r="K515" i="2"/>
  <c r="M514" i="2"/>
  <c r="L514" i="2"/>
  <c r="K514" i="2"/>
  <c r="M513" i="2"/>
  <c r="L513" i="2"/>
  <c r="K513" i="2"/>
  <c r="M512" i="2"/>
  <c r="L512" i="2"/>
  <c r="K512" i="2"/>
  <c r="M511" i="2"/>
  <c r="L511" i="2"/>
  <c r="K511" i="2"/>
  <c r="M510" i="2"/>
  <c r="L510" i="2"/>
  <c r="K510" i="2"/>
  <c r="M509" i="2"/>
  <c r="L509" i="2"/>
  <c r="K509" i="2"/>
  <c r="M508" i="2"/>
  <c r="L508" i="2"/>
  <c r="K508" i="2"/>
  <c r="M507" i="2"/>
  <c r="L507" i="2"/>
  <c r="K507" i="2"/>
  <c r="M506" i="2"/>
  <c r="L506" i="2"/>
  <c r="K506" i="2"/>
  <c r="M505" i="2"/>
  <c r="L505" i="2"/>
  <c r="K505" i="2"/>
  <c r="M504" i="2"/>
  <c r="L504" i="2"/>
  <c r="K504" i="2"/>
  <c r="M503" i="2"/>
  <c r="L503" i="2"/>
  <c r="K503" i="2"/>
  <c r="M502" i="2"/>
  <c r="L502" i="2"/>
  <c r="K502" i="2"/>
  <c r="M501" i="2"/>
  <c r="L501" i="2"/>
  <c r="K501" i="2"/>
  <c r="M500" i="2"/>
  <c r="L500" i="2"/>
  <c r="K500" i="2"/>
  <c r="M499" i="2"/>
  <c r="L499" i="2"/>
  <c r="K499" i="2"/>
  <c r="M498" i="2"/>
  <c r="L498" i="2"/>
  <c r="K498" i="2"/>
  <c r="M497" i="2"/>
  <c r="L497" i="2"/>
  <c r="K497" i="2"/>
  <c r="M496" i="2"/>
  <c r="L496" i="2"/>
  <c r="K496" i="2"/>
  <c r="M495" i="2"/>
  <c r="L495" i="2"/>
  <c r="K495" i="2"/>
  <c r="M494" i="2"/>
  <c r="L494" i="2"/>
  <c r="K494" i="2"/>
  <c r="M493" i="2"/>
  <c r="L493" i="2"/>
  <c r="K493" i="2"/>
  <c r="M492" i="2"/>
  <c r="L492" i="2"/>
  <c r="K492" i="2"/>
  <c r="M491" i="2"/>
  <c r="L491" i="2"/>
  <c r="K491" i="2"/>
  <c r="M490" i="2"/>
  <c r="L490" i="2"/>
  <c r="K490" i="2"/>
  <c r="M489" i="2"/>
  <c r="L489" i="2"/>
  <c r="K489" i="2"/>
  <c r="M488" i="2"/>
  <c r="L488" i="2"/>
  <c r="K488" i="2"/>
  <c r="M487" i="2"/>
  <c r="L487" i="2"/>
  <c r="K487" i="2"/>
  <c r="M486" i="2"/>
  <c r="L486" i="2"/>
  <c r="K486" i="2"/>
  <c r="M485" i="2"/>
  <c r="L485" i="2"/>
  <c r="K485" i="2"/>
  <c r="M484" i="2"/>
  <c r="L484" i="2"/>
  <c r="K484" i="2"/>
  <c r="M483" i="2"/>
  <c r="L483" i="2"/>
  <c r="K483" i="2"/>
  <c r="M482" i="2"/>
  <c r="L482" i="2"/>
  <c r="K482" i="2"/>
  <c r="M481" i="2"/>
  <c r="L481" i="2"/>
  <c r="K481" i="2"/>
  <c r="M480" i="2"/>
  <c r="L480" i="2"/>
  <c r="K480" i="2"/>
  <c r="M479" i="2"/>
  <c r="L479" i="2"/>
  <c r="K479" i="2"/>
  <c r="M478" i="2"/>
  <c r="L478" i="2"/>
  <c r="K478" i="2"/>
  <c r="M477" i="2"/>
  <c r="L477" i="2"/>
  <c r="K477" i="2"/>
  <c r="M476" i="2"/>
  <c r="L476" i="2"/>
  <c r="K476" i="2"/>
  <c r="M475" i="2"/>
  <c r="L475" i="2"/>
  <c r="K475" i="2"/>
  <c r="M474" i="2"/>
  <c r="L474" i="2"/>
  <c r="K474" i="2"/>
  <c r="M473" i="2"/>
  <c r="L473" i="2"/>
  <c r="K473" i="2"/>
  <c r="M472" i="2"/>
  <c r="L472" i="2"/>
  <c r="K472" i="2"/>
  <c r="M471" i="2"/>
  <c r="L471" i="2"/>
  <c r="K471" i="2"/>
  <c r="M470" i="2"/>
  <c r="L470" i="2"/>
  <c r="K470" i="2"/>
  <c r="M469" i="2"/>
  <c r="L469" i="2"/>
  <c r="K469" i="2"/>
  <c r="M468" i="2"/>
  <c r="L468" i="2"/>
  <c r="K468" i="2"/>
  <c r="M467" i="2"/>
  <c r="L467" i="2"/>
  <c r="K467" i="2"/>
  <c r="M466" i="2"/>
  <c r="L466" i="2"/>
  <c r="K466" i="2"/>
  <c r="M465" i="2"/>
  <c r="L465" i="2"/>
  <c r="K465" i="2"/>
  <c r="M464" i="2"/>
  <c r="L464" i="2"/>
  <c r="K464" i="2"/>
  <c r="M463" i="2"/>
  <c r="L463" i="2"/>
  <c r="K463" i="2"/>
  <c r="M462" i="2"/>
  <c r="L462" i="2"/>
  <c r="K462" i="2"/>
  <c r="M461" i="2"/>
  <c r="L461" i="2"/>
  <c r="K461" i="2"/>
  <c r="M460" i="2"/>
  <c r="L460" i="2"/>
  <c r="K460" i="2"/>
  <c r="M459" i="2"/>
  <c r="L459" i="2"/>
  <c r="K459" i="2"/>
  <c r="M458" i="2"/>
  <c r="L458" i="2"/>
  <c r="K458" i="2"/>
  <c r="M457" i="2"/>
  <c r="L457" i="2"/>
  <c r="K457" i="2"/>
  <c r="M456" i="2"/>
  <c r="L456" i="2"/>
  <c r="K456" i="2"/>
  <c r="M455" i="2"/>
  <c r="L455" i="2"/>
  <c r="K455" i="2"/>
  <c r="M454" i="2"/>
  <c r="L454" i="2"/>
  <c r="K454" i="2"/>
  <c r="M453" i="2"/>
  <c r="L453" i="2"/>
  <c r="K453" i="2"/>
  <c r="M452" i="2"/>
  <c r="L452" i="2"/>
  <c r="K452" i="2"/>
  <c r="M451" i="2"/>
  <c r="L451" i="2"/>
  <c r="K451" i="2"/>
  <c r="M450" i="2"/>
  <c r="L450" i="2"/>
  <c r="K450" i="2"/>
  <c r="M449" i="2"/>
  <c r="L449" i="2"/>
  <c r="K449" i="2"/>
  <c r="M448" i="2"/>
  <c r="L448" i="2"/>
  <c r="K448" i="2"/>
  <c r="M447" i="2"/>
  <c r="L447" i="2"/>
  <c r="K447" i="2"/>
  <c r="M446" i="2"/>
  <c r="L446" i="2"/>
  <c r="K446" i="2"/>
  <c r="M445" i="2"/>
  <c r="L445" i="2"/>
  <c r="K445" i="2"/>
  <c r="M444" i="2"/>
  <c r="L444" i="2"/>
  <c r="K444" i="2"/>
  <c r="M443" i="2"/>
  <c r="L443" i="2"/>
  <c r="K443" i="2"/>
  <c r="M442" i="2"/>
  <c r="L442" i="2"/>
  <c r="K442" i="2"/>
  <c r="M441" i="2"/>
  <c r="L441" i="2"/>
  <c r="K441" i="2"/>
  <c r="M440" i="2"/>
  <c r="L440" i="2"/>
  <c r="K440" i="2"/>
  <c r="M439" i="2"/>
  <c r="L439" i="2"/>
  <c r="K439" i="2"/>
  <c r="M438" i="2"/>
  <c r="L438" i="2"/>
  <c r="K438" i="2"/>
  <c r="M437" i="2"/>
  <c r="L437" i="2"/>
  <c r="K437" i="2"/>
  <c r="M436" i="2"/>
  <c r="L436" i="2"/>
  <c r="K436" i="2"/>
  <c r="M435" i="2"/>
  <c r="L435" i="2"/>
  <c r="K435" i="2"/>
  <c r="M434" i="2"/>
  <c r="L434" i="2"/>
  <c r="K434" i="2"/>
  <c r="M433" i="2"/>
  <c r="L433" i="2"/>
  <c r="K433" i="2"/>
  <c r="M432" i="2"/>
  <c r="L432" i="2"/>
  <c r="K432" i="2"/>
  <c r="M431" i="2"/>
  <c r="L431" i="2"/>
  <c r="K431" i="2"/>
  <c r="M430" i="2"/>
  <c r="L430" i="2"/>
  <c r="K430" i="2"/>
  <c r="M429" i="2"/>
  <c r="L429" i="2"/>
  <c r="K429" i="2"/>
  <c r="M428" i="2"/>
  <c r="L428" i="2"/>
  <c r="K428" i="2"/>
  <c r="M427" i="2"/>
  <c r="L427" i="2"/>
  <c r="K427" i="2"/>
  <c r="M426" i="2"/>
  <c r="L426" i="2"/>
  <c r="K426" i="2"/>
  <c r="M425" i="2"/>
  <c r="L425" i="2"/>
  <c r="K425" i="2"/>
  <c r="M424" i="2"/>
  <c r="L424" i="2"/>
  <c r="K424" i="2"/>
  <c r="M423" i="2"/>
  <c r="L423" i="2"/>
  <c r="K423" i="2"/>
  <c r="M422" i="2"/>
  <c r="L422" i="2"/>
  <c r="K422" i="2"/>
  <c r="M421" i="2"/>
  <c r="L421" i="2"/>
  <c r="K421" i="2"/>
  <c r="M420" i="2"/>
  <c r="L420" i="2"/>
  <c r="K420" i="2"/>
  <c r="M419" i="2"/>
  <c r="L419" i="2"/>
  <c r="K419" i="2"/>
  <c r="M418" i="2"/>
  <c r="L418" i="2"/>
  <c r="K418" i="2"/>
  <c r="M417" i="2"/>
  <c r="L417" i="2"/>
  <c r="K417" i="2"/>
  <c r="M416" i="2"/>
  <c r="L416" i="2"/>
  <c r="K416" i="2"/>
  <c r="M415" i="2"/>
  <c r="L415" i="2"/>
  <c r="K415" i="2"/>
  <c r="M414" i="2"/>
  <c r="L414" i="2"/>
  <c r="K414" i="2"/>
  <c r="M413" i="2"/>
  <c r="L413" i="2"/>
  <c r="K413" i="2"/>
  <c r="M412" i="2"/>
  <c r="L412" i="2"/>
  <c r="K412" i="2"/>
  <c r="M411" i="2"/>
  <c r="L411" i="2"/>
  <c r="K411" i="2"/>
  <c r="M410" i="2"/>
  <c r="L410" i="2"/>
  <c r="K410" i="2"/>
  <c r="M409" i="2"/>
  <c r="L409" i="2"/>
  <c r="K409" i="2"/>
  <c r="M408" i="2"/>
  <c r="L408" i="2"/>
  <c r="K408" i="2"/>
  <c r="M407" i="2"/>
  <c r="L407" i="2"/>
  <c r="K407" i="2"/>
  <c r="M406" i="2"/>
  <c r="L406" i="2"/>
  <c r="K406" i="2"/>
  <c r="M405" i="2"/>
  <c r="L405" i="2"/>
  <c r="K405" i="2"/>
  <c r="M404" i="2"/>
  <c r="L404" i="2"/>
  <c r="K404" i="2"/>
  <c r="M403" i="2"/>
  <c r="L403" i="2"/>
  <c r="K403" i="2"/>
  <c r="M402" i="2"/>
  <c r="L402" i="2"/>
  <c r="K402" i="2"/>
  <c r="M401" i="2"/>
  <c r="L401" i="2"/>
  <c r="K401" i="2"/>
  <c r="M400" i="2"/>
  <c r="L400" i="2"/>
  <c r="K400" i="2"/>
  <c r="M399" i="2"/>
  <c r="L399" i="2"/>
  <c r="K399" i="2"/>
  <c r="M398" i="2"/>
  <c r="L398" i="2"/>
  <c r="K398" i="2"/>
  <c r="M397" i="2"/>
  <c r="L397" i="2"/>
  <c r="K397" i="2"/>
  <c r="M396" i="2"/>
  <c r="L396" i="2"/>
  <c r="K396" i="2"/>
  <c r="M395" i="2"/>
  <c r="L395" i="2"/>
  <c r="K395" i="2"/>
  <c r="M394" i="2"/>
  <c r="L394" i="2"/>
  <c r="K394" i="2"/>
  <c r="M393" i="2"/>
  <c r="L393" i="2"/>
  <c r="K393" i="2"/>
  <c r="M392" i="2"/>
  <c r="L392" i="2"/>
  <c r="K392" i="2"/>
  <c r="M391" i="2"/>
  <c r="L391" i="2"/>
  <c r="K391" i="2"/>
  <c r="M390" i="2"/>
  <c r="L390" i="2"/>
  <c r="K390" i="2"/>
  <c r="M389" i="2"/>
  <c r="L389" i="2"/>
  <c r="K389" i="2"/>
  <c r="M388" i="2"/>
  <c r="L388" i="2"/>
  <c r="K388" i="2"/>
  <c r="M387" i="2"/>
  <c r="L387" i="2"/>
  <c r="K387" i="2"/>
  <c r="M386" i="2"/>
  <c r="L386" i="2"/>
  <c r="K386" i="2"/>
  <c r="M385" i="2"/>
  <c r="L385" i="2"/>
  <c r="K385" i="2"/>
  <c r="M384" i="2"/>
  <c r="L384" i="2"/>
  <c r="K384" i="2"/>
  <c r="M383" i="2"/>
  <c r="L383" i="2"/>
  <c r="K383" i="2"/>
  <c r="M382" i="2"/>
  <c r="L382" i="2"/>
  <c r="K382" i="2"/>
  <c r="M381" i="2"/>
  <c r="L381" i="2"/>
  <c r="K381" i="2"/>
  <c r="M380" i="2"/>
  <c r="L380" i="2"/>
  <c r="K380" i="2"/>
  <c r="M379" i="2"/>
  <c r="L379" i="2"/>
  <c r="K379" i="2"/>
  <c r="M378" i="2"/>
  <c r="L378" i="2"/>
  <c r="K378" i="2"/>
  <c r="M377" i="2"/>
  <c r="L377" i="2"/>
  <c r="K377" i="2"/>
  <c r="M376" i="2"/>
  <c r="L376" i="2"/>
  <c r="K376" i="2"/>
  <c r="M375" i="2"/>
  <c r="L375" i="2"/>
  <c r="K375" i="2"/>
  <c r="M374" i="2"/>
  <c r="L374" i="2"/>
  <c r="K374" i="2"/>
  <c r="M373" i="2"/>
  <c r="L373" i="2"/>
  <c r="K373" i="2"/>
  <c r="M372" i="2"/>
  <c r="L372" i="2"/>
  <c r="K372" i="2"/>
  <c r="M371" i="2"/>
  <c r="L371" i="2"/>
  <c r="K371" i="2"/>
  <c r="M370" i="2"/>
  <c r="L370" i="2"/>
  <c r="K370" i="2"/>
  <c r="M369" i="2"/>
  <c r="L369" i="2"/>
  <c r="K369" i="2"/>
  <c r="M368" i="2"/>
  <c r="L368" i="2"/>
  <c r="K368" i="2"/>
  <c r="M367" i="2"/>
  <c r="L367" i="2"/>
  <c r="K367" i="2"/>
  <c r="M366" i="2"/>
  <c r="L366" i="2"/>
  <c r="K366" i="2"/>
  <c r="M365" i="2"/>
  <c r="L365" i="2"/>
  <c r="K365" i="2"/>
  <c r="M364" i="2"/>
  <c r="L364" i="2"/>
  <c r="K364" i="2"/>
  <c r="M363" i="2"/>
  <c r="L363" i="2"/>
  <c r="K363" i="2"/>
  <c r="M362" i="2"/>
  <c r="L362" i="2"/>
  <c r="K362" i="2"/>
  <c r="M361" i="2"/>
  <c r="L361" i="2"/>
  <c r="K361" i="2"/>
  <c r="M360" i="2"/>
  <c r="L360" i="2"/>
  <c r="K360" i="2"/>
  <c r="M359" i="2"/>
  <c r="L359" i="2"/>
  <c r="K359" i="2"/>
  <c r="M358" i="2"/>
  <c r="L358" i="2"/>
  <c r="K358" i="2"/>
  <c r="M357" i="2"/>
  <c r="L357" i="2"/>
  <c r="K357" i="2"/>
  <c r="M356" i="2"/>
  <c r="L356" i="2"/>
  <c r="K356" i="2"/>
  <c r="M355" i="2"/>
  <c r="L355" i="2"/>
  <c r="K355" i="2"/>
  <c r="M354" i="2"/>
  <c r="L354" i="2"/>
  <c r="K354" i="2"/>
  <c r="M353" i="2"/>
  <c r="L353" i="2"/>
  <c r="K353" i="2"/>
  <c r="M352" i="2"/>
  <c r="L352" i="2"/>
  <c r="K352" i="2"/>
  <c r="M351" i="2"/>
  <c r="L351" i="2"/>
  <c r="K351" i="2"/>
  <c r="M350" i="2"/>
  <c r="L350" i="2"/>
  <c r="K350" i="2"/>
  <c r="M349" i="2"/>
  <c r="L349" i="2"/>
  <c r="K349" i="2"/>
  <c r="M348" i="2"/>
  <c r="L348" i="2"/>
  <c r="K348" i="2"/>
  <c r="M347" i="2"/>
  <c r="L347" i="2"/>
  <c r="K347" i="2"/>
  <c r="M346" i="2"/>
  <c r="L346" i="2"/>
  <c r="K346" i="2"/>
  <c r="M345" i="2"/>
  <c r="L345" i="2"/>
  <c r="K345" i="2"/>
  <c r="M344" i="2"/>
  <c r="L344" i="2"/>
  <c r="K344" i="2"/>
  <c r="M343" i="2"/>
  <c r="L343" i="2"/>
  <c r="K343" i="2"/>
  <c r="M342" i="2"/>
  <c r="L342" i="2"/>
  <c r="K342" i="2"/>
  <c r="M341" i="2"/>
  <c r="L341" i="2"/>
  <c r="K341" i="2"/>
  <c r="M340" i="2"/>
  <c r="L340" i="2"/>
  <c r="K340" i="2"/>
  <c r="M339" i="2"/>
  <c r="L339" i="2"/>
  <c r="K339" i="2"/>
  <c r="M338" i="2"/>
  <c r="L338" i="2"/>
  <c r="K338" i="2"/>
  <c r="M337" i="2"/>
  <c r="L337" i="2"/>
  <c r="K337" i="2"/>
  <c r="M336" i="2"/>
  <c r="L336" i="2"/>
  <c r="K336" i="2"/>
  <c r="M335" i="2"/>
  <c r="L335" i="2"/>
  <c r="K335" i="2"/>
  <c r="M334" i="2"/>
  <c r="L334" i="2"/>
  <c r="K334" i="2"/>
  <c r="M333" i="2"/>
  <c r="L333" i="2"/>
  <c r="K333" i="2"/>
  <c r="M332" i="2"/>
  <c r="L332" i="2"/>
  <c r="K332" i="2"/>
  <c r="M331" i="2"/>
  <c r="L331" i="2"/>
  <c r="K331" i="2"/>
  <c r="M330" i="2"/>
  <c r="L330" i="2"/>
  <c r="K330" i="2"/>
  <c r="M329" i="2"/>
  <c r="L329" i="2"/>
  <c r="K329" i="2"/>
  <c r="M328" i="2"/>
  <c r="L328" i="2"/>
  <c r="K328" i="2"/>
  <c r="M327" i="2"/>
  <c r="L327" i="2"/>
  <c r="K327" i="2"/>
  <c r="M326" i="2"/>
  <c r="L326" i="2"/>
  <c r="K326" i="2"/>
  <c r="M325" i="2"/>
  <c r="L325" i="2"/>
  <c r="K325" i="2"/>
  <c r="M324" i="2"/>
  <c r="L324" i="2"/>
  <c r="K324" i="2"/>
  <c r="M323" i="2"/>
  <c r="L323" i="2"/>
  <c r="K323" i="2"/>
  <c r="M322" i="2"/>
  <c r="L322" i="2"/>
  <c r="K322" i="2"/>
  <c r="M321" i="2"/>
  <c r="L321" i="2"/>
  <c r="K321" i="2"/>
  <c r="M320" i="2"/>
  <c r="L320" i="2"/>
  <c r="K320" i="2"/>
  <c r="M319" i="2"/>
  <c r="L319" i="2"/>
  <c r="K319" i="2"/>
  <c r="M318" i="2"/>
  <c r="L318" i="2"/>
  <c r="K318" i="2"/>
  <c r="M317" i="2"/>
  <c r="L317" i="2"/>
  <c r="K317" i="2"/>
  <c r="M316" i="2"/>
  <c r="L316" i="2"/>
  <c r="K316" i="2"/>
  <c r="M315" i="2"/>
  <c r="L315" i="2"/>
  <c r="K315" i="2"/>
  <c r="M314" i="2"/>
  <c r="L314" i="2"/>
  <c r="K314" i="2"/>
  <c r="M313" i="2"/>
  <c r="L313" i="2"/>
  <c r="K313" i="2"/>
  <c r="M312" i="2"/>
  <c r="L312" i="2"/>
  <c r="K312" i="2"/>
  <c r="M311" i="2"/>
  <c r="L311" i="2"/>
  <c r="K311" i="2"/>
  <c r="M310" i="2"/>
  <c r="L310" i="2"/>
  <c r="K310" i="2"/>
  <c r="M309" i="2"/>
  <c r="L309" i="2"/>
  <c r="K309" i="2"/>
  <c r="M308" i="2"/>
  <c r="L308" i="2"/>
  <c r="K308" i="2"/>
  <c r="M307" i="2"/>
  <c r="L307" i="2"/>
  <c r="K307" i="2"/>
  <c r="M306" i="2"/>
  <c r="L306" i="2"/>
  <c r="K306" i="2"/>
  <c r="M305" i="2"/>
  <c r="L305" i="2"/>
  <c r="K305" i="2"/>
  <c r="M304" i="2"/>
  <c r="L304" i="2"/>
  <c r="K304" i="2"/>
  <c r="M303" i="2"/>
  <c r="L303" i="2"/>
  <c r="K303" i="2"/>
  <c r="M302" i="2"/>
  <c r="L302" i="2"/>
  <c r="K302" i="2"/>
  <c r="M301" i="2"/>
  <c r="L301" i="2"/>
  <c r="K301" i="2"/>
  <c r="M300" i="2"/>
  <c r="L300" i="2"/>
  <c r="K300" i="2"/>
  <c r="M299" i="2"/>
  <c r="L299" i="2"/>
  <c r="K299" i="2"/>
  <c r="M298" i="2"/>
  <c r="L298" i="2"/>
  <c r="K298" i="2"/>
  <c r="M297" i="2"/>
  <c r="L297" i="2"/>
  <c r="K297" i="2"/>
  <c r="M296" i="2"/>
  <c r="L296" i="2"/>
  <c r="K296" i="2"/>
  <c r="M295" i="2"/>
  <c r="L295" i="2"/>
  <c r="K295" i="2"/>
  <c r="M294" i="2"/>
  <c r="L294" i="2"/>
  <c r="K294" i="2"/>
  <c r="M293" i="2"/>
  <c r="L293" i="2"/>
  <c r="K293" i="2"/>
  <c r="M292" i="2"/>
  <c r="L292" i="2"/>
  <c r="K292" i="2"/>
  <c r="M291" i="2"/>
  <c r="L291" i="2"/>
  <c r="K291" i="2"/>
  <c r="M290" i="2"/>
  <c r="L290" i="2"/>
  <c r="K290" i="2"/>
  <c r="M289" i="2"/>
  <c r="L289" i="2"/>
  <c r="K289" i="2"/>
  <c r="M288" i="2"/>
  <c r="L288" i="2"/>
  <c r="K288" i="2"/>
  <c r="M287" i="2"/>
  <c r="L287" i="2"/>
  <c r="K287" i="2"/>
  <c r="M286" i="2"/>
  <c r="L286" i="2"/>
  <c r="K286" i="2"/>
  <c r="M285" i="2"/>
  <c r="L285" i="2"/>
  <c r="K285" i="2"/>
  <c r="M284" i="2"/>
  <c r="L284" i="2"/>
  <c r="K284" i="2"/>
  <c r="M283" i="2"/>
  <c r="L283" i="2"/>
  <c r="K283" i="2"/>
  <c r="M282" i="2"/>
  <c r="L282" i="2"/>
  <c r="K282" i="2"/>
  <c r="M281" i="2"/>
  <c r="L281" i="2"/>
  <c r="K281" i="2"/>
  <c r="M280" i="2"/>
  <c r="L280" i="2"/>
  <c r="K280" i="2"/>
  <c r="M279" i="2"/>
  <c r="L279" i="2"/>
  <c r="K279" i="2"/>
  <c r="M278" i="2"/>
  <c r="L278" i="2"/>
  <c r="K278" i="2"/>
  <c r="M277" i="2"/>
  <c r="L277" i="2"/>
  <c r="K277" i="2"/>
  <c r="M276" i="2"/>
  <c r="L276" i="2"/>
  <c r="K276" i="2"/>
  <c r="M275" i="2"/>
  <c r="L275" i="2"/>
  <c r="K275" i="2"/>
  <c r="M274" i="2"/>
  <c r="L274" i="2"/>
  <c r="K274" i="2"/>
  <c r="M273" i="2"/>
  <c r="L273" i="2"/>
  <c r="K273" i="2"/>
  <c r="M272" i="2"/>
  <c r="L272" i="2"/>
  <c r="K272" i="2"/>
  <c r="M271" i="2"/>
  <c r="L271" i="2"/>
  <c r="K271" i="2"/>
  <c r="M270" i="2"/>
  <c r="L270" i="2"/>
  <c r="K270" i="2"/>
  <c r="M269" i="2"/>
  <c r="L269" i="2"/>
  <c r="K269" i="2"/>
  <c r="M268" i="2"/>
  <c r="L268" i="2"/>
  <c r="K268" i="2"/>
  <c r="M267" i="2"/>
  <c r="L267" i="2"/>
  <c r="K267" i="2"/>
  <c r="M266" i="2"/>
  <c r="L266" i="2"/>
  <c r="K266" i="2"/>
  <c r="M265" i="2"/>
  <c r="L265" i="2"/>
  <c r="K265" i="2"/>
  <c r="M264" i="2"/>
  <c r="L264" i="2"/>
  <c r="K264" i="2"/>
  <c r="M263" i="2"/>
  <c r="L263" i="2"/>
  <c r="K263" i="2"/>
  <c r="M262" i="2"/>
  <c r="L262" i="2"/>
  <c r="K262" i="2"/>
  <c r="M261" i="2"/>
  <c r="L261" i="2"/>
  <c r="K261" i="2"/>
  <c r="M260" i="2"/>
  <c r="L260" i="2"/>
  <c r="K260" i="2"/>
  <c r="M259" i="2"/>
  <c r="L259" i="2"/>
  <c r="K259" i="2"/>
  <c r="M258" i="2"/>
  <c r="L258" i="2"/>
  <c r="K258" i="2"/>
  <c r="M257" i="2"/>
  <c r="L257" i="2"/>
  <c r="K257" i="2"/>
  <c r="M256" i="2"/>
  <c r="L256" i="2"/>
  <c r="K256" i="2"/>
  <c r="M255" i="2"/>
  <c r="L255" i="2"/>
  <c r="K255" i="2"/>
  <c r="M254" i="2"/>
  <c r="L254" i="2"/>
  <c r="K254" i="2"/>
  <c r="M253" i="2"/>
  <c r="L253" i="2"/>
  <c r="K253" i="2"/>
  <c r="M252" i="2"/>
  <c r="L252" i="2"/>
  <c r="K252" i="2"/>
  <c r="M251" i="2"/>
  <c r="L251" i="2"/>
  <c r="K251" i="2"/>
  <c r="M250" i="2"/>
  <c r="L250" i="2"/>
  <c r="K250" i="2"/>
  <c r="M249" i="2"/>
  <c r="L249" i="2"/>
  <c r="K249" i="2"/>
  <c r="M248" i="2"/>
  <c r="L248" i="2"/>
  <c r="K248" i="2"/>
  <c r="M247" i="2"/>
  <c r="L247" i="2"/>
  <c r="K247" i="2"/>
  <c r="M246" i="2"/>
  <c r="L246" i="2"/>
  <c r="K246" i="2"/>
  <c r="M245" i="2"/>
  <c r="L245" i="2"/>
  <c r="K245" i="2"/>
  <c r="M244" i="2"/>
  <c r="L244" i="2"/>
  <c r="K244" i="2"/>
  <c r="M243" i="2"/>
  <c r="L243" i="2"/>
  <c r="K243" i="2"/>
  <c r="M242" i="2"/>
  <c r="L242" i="2"/>
  <c r="K242" i="2"/>
  <c r="M241" i="2"/>
  <c r="L241" i="2"/>
  <c r="K241" i="2"/>
  <c r="M240" i="2"/>
  <c r="L240" i="2"/>
  <c r="K240" i="2"/>
  <c r="M239" i="2"/>
  <c r="L239" i="2"/>
  <c r="K239" i="2"/>
  <c r="M238" i="2"/>
  <c r="L238" i="2"/>
  <c r="K238" i="2"/>
  <c r="M237" i="2"/>
  <c r="L237" i="2"/>
  <c r="K237" i="2"/>
  <c r="M236" i="2"/>
  <c r="L236" i="2"/>
  <c r="K236" i="2"/>
  <c r="M235" i="2"/>
  <c r="L235" i="2"/>
  <c r="K235" i="2"/>
  <c r="M234" i="2"/>
  <c r="L234" i="2"/>
  <c r="K234" i="2"/>
  <c r="M233" i="2"/>
  <c r="L233" i="2"/>
  <c r="K233" i="2"/>
  <c r="M232" i="2"/>
  <c r="L232" i="2"/>
  <c r="K232" i="2"/>
  <c r="M231" i="2"/>
  <c r="L231" i="2"/>
  <c r="K231" i="2"/>
  <c r="M230" i="2"/>
  <c r="L230" i="2"/>
  <c r="K230" i="2"/>
  <c r="M229" i="2"/>
  <c r="L229" i="2"/>
  <c r="K229" i="2"/>
  <c r="M228" i="2"/>
  <c r="L228" i="2"/>
  <c r="K228" i="2"/>
  <c r="M227" i="2"/>
  <c r="L227" i="2"/>
  <c r="K227" i="2"/>
  <c r="M226" i="2"/>
  <c r="L226" i="2"/>
  <c r="K226" i="2"/>
  <c r="M225" i="2"/>
  <c r="L225" i="2"/>
  <c r="K225" i="2"/>
  <c r="M224" i="2"/>
  <c r="L224" i="2"/>
  <c r="K224" i="2"/>
  <c r="M223" i="2"/>
  <c r="L223" i="2"/>
  <c r="K223" i="2"/>
  <c r="M222" i="2"/>
  <c r="L222" i="2"/>
  <c r="K222" i="2"/>
  <c r="M221" i="2"/>
  <c r="L221" i="2"/>
  <c r="K221" i="2"/>
  <c r="M220" i="2"/>
  <c r="L220" i="2"/>
  <c r="K220" i="2"/>
  <c r="M219" i="2"/>
  <c r="L219" i="2"/>
  <c r="K219" i="2"/>
  <c r="M218" i="2"/>
  <c r="L218" i="2"/>
  <c r="K218" i="2"/>
  <c r="M217" i="2"/>
  <c r="L217" i="2"/>
  <c r="K217" i="2"/>
  <c r="M216" i="2"/>
  <c r="L216" i="2"/>
  <c r="K216" i="2"/>
  <c r="M215" i="2"/>
  <c r="L215" i="2"/>
  <c r="K215" i="2"/>
  <c r="M214" i="2"/>
  <c r="L214" i="2"/>
  <c r="K214" i="2"/>
  <c r="M213" i="2"/>
  <c r="L213" i="2"/>
  <c r="K213" i="2"/>
  <c r="M212" i="2"/>
  <c r="L212" i="2"/>
  <c r="K212" i="2"/>
  <c r="M211" i="2"/>
  <c r="L211" i="2"/>
  <c r="K211" i="2"/>
  <c r="M210" i="2"/>
  <c r="L210" i="2"/>
  <c r="K210" i="2"/>
  <c r="M209" i="2"/>
  <c r="L209" i="2"/>
  <c r="K209" i="2"/>
  <c r="M208" i="2"/>
  <c r="L208" i="2"/>
  <c r="K208" i="2"/>
  <c r="M207" i="2"/>
  <c r="L207" i="2"/>
  <c r="K207" i="2"/>
  <c r="M206" i="2"/>
  <c r="L206" i="2"/>
  <c r="K206" i="2"/>
  <c r="M205" i="2"/>
  <c r="L205" i="2"/>
  <c r="K205" i="2"/>
  <c r="M204" i="2"/>
  <c r="L204" i="2"/>
  <c r="K204" i="2"/>
  <c r="M203" i="2"/>
  <c r="L203" i="2"/>
  <c r="K203" i="2"/>
  <c r="M202" i="2"/>
  <c r="L202" i="2"/>
  <c r="K202" i="2"/>
  <c r="M201" i="2"/>
  <c r="L201" i="2"/>
  <c r="K201" i="2"/>
  <c r="M200" i="2"/>
  <c r="L200" i="2"/>
  <c r="K200" i="2"/>
  <c r="M199" i="2"/>
  <c r="L199" i="2"/>
  <c r="K199" i="2"/>
  <c r="M198" i="2"/>
  <c r="L198" i="2"/>
  <c r="K198" i="2"/>
  <c r="M197" i="2"/>
  <c r="L197" i="2"/>
  <c r="K197" i="2"/>
  <c r="M196" i="2"/>
  <c r="L196" i="2"/>
  <c r="K196" i="2"/>
  <c r="M195" i="2"/>
  <c r="L195" i="2"/>
  <c r="K195" i="2"/>
  <c r="M194" i="2"/>
  <c r="L194" i="2"/>
  <c r="K194" i="2"/>
  <c r="M193" i="2"/>
  <c r="L193" i="2"/>
  <c r="K193" i="2"/>
  <c r="M192" i="2"/>
  <c r="L192" i="2"/>
  <c r="K192" i="2"/>
  <c r="M191" i="2"/>
  <c r="L191" i="2"/>
  <c r="K191" i="2"/>
  <c r="M190" i="2"/>
  <c r="L190" i="2"/>
  <c r="K190" i="2"/>
  <c r="M189" i="2"/>
  <c r="L189" i="2"/>
  <c r="K189" i="2"/>
  <c r="M188" i="2"/>
  <c r="L188" i="2"/>
  <c r="K188" i="2"/>
  <c r="M187" i="2"/>
  <c r="L187" i="2"/>
  <c r="K187" i="2"/>
  <c r="M186" i="2"/>
  <c r="L186" i="2"/>
  <c r="K186" i="2"/>
  <c r="M185" i="2"/>
  <c r="L185" i="2"/>
  <c r="K185" i="2"/>
  <c r="M184" i="2"/>
  <c r="L184" i="2"/>
  <c r="K184" i="2"/>
  <c r="M183" i="2"/>
  <c r="L183" i="2"/>
  <c r="K183" i="2"/>
  <c r="M182" i="2"/>
  <c r="L182" i="2"/>
  <c r="K182" i="2"/>
  <c r="M181" i="2"/>
  <c r="L181" i="2"/>
  <c r="K181" i="2"/>
  <c r="M180" i="2"/>
  <c r="L180" i="2"/>
  <c r="K180" i="2"/>
  <c r="M179" i="2"/>
  <c r="L179" i="2"/>
  <c r="K179" i="2"/>
  <c r="M178" i="2"/>
  <c r="L178" i="2"/>
  <c r="K178" i="2"/>
  <c r="M177" i="2"/>
  <c r="L177" i="2"/>
  <c r="K177" i="2"/>
  <c r="M176" i="2"/>
  <c r="L176" i="2"/>
  <c r="K176" i="2"/>
  <c r="M175" i="2"/>
  <c r="L175" i="2"/>
  <c r="K175" i="2"/>
  <c r="M174" i="2"/>
  <c r="L174" i="2"/>
  <c r="K174" i="2"/>
  <c r="M173" i="2"/>
  <c r="L173" i="2"/>
  <c r="K173" i="2"/>
  <c r="M172" i="2"/>
  <c r="L172" i="2"/>
  <c r="K172" i="2"/>
  <c r="M171" i="2"/>
  <c r="L171" i="2"/>
  <c r="K171" i="2"/>
  <c r="M170" i="2"/>
  <c r="L170" i="2"/>
  <c r="K170" i="2"/>
  <c r="M169" i="2"/>
  <c r="L169" i="2"/>
  <c r="K169" i="2"/>
  <c r="M168" i="2"/>
  <c r="L168" i="2"/>
  <c r="K168" i="2"/>
  <c r="M167" i="2"/>
  <c r="L167" i="2"/>
  <c r="K167" i="2"/>
  <c r="M166" i="2"/>
  <c r="L166" i="2"/>
  <c r="K166" i="2"/>
  <c r="M165" i="2"/>
  <c r="L165" i="2"/>
  <c r="K165" i="2"/>
  <c r="M164" i="2"/>
  <c r="L164" i="2"/>
  <c r="K164" i="2"/>
  <c r="M163" i="2"/>
  <c r="L163" i="2"/>
  <c r="K163" i="2"/>
  <c r="M162" i="2"/>
  <c r="L162" i="2"/>
  <c r="K162" i="2"/>
  <c r="M161" i="2"/>
  <c r="L161" i="2"/>
  <c r="K161" i="2"/>
  <c r="M160" i="2"/>
  <c r="L160" i="2"/>
  <c r="K160" i="2"/>
  <c r="M159" i="2"/>
  <c r="L159" i="2"/>
  <c r="K159" i="2"/>
  <c r="M158" i="2"/>
  <c r="L158" i="2"/>
  <c r="K158" i="2"/>
  <c r="M157" i="2"/>
  <c r="L157" i="2"/>
  <c r="K157" i="2"/>
  <c r="M156" i="2"/>
  <c r="L156" i="2"/>
  <c r="K156" i="2"/>
  <c r="M155" i="2"/>
  <c r="L155" i="2"/>
  <c r="K155" i="2"/>
  <c r="M154" i="2"/>
  <c r="L154" i="2"/>
  <c r="K154" i="2"/>
  <c r="M153" i="2"/>
  <c r="L153" i="2"/>
  <c r="K153" i="2"/>
  <c r="M152" i="2"/>
  <c r="L152" i="2"/>
  <c r="K152" i="2"/>
  <c r="M151" i="2"/>
  <c r="L151" i="2"/>
  <c r="K151" i="2"/>
  <c r="M150" i="2"/>
  <c r="L150" i="2"/>
  <c r="K150" i="2"/>
  <c r="M149" i="2"/>
  <c r="L149" i="2"/>
  <c r="K149" i="2"/>
  <c r="M148" i="2"/>
  <c r="L148" i="2"/>
  <c r="K148" i="2"/>
  <c r="M147" i="2"/>
  <c r="L147" i="2"/>
  <c r="K147" i="2"/>
  <c r="M146" i="2"/>
  <c r="L146" i="2"/>
  <c r="K146" i="2"/>
  <c r="M145" i="2"/>
  <c r="L145" i="2"/>
  <c r="K145" i="2"/>
  <c r="M144" i="2"/>
  <c r="L144" i="2"/>
  <c r="K144" i="2"/>
  <c r="M143" i="2"/>
  <c r="L143" i="2"/>
  <c r="K143" i="2"/>
  <c r="M142" i="2"/>
  <c r="L142" i="2"/>
  <c r="K142" i="2"/>
  <c r="M141" i="2"/>
  <c r="L141" i="2"/>
  <c r="K141" i="2"/>
  <c r="M140" i="2"/>
  <c r="L140" i="2"/>
  <c r="K140" i="2"/>
  <c r="M139" i="2"/>
  <c r="L139" i="2"/>
  <c r="K139" i="2"/>
  <c r="M138" i="2"/>
  <c r="L138" i="2"/>
  <c r="K138" i="2"/>
  <c r="M137" i="2"/>
  <c r="L137" i="2"/>
  <c r="K137" i="2"/>
  <c r="M136" i="2"/>
  <c r="L136" i="2"/>
  <c r="K136" i="2"/>
  <c r="M135" i="2"/>
  <c r="L135" i="2"/>
  <c r="K135" i="2"/>
  <c r="M134" i="2"/>
  <c r="L134" i="2"/>
  <c r="K134" i="2"/>
  <c r="M133" i="2"/>
  <c r="L133" i="2"/>
  <c r="K133" i="2"/>
  <c r="M132" i="2"/>
  <c r="L132" i="2"/>
  <c r="K132" i="2"/>
  <c r="M131" i="2"/>
  <c r="L131" i="2"/>
  <c r="K131" i="2"/>
  <c r="M130" i="2"/>
  <c r="L130" i="2"/>
  <c r="K130" i="2"/>
  <c r="M129" i="2"/>
  <c r="L129" i="2"/>
  <c r="K129" i="2"/>
  <c r="M128" i="2"/>
  <c r="L128" i="2"/>
  <c r="K128" i="2"/>
  <c r="M127" i="2"/>
  <c r="L127" i="2"/>
  <c r="K127" i="2"/>
  <c r="M126" i="2"/>
  <c r="L126" i="2"/>
  <c r="K126" i="2"/>
  <c r="M125" i="2"/>
  <c r="L125" i="2"/>
  <c r="K125" i="2"/>
  <c r="M124" i="2"/>
  <c r="L124" i="2"/>
  <c r="K124" i="2"/>
  <c r="M123" i="2"/>
  <c r="L123" i="2"/>
  <c r="K123" i="2"/>
  <c r="M122" i="2"/>
  <c r="L122" i="2"/>
  <c r="K122" i="2"/>
  <c r="M121" i="2"/>
  <c r="L121" i="2"/>
  <c r="K121" i="2"/>
  <c r="M120" i="2"/>
  <c r="L120" i="2"/>
  <c r="K120" i="2"/>
  <c r="M119" i="2"/>
  <c r="L119" i="2"/>
  <c r="K119" i="2"/>
  <c r="M118" i="2"/>
  <c r="L118" i="2"/>
  <c r="K118" i="2"/>
  <c r="M117" i="2"/>
  <c r="L117" i="2"/>
  <c r="K117" i="2"/>
  <c r="M116" i="2"/>
  <c r="L116" i="2"/>
  <c r="K116" i="2"/>
  <c r="M115" i="2"/>
  <c r="L115" i="2"/>
  <c r="K115" i="2"/>
  <c r="M114" i="2"/>
  <c r="L114" i="2"/>
  <c r="K114" i="2"/>
  <c r="M113" i="2"/>
  <c r="L113" i="2"/>
  <c r="K113" i="2"/>
  <c r="M112" i="2"/>
  <c r="L112" i="2"/>
  <c r="K112" i="2"/>
  <c r="M111" i="2"/>
  <c r="L111" i="2"/>
  <c r="K111" i="2"/>
  <c r="M110" i="2"/>
  <c r="L110" i="2"/>
  <c r="K110" i="2"/>
  <c r="M109" i="2"/>
  <c r="L109" i="2"/>
  <c r="K109" i="2"/>
  <c r="M108" i="2"/>
  <c r="L108" i="2"/>
  <c r="K108" i="2"/>
  <c r="M107" i="2"/>
  <c r="L107" i="2"/>
  <c r="K107" i="2"/>
  <c r="M106" i="2"/>
  <c r="L106" i="2"/>
  <c r="K106" i="2"/>
  <c r="M105" i="2"/>
  <c r="L105" i="2"/>
  <c r="K105" i="2"/>
  <c r="M104" i="2"/>
  <c r="L104" i="2"/>
  <c r="K104" i="2"/>
  <c r="M103" i="2"/>
  <c r="L103" i="2"/>
  <c r="K103" i="2"/>
  <c r="M102" i="2"/>
  <c r="L102" i="2"/>
  <c r="K102" i="2"/>
  <c r="M101" i="2"/>
  <c r="L101" i="2"/>
  <c r="K101" i="2"/>
  <c r="M100" i="2"/>
  <c r="L100" i="2"/>
  <c r="K100" i="2"/>
  <c r="M99" i="2"/>
  <c r="L99" i="2"/>
  <c r="K99" i="2"/>
  <c r="M98" i="2"/>
  <c r="L98" i="2"/>
  <c r="K98" i="2"/>
  <c r="M97" i="2"/>
  <c r="L97" i="2"/>
  <c r="K97" i="2"/>
  <c r="M96" i="2"/>
  <c r="L96" i="2"/>
  <c r="K96" i="2"/>
  <c r="M95" i="2"/>
  <c r="L95" i="2"/>
  <c r="K95" i="2"/>
  <c r="M94" i="2"/>
  <c r="L94" i="2"/>
  <c r="K94" i="2"/>
  <c r="M93" i="2"/>
  <c r="L93" i="2"/>
  <c r="K93" i="2"/>
  <c r="M92" i="2"/>
  <c r="L92" i="2"/>
  <c r="K92" i="2"/>
  <c r="M91" i="2"/>
  <c r="L91" i="2"/>
  <c r="K91" i="2"/>
  <c r="M90" i="2"/>
  <c r="L90" i="2"/>
  <c r="K90" i="2"/>
  <c r="M89" i="2"/>
  <c r="L89" i="2"/>
  <c r="K89" i="2"/>
  <c r="M88" i="2"/>
  <c r="L88" i="2"/>
  <c r="K88" i="2"/>
  <c r="M87" i="2"/>
  <c r="L87" i="2"/>
  <c r="K87" i="2"/>
  <c r="M86" i="2"/>
  <c r="L86" i="2"/>
  <c r="K86" i="2"/>
  <c r="M85" i="2"/>
  <c r="L85" i="2"/>
  <c r="K85" i="2"/>
  <c r="M84" i="2"/>
  <c r="L84" i="2"/>
  <c r="K84" i="2"/>
  <c r="M83" i="2"/>
  <c r="L83" i="2"/>
  <c r="K83" i="2"/>
  <c r="M82" i="2"/>
  <c r="L82" i="2"/>
  <c r="K82" i="2"/>
  <c r="M81" i="2"/>
  <c r="L81" i="2"/>
  <c r="K81" i="2"/>
  <c r="M80" i="2"/>
  <c r="L80" i="2"/>
  <c r="K80" i="2"/>
  <c r="M79" i="2"/>
  <c r="L79" i="2"/>
  <c r="K79" i="2"/>
  <c r="M78" i="2"/>
  <c r="L78" i="2"/>
  <c r="K78" i="2"/>
  <c r="M77" i="2"/>
  <c r="L77" i="2"/>
  <c r="K77" i="2"/>
  <c r="M76" i="2"/>
  <c r="L76" i="2"/>
  <c r="K76" i="2"/>
  <c r="M75" i="2"/>
  <c r="L75" i="2"/>
  <c r="K75" i="2"/>
  <c r="M74" i="2"/>
  <c r="L74" i="2"/>
  <c r="K74" i="2"/>
  <c r="M73" i="2"/>
  <c r="L73" i="2"/>
  <c r="K73" i="2"/>
  <c r="M72" i="2"/>
  <c r="L72" i="2"/>
  <c r="K72" i="2"/>
  <c r="M71" i="2"/>
  <c r="L71" i="2"/>
  <c r="K71" i="2"/>
  <c r="M70" i="2"/>
  <c r="L70" i="2"/>
  <c r="K70" i="2"/>
  <c r="M69" i="2"/>
  <c r="L69" i="2"/>
  <c r="K69" i="2"/>
  <c r="M68" i="2"/>
  <c r="L68" i="2"/>
  <c r="K68" i="2"/>
  <c r="M67" i="2"/>
  <c r="L67" i="2"/>
  <c r="K67" i="2"/>
  <c r="M66" i="2"/>
  <c r="L66" i="2"/>
  <c r="K66" i="2"/>
  <c r="M65" i="2"/>
  <c r="L65" i="2"/>
  <c r="K65" i="2"/>
  <c r="M64" i="2"/>
  <c r="L64" i="2"/>
  <c r="K64" i="2"/>
  <c r="M63" i="2"/>
  <c r="L63" i="2"/>
  <c r="K63" i="2"/>
  <c r="M62" i="2"/>
  <c r="L62" i="2"/>
  <c r="K62" i="2"/>
  <c r="M61" i="2"/>
  <c r="L61" i="2"/>
  <c r="K61" i="2"/>
  <c r="M60" i="2"/>
  <c r="L60" i="2"/>
  <c r="K60" i="2"/>
  <c r="M59" i="2"/>
  <c r="L59" i="2"/>
  <c r="K59" i="2"/>
  <c r="M58" i="2"/>
  <c r="L58" i="2"/>
  <c r="K58" i="2"/>
  <c r="M57" i="2"/>
  <c r="L57" i="2"/>
  <c r="K57" i="2"/>
  <c r="M56" i="2"/>
  <c r="L56" i="2"/>
  <c r="K56" i="2"/>
  <c r="M55" i="2"/>
  <c r="L55" i="2"/>
  <c r="K55" i="2"/>
  <c r="M54" i="2"/>
  <c r="L54" i="2"/>
  <c r="K54" i="2"/>
  <c r="M53" i="2"/>
  <c r="L53" i="2"/>
  <c r="K53" i="2"/>
  <c r="M52" i="2"/>
  <c r="L52" i="2"/>
  <c r="K52" i="2"/>
  <c r="M51" i="2"/>
  <c r="L51" i="2"/>
  <c r="K51" i="2"/>
  <c r="M50" i="2"/>
  <c r="L50" i="2"/>
  <c r="K50" i="2"/>
  <c r="M49" i="2"/>
  <c r="L49" i="2"/>
  <c r="K49" i="2"/>
  <c r="M48" i="2"/>
  <c r="L48" i="2"/>
  <c r="K48" i="2"/>
  <c r="M47" i="2"/>
  <c r="L47" i="2"/>
  <c r="K47" i="2"/>
  <c r="M46" i="2"/>
  <c r="L46" i="2"/>
  <c r="K46" i="2"/>
  <c r="M45" i="2"/>
  <c r="L45" i="2"/>
  <c r="K45" i="2"/>
  <c r="M44" i="2"/>
  <c r="L44" i="2"/>
  <c r="K44" i="2"/>
  <c r="M43" i="2"/>
  <c r="L43" i="2"/>
  <c r="K43" i="2"/>
  <c r="M42" i="2"/>
  <c r="L42" i="2"/>
  <c r="K42" i="2"/>
  <c r="M41" i="2"/>
  <c r="L41" i="2"/>
  <c r="K41" i="2"/>
  <c r="M40" i="2"/>
  <c r="L40" i="2"/>
  <c r="K40" i="2"/>
  <c r="M39" i="2"/>
  <c r="L39" i="2"/>
  <c r="K39" i="2"/>
  <c r="M38" i="2"/>
  <c r="L38" i="2"/>
  <c r="K38" i="2"/>
  <c r="M37" i="2"/>
  <c r="L37" i="2"/>
  <c r="K37" i="2"/>
  <c r="M36" i="2"/>
  <c r="L36" i="2"/>
  <c r="K36" i="2"/>
  <c r="M35" i="2"/>
  <c r="L35" i="2"/>
  <c r="K35" i="2"/>
  <c r="M34" i="2"/>
  <c r="L34" i="2"/>
  <c r="K34" i="2"/>
  <c r="M33" i="2"/>
  <c r="L33" i="2"/>
  <c r="K33" i="2"/>
  <c r="M32" i="2"/>
  <c r="L32" i="2"/>
  <c r="K32" i="2"/>
  <c r="M31" i="2"/>
  <c r="L31" i="2"/>
  <c r="K31" i="2"/>
  <c r="M30" i="2"/>
  <c r="L30" i="2"/>
  <c r="K30" i="2"/>
  <c r="M29" i="2"/>
  <c r="L29" i="2"/>
  <c r="K29" i="2"/>
  <c r="M28" i="2"/>
  <c r="L28" i="2"/>
  <c r="K28" i="2"/>
  <c r="M27" i="2"/>
  <c r="L27" i="2"/>
  <c r="K27" i="2"/>
  <c r="M26" i="2"/>
  <c r="L26" i="2"/>
  <c r="K26" i="2"/>
  <c r="M25" i="2"/>
  <c r="L25" i="2"/>
  <c r="K25" i="2"/>
  <c r="M24" i="2"/>
  <c r="L24" i="2"/>
  <c r="K24" i="2"/>
  <c r="M23" i="2"/>
  <c r="L23" i="2"/>
  <c r="K23" i="2"/>
  <c r="M22" i="2"/>
  <c r="L22" i="2"/>
  <c r="K22" i="2"/>
  <c r="M21" i="2"/>
  <c r="L21" i="2"/>
  <c r="K21" i="2"/>
  <c r="M20" i="2"/>
  <c r="L20" i="2"/>
  <c r="K20" i="2"/>
  <c r="M19" i="2"/>
  <c r="L19" i="2"/>
  <c r="K19" i="2"/>
  <c r="M18" i="2"/>
  <c r="L18" i="2"/>
  <c r="K18" i="2"/>
  <c r="M17" i="2"/>
  <c r="L17" i="2"/>
  <c r="K17" i="2"/>
  <c r="M16" i="2"/>
  <c r="L16" i="2"/>
  <c r="K16" i="2"/>
  <c r="M15" i="2"/>
  <c r="L15" i="2"/>
  <c r="K15" i="2"/>
  <c r="M14" i="2"/>
  <c r="L14" i="2"/>
  <c r="K14" i="2"/>
  <c r="M13" i="2"/>
  <c r="L13" i="2"/>
  <c r="K13" i="2"/>
  <c r="M12" i="2"/>
  <c r="L12" i="2"/>
  <c r="K12" i="2"/>
  <c r="M11" i="2"/>
  <c r="L11" i="2"/>
  <c r="K11" i="2"/>
  <c r="M10" i="2"/>
  <c r="L10" i="2"/>
  <c r="K10" i="2"/>
  <c r="M9" i="2"/>
  <c r="L9" i="2"/>
  <c r="K9" i="2"/>
  <c r="M8" i="2"/>
  <c r="L8" i="2"/>
  <c r="K8" i="2"/>
  <c r="M7" i="2"/>
  <c r="L7" i="2"/>
  <c r="K7" i="2"/>
  <c r="M6" i="2"/>
  <c r="L6" i="2"/>
  <c r="K6" i="2"/>
  <c r="M5" i="2"/>
  <c r="L5" i="2"/>
  <c r="K5" i="2"/>
  <c r="M4" i="2"/>
  <c r="L4" i="2"/>
  <c r="K4" i="2"/>
  <c r="M3" i="2"/>
  <c r="L3" i="2"/>
  <c r="B356" i="1" s="1"/>
  <c r="BB356" i="1" s="1"/>
  <c r="K3" i="2"/>
  <c r="BM547" i="1"/>
  <c r="BK547" i="1"/>
  <c r="BL547" i="1" s="1"/>
  <c r="BJ547" i="1"/>
  <c r="BH547" i="1"/>
  <c r="BI547" i="1" s="1"/>
  <c r="BE547" i="1"/>
  <c r="BD547" i="1"/>
  <c r="BC547" i="1"/>
  <c r="BA547" i="1"/>
  <c r="AX547" i="1"/>
  <c r="AW547" i="1"/>
  <c r="AV547" i="1"/>
  <c r="AU547" i="1"/>
  <c r="AT547" i="1"/>
  <c r="AQ547" i="1"/>
  <c r="AR547" i="1" s="1"/>
  <c r="AP547" i="1"/>
  <c r="AO547" i="1"/>
  <c r="AN547" i="1"/>
  <c r="AE547" i="1"/>
  <c r="AB547" i="1"/>
  <c r="AM547" i="1" s="1"/>
  <c r="X547" i="1"/>
  <c r="F547" i="1"/>
  <c r="E547" i="1"/>
  <c r="D547" i="1"/>
  <c r="B547" i="1"/>
  <c r="AY547" i="1" s="1"/>
  <c r="A547" i="1"/>
  <c r="BM546" i="1"/>
  <c r="BK546" i="1"/>
  <c r="BL546" i="1" s="1"/>
  <c r="BJ546" i="1"/>
  <c r="BH546" i="1"/>
  <c r="BI546" i="1" s="1"/>
  <c r="BE546" i="1"/>
  <c r="BD546" i="1"/>
  <c r="BC546" i="1"/>
  <c r="BA546" i="1"/>
  <c r="AX546" i="1"/>
  <c r="AW546" i="1"/>
  <c r="AV546" i="1"/>
  <c r="AU546" i="1"/>
  <c r="AT546" i="1"/>
  <c r="AQ546" i="1"/>
  <c r="AR546" i="1" s="1"/>
  <c r="AP546" i="1"/>
  <c r="AO546" i="1"/>
  <c r="AN546" i="1"/>
  <c r="AE546" i="1"/>
  <c r="AB546" i="1"/>
  <c r="AM546" i="1" s="1"/>
  <c r="X546" i="1"/>
  <c r="F546" i="1"/>
  <c r="E546" i="1"/>
  <c r="D546" i="1"/>
  <c r="B546" i="1"/>
  <c r="AY546" i="1" s="1"/>
  <c r="A546" i="1"/>
  <c r="BM545" i="1"/>
  <c r="BK545" i="1"/>
  <c r="BL545" i="1" s="1"/>
  <c r="BJ545" i="1"/>
  <c r="BH545" i="1"/>
  <c r="BI545" i="1" s="1"/>
  <c r="BE545" i="1"/>
  <c r="BD545" i="1"/>
  <c r="BC545" i="1"/>
  <c r="BA545" i="1"/>
  <c r="AX545" i="1"/>
  <c r="AW545" i="1"/>
  <c r="AV545" i="1"/>
  <c r="AU545" i="1"/>
  <c r="AT545" i="1"/>
  <c r="AQ545" i="1"/>
  <c r="AR545" i="1" s="1"/>
  <c r="AP545" i="1"/>
  <c r="AO545" i="1"/>
  <c r="AN545" i="1"/>
  <c r="AE545" i="1"/>
  <c r="AB545" i="1"/>
  <c r="AM545" i="1" s="1"/>
  <c r="X545" i="1"/>
  <c r="F545" i="1"/>
  <c r="E545" i="1"/>
  <c r="D545" i="1"/>
  <c r="B545" i="1"/>
  <c r="AY545" i="1" s="1"/>
  <c r="A545" i="1"/>
  <c r="BM544" i="1"/>
  <c r="BK544" i="1"/>
  <c r="BL544" i="1" s="1"/>
  <c r="BJ544" i="1"/>
  <c r="BH544" i="1"/>
  <c r="BI544" i="1" s="1"/>
  <c r="BE544" i="1"/>
  <c r="BD544" i="1"/>
  <c r="BC544" i="1"/>
  <c r="BA544" i="1"/>
  <c r="AX544" i="1"/>
  <c r="AW544" i="1"/>
  <c r="AV544" i="1"/>
  <c r="AU544" i="1"/>
  <c r="AT544" i="1"/>
  <c r="AQ544" i="1"/>
  <c r="AR544" i="1" s="1"/>
  <c r="AP544" i="1"/>
  <c r="AO544" i="1"/>
  <c r="AN544" i="1"/>
  <c r="AE544" i="1"/>
  <c r="AB544" i="1"/>
  <c r="AM544" i="1" s="1"/>
  <c r="X544" i="1"/>
  <c r="F544" i="1"/>
  <c r="E544" i="1"/>
  <c r="D544" i="1"/>
  <c r="B544" i="1"/>
  <c r="AY544" i="1" s="1"/>
  <c r="A544" i="1"/>
  <c r="BM543" i="1"/>
  <c r="BK543" i="1"/>
  <c r="BL543" i="1" s="1"/>
  <c r="BJ543" i="1"/>
  <c r="BH543" i="1"/>
  <c r="BI543" i="1" s="1"/>
  <c r="BE543" i="1"/>
  <c r="BD543" i="1"/>
  <c r="BC543" i="1"/>
  <c r="BA543" i="1"/>
  <c r="AX543" i="1"/>
  <c r="AW543" i="1"/>
  <c r="AV543" i="1"/>
  <c r="AU543" i="1"/>
  <c r="AT543" i="1"/>
  <c r="AQ543" i="1"/>
  <c r="AR543" i="1" s="1"/>
  <c r="AP543" i="1"/>
  <c r="AO543" i="1"/>
  <c r="AN543" i="1"/>
  <c r="AE543" i="1"/>
  <c r="AB543" i="1"/>
  <c r="AM543" i="1" s="1"/>
  <c r="X543" i="1"/>
  <c r="F543" i="1"/>
  <c r="E543" i="1"/>
  <c r="D543" i="1"/>
  <c r="B543" i="1"/>
  <c r="AY543" i="1" s="1"/>
  <c r="A543" i="1"/>
  <c r="BM542" i="1"/>
  <c r="BK542" i="1"/>
  <c r="BL542" i="1" s="1"/>
  <c r="BJ542" i="1"/>
  <c r="BH542" i="1"/>
  <c r="BI542" i="1" s="1"/>
  <c r="BE542" i="1"/>
  <c r="BD542" i="1"/>
  <c r="BC542" i="1"/>
  <c r="BA542" i="1"/>
  <c r="AX542" i="1"/>
  <c r="AW542" i="1"/>
  <c r="AV542" i="1"/>
  <c r="AU542" i="1"/>
  <c r="AT542" i="1"/>
  <c r="AQ542" i="1"/>
  <c r="AR542" i="1" s="1"/>
  <c r="AP542" i="1"/>
  <c r="AO542" i="1"/>
  <c r="AN542" i="1"/>
  <c r="AE542" i="1"/>
  <c r="AB542" i="1"/>
  <c r="AM542" i="1" s="1"/>
  <c r="X542" i="1"/>
  <c r="F542" i="1"/>
  <c r="E542" i="1"/>
  <c r="D542" i="1"/>
  <c r="B542" i="1"/>
  <c r="AY542" i="1" s="1"/>
  <c r="A542" i="1"/>
  <c r="BJ541" i="1"/>
  <c r="BH541" i="1"/>
  <c r="BI541" i="1" s="1"/>
  <c r="BE541" i="1"/>
  <c r="BD541" i="1"/>
  <c r="BC541" i="1"/>
  <c r="BA541" i="1"/>
  <c r="AX541" i="1"/>
  <c r="AV541" i="1"/>
  <c r="AU541" i="1"/>
  <c r="AT541" i="1"/>
  <c r="AQ541" i="1"/>
  <c r="AR541" i="1" s="1"/>
  <c r="AP541" i="1"/>
  <c r="AO541" i="1"/>
  <c r="AN541" i="1"/>
  <c r="AE541" i="1"/>
  <c r="AB541" i="1"/>
  <c r="AM541" i="1" s="1"/>
  <c r="X541" i="1"/>
  <c r="F541" i="1"/>
  <c r="E541" i="1"/>
  <c r="D541" i="1"/>
  <c r="B541" i="1"/>
  <c r="BB541" i="1" s="1"/>
  <c r="BJ537" i="1"/>
  <c r="BH537" i="1"/>
  <c r="BI537" i="1" s="1"/>
  <c r="BE537" i="1"/>
  <c r="BD537" i="1"/>
  <c r="BC537" i="1"/>
  <c r="BA537" i="1"/>
  <c r="AX537" i="1"/>
  <c r="AV537" i="1"/>
  <c r="AU537" i="1"/>
  <c r="AT537" i="1"/>
  <c r="AQ537" i="1"/>
  <c r="AR537" i="1" s="1"/>
  <c r="AP537" i="1"/>
  <c r="AO537" i="1"/>
  <c r="AN537" i="1"/>
  <c r="AE537" i="1"/>
  <c r="AB537" i="1"/>
  <c r="X537" i="1"/>
  <c r="F537" i="1"/>
  <c r="E537" i="1"/>
  <c r="D537" i="1"/>
  <c r="B537" i="1"/>
  <c r="BB537" i="1" s="1"/>
  <c r="BM536" i="1"/>
  <c r="BK536" i="1"/>
  <c r="BL536" i="1" s="1"/>
  <c r="BE536" i="1"/>
  <c r="BD536" i="1"/>
  <c r="BC536" i="1"/>
  <c r="BA536" i="1"/>
  <c r="AX536" i="1"/>
  <c r="AV536" i="1"/>
  <c r="AU536" i="1"/>
  <c r="AT536" i="1"/>
  <c r="AQ536" i="1"/>
  <c r="AR536" i="1" s="1"/>
  <c r="AP536" i="1"/>
  <c r="AO536" i="1"/>
  <c r="AN536" i="1"/>
  <c r="AE536" i="1"/>
  <c r="AB536" i="1"/>
  <c r="X536" i="1"/>
  <c r="F536" i="1"/>
  <c r="E536" i="1"/>
  <c r="D536" i="1"/>
  <c r="B536" i="1"/>
  <c r="BJ534" i="1"/>
  <c r="BH534" i="1"/>
  <c r="BI534" i="1" s="1"/>
  <c r="BE534" i="1"/>
  <c r="BD534" i="1"/>
  <c r="BC534" i="1"/>
  <c r="BA534" i="1"/>
  <c r="AX534" i="1"/>
  <c r="AW534" i="1"/>
  <c r="AV534" i="1"/>
  <c r="AU534" i="1"/>
  <c r="AT534" i="1"/>
  <c r="AQ534" i="1"/>
  <c r="AR534" i="1" s="1"/>
  <c r="AP534" i="1"/>
  <c r="AO534" i="1"/>
  <c r="AB534" i="1"/>
  <c r="X534" i="1"/>
  <c r="F534" i="1"/>
  <c r="E534" i="1"/>
  <c r="D534" i="1"/>
  <c r="B534" i="1"/>
  <c r="BJ533" i="1"/>
  <c r="BH533" i="1"/>
  <c r="BI533" i="1" s="1"/>
  <c r="BE533" i="1"/>
  <c r="BD533" i="1"/>
  <c r="BC533" i="1"/>
  <c r="BA533" i="1"/>
  <c r="AX533" i="1"/>
  <c r="AW533" i="1"/>
  <c r="AV533" i="1"/>
  <c r="AU533" i="1"/>
  <c r="AT533" i="1"/>
  <c r="AQ533" i="1"/>
  <c r="AR533" i="1" s="1"/>
  <c r="AP533" i="1"/>
  <c r="AO533" i="1"/>
  <c r="AN533" i="1"/>
  <c r="AB533" i="1"/>
  <c r="X533" i="1"/>
  <c r="F533" i="1"/>
  <c r="E533" i="1"/>
  <c r="D533" i="1"/>
  <c r="B533" i="1"/>
  <c r="BB533" i="1" s="1"/>
  <c r="BE523" i="1"/>
  <c r="BD523" i="1"/>
  <c r="BC523" i="1"/>
  <c r="BA523" i="1"/>
  <c r="AX523" i="1"/>
  <c r="AW523" i="1"/>
  <c r="AV523" i="1"/>
  <c r="AU523" i="1"/>
  <c r="AT523" i="1"/>
  <c r="AQ523" i="1"/>
  <c r="AR523" i="1" s="1"/>
  <c r="AP523" i="1"/>
  <c r="AO523" i="1"/>
  <c r="AN523" i="1"/>
  <c r="AE523" i="1"/>
  <c r="AB523" i="1"/>
  <c r="X523" i="1"/>
  <c r="F523" i="1"/>
  <c r="E523" i="1"/>
  <c r="D523" i="1"/>
  <c r="B523" i="1"/>
  <c r="BB523" i="1" s="1"/>
  <c r="A523" i="1"/>
  <c r="BM519" i="1"/>
  <c r="BK519" i="1"/>
  <c r="BL519" i="1" s="1"/>
  <c r="BE519" i="1"/>
  <c r="BD519" i="1"/>
  <c r="BC519" i="1"/>
  <c r="BA519" i="1"/>
  <c r="AX519" i="1"/>
  <c r="AW519" i="1"/>
  <c r="AV519" i="1"/>
  <c r="AU519" i="1"/>
  <c r="AT519" i="1"/>
  <c r="AQ519" i="1"/>
  <c r="AR519" i="1" s="1"/>
  <c r="AP519" i="1"/>
  <c r="AO519" i="1"/>
  <c r="AN519" i="1"/>
  <c r="AE519" i="1"/>
  <c r="AB519" i="1"/>
  <c r="X519" i="1"/>
  <c r="F519" i="1"/>
  <c r="E519" i="1"/>
  <c r="D519" i="1"/>
  <c r="B519" i="1"/>
  <c r="BB519" i="1" s="1"/>
  <c r="BJ521" i="1"/>
  <c r="BH521" i="1"/>
  <c r="BI521" i="1" s="1"/>
  <c r="BE521" i="1"/>
  <c r="BD521" i="1"/>
  <c r="BC521" i="1"/>
  <c r="BA521" i="1"/>
  <c r="AX521" i="1"/>
  <c r="AW521" i="1"/>
  <c r="AV521" i="1"/>
  <c r="AU521" i="1"/>
  <c r="AT521" i="1"/>
  <c r="AQ521" i="1"/>
  <c r="AR521" i="1" s="1"/>
  <c r="AP521" i="1"/>
  <c r="AO521" i="1"/>
  <c r="AN521" i="1"/>
  <c r="AE521" i="1"/>
  <c r="X521" i="1"/>
  <c r="F521" i="1"/>
  <c r="E521" i="1"/>
  <c r="D521" i="1"/>
  <c r="B521" i="1"/>
  <c r="BB521" i="1" s="1"/>
  <c r="BJ520" i="1"/>
  <c r="BH520" i="1"/>
  <c r="BI520" i="1" s="1"/>
  <c r="BE520" i="1"/>
  <c r="BD520" i="1"/>
  <c r="BC520" i="1"/>
  <c r="BA520" i="1"/>
  <c r="AX520" i="1"/>
  <c r="AV520" i="1"/>
  <c r="AU520" i="1"/>
  <c r="AT520" i="1"/>
  <c r="AQ520" i="1"/>
  <c r="AR520" i="1" s="1"/>
  <c r="AP520" i="1"/>
  <c r="AO520" i="1"/>
  <c r="AN520" i="1"/>
  <c r="AE520" i="1"/>
  <c r="AB520" i="1"/>
  <c r="AW520" i="1" s="1"/>
  <c r="X520" i="1"/>
  <c r="F520" i="1"/>
  <c r="E520" i="1"/>
  <c r="D520" i="1"/>
  <c r="B520" i="1"/>
  <c r="A520" i="1"/>
  <c r="BM518" i="1"/>
  <c r="BK518" i="1"/>
  <c r="BL518" i="1" s="1"/>
  <c r="BE518" i="1"/>
  <c r="BD518" i="1"/>
  <c r="BC518" i="1"/>
  <c r="BA518" i="1"/>
  <c r="AX518" i="1"/>
  <c r="AV518" i="1"/>
  <c r="AU518" i="1"/>
  <c r="AT518" i="1"/>
  <c r="AQ518" i="1"/>
  <c r="AR518" i="1" s="1"/>
  <c r="AP518" i="1"/>
  <c r="AO518" i="1"/>
  <c r="AN518" i="1"/>
  <c r="AE518" i="1"/>
  <c r="AB518" i="1"/>
  <c r="AW518" i="1" s="1"/>
  <c r="X518" i="1"/>
  <c r="F518" i="1"/>
  <c r="E518" i="1"/>
  <c r="D518" i="1"/>
  <c r="B518" i="1"/>
  <c r="BB518" i="1" s="1"/>
  <c r="BM517" i="1"/>
  <c r="BK517" i="1"/>
  <c r="BL517" i="1" s="1"/>
  <c r="BE517" i="1"/>
  <c r="BD517" i="1"/>
  <c r="BC517" i="1"/>
  <c r="BA517" i="1"/>
  <c r="AX517" i="1"/>
  <c r="AW517" i="1"/>
  <c r="AV517" i="1"/>
  <c r="AU517" i="1"/>
  <c r="AT517" i="1"/>
  <c r="AQ517" i="1"/>
  <c r="AR517" i="1" s="1"/>
  <c r="AP517" i="1"/>
  <c r="AO517" i="1"/>
  <c r="AB517" i="1"/>
  <c r="X517" i="1"/>
  <c r="F517" i="1"/>
  <c r="E517" i="1"/>
  <c r="D517" i="1"/>
  <c r="B517" i="1"/>
  <c r="AY517" i="1" s="1"/>
  <c r="BM516" i="1"/>
  <c r="BK516" i="1"/>
  <c r="BL516" i="1" s="1"/>
  <c r="BE516" i="1"/>
  <c r="BD516" i="1"/>
  <c r="BC516" i="1"/>
  <c r="BA516" i="1"/>
  <c r="AX516" i="1"/>
  <c r="AW516" i="1"/>
  <c r="AV516" i="1"/>
  <c r="AU516" i="1"/>
  <c r="AT516" i="1"/>
  <c r="AO516" i="1"/>
  <c r="AN516" i="1"/>
  <c r="AB516" i="1"/>
  <c r="X516" i="1"/>
  <c r="F516" i="1"/>
  <c r="E516" i="1"/>
  <c r="D516" i="1"/>
  <c r="B516" i="1"/>
  <c r="BB516" i="1" s="1"/>
  <c r="BH514" i="1"/>
  <c r="BI514" i="1" s="1"/>
  <c r="BE514" i="1"/>
  <c r="BD514" i="1"/>
  <c r="BC514" i="1"/>
  <c r="BA514" i="1"/>
  <c r="AX514" i="1"/>
  <c r="AW514" i="1"/>
  <c r="AV514" i="1"/>
  <c r="AU514" i="1"/>
  <c r="AT514" i="1"/>
  <c r="AO514" i="1"/>
  <c r="AB514" i="1"/>
  <c r="X514" i="1"/>
  <c r="F514" i="1"/>
  <c r="E514" i="1"/>
  <c r="D514" i="1"/>
  <c r="B514" i="1"/>
  <c r="BH513" i="1"/>
  <c r="BI513" i="1" s="1"/>
  <c r="BE513" i="1"/>
  <c r="BD513" i="1"/>
  <c r="BC513" i="1"/>
  <c r="BA513" i="1"/>
  <c r="AX513" i="1"/>
  <c r="AW513" i="1"/>
  <c r="AV513" i="1"/>
  <c r="AU513" i="1"/>
  <c r="AT513" i="1"/>
  <c r="AQ513" i="1"/>
  <c r="AR513" i="1" s="1"/>
  <c r="AP513" i="1"/>
  <c r="BJ513" i="1" s="1"/>
  <c r="AO513" i="1"/>
  <c r="AN513" i="1"/>
  <c r="AB513" i="1"/>
  <c r="X513" i="1"/>
  <c r="F513" i="1"/>
  <c r="E513" i="1"/>
  <c r="D513" i="1"/>
  <c r="B513" i="1"/>
  <c r="BB513" i="1" s="1"/>
  <c r="A513" i="1"/>
  <c r="BJ532" i="1"/>
  <c r="BH532" i="1"/>
  <c r="BI532" i="1" s="1"/>
  <c r="BE532" i="1"/>
  <c r="BD532" i="1"/>
  <c r="BC532" i="1"/>
  <c r="BA532" i="1"/>
  <c r="AX532" i="1"/>
  <c r="AV532" i="1"/>
  <c r="AU532" i="1"/>
  <c r="AT532" i="1"/>
  <c r="AQ532" i="1"/>
  <c r="AR532" i="1" s="1"/>
  <c r="AP532" i="1"/>
  <c r="AO532" i="1"/>
  <c r="AN532" i="1"/>
  <c r="AE532" i="1"/>
  <c r="AB532" i="1"/>
  <c r="AW532" i="1" s="1"/>
  <c r="X532" i="1"/>
  <c r="F532" i="1"/>
  <c r="E532" i="1"/>
  <c r="D532" i="1"/>
  <c r="A532" i="1"/>
  <c r="BJ529" i="1"/>
  <c r="BH529" i="1"/>
  <c r="BI529" i="1" s="1"/>
  <c r="BE529" i="1"/>
  <c r="BD529" i="1"/>
  <c r="BC529" i="1"/>
  <c r="BA529" i="1"/>
  <c r="AX529" i="1"/>
  <c r="AV529" i="1"/>
  <c r="AU529" i="1"/>
  <c r="AT529" i="1"/>
  <c r="AQ529" i="1"/>
  <c r="AR529" i="1" s="1"/>
  <c r="AP529" i="1"/>
  <c r="AO529" i="1"/>
  <c r="AN529" i="1"/>
  <c r="AE529" i="1"/>
  <c r="AB529" i="1"/>
  <c r="AM529" i="1" s="1"/>
  <c r="X529" i="1"/>
  <c r="F529" i="1"/>
  <c r="E529" i="1"/>
  <c r="D529" i="1"/>
  <c r="B529" i="1"/>
  <c r="BB529" i="1" s="1"/>
  <c r="A529" i="1"/>
  <c r="BM527" i="1"/>
  <c r="BK527" i="1"/>
  <c r="BL527" i="1" s="1"/>
  <c r="BE527" i="1"/>
  <c r="BD527" i="1"/>
  <c r="BC527" i="1"/>
  <c r="BA527" i="1"/>
  <c r="AX527" i="1"/>
  <c r="AV527" i="1"/>
  <c r="AU527" i="1"/>
  <c r="AT527" i="1"/>
  <c r="AQ527" i="1"/>
  <c r="AR527" i="1" s="1"/>
  <c r="AP527" i="1"/>
  <c r="AO527" i="1"/>
  <c r="AN527" i="1"/>
  <c r="AE527" i="1"/>
  <c r="AB527" i="1"/>
  <c r="AW527" i="1" s="1"/>
  <c r="X527" i="1"/>
  <c r="F527" i="1"/>
  <c r="E527" i="1"/>
  <c r="D527" i="1"/>
  <c r="A527" i="1"/>
  <c r="BM526" i="1"/>
  <c r="BK526" i="1"/>
  <c r="BL526" i="1" s="1"/>
  <c r="BE526" i="1"/>
  <c r="BD526" i="1"/>
  <c r="BC526" i="1"/>
  <c r="BA526" i="1"/>
  <c r="AX526" i="1"/>
  <c r="AW526" i="1"/>
  <c r="AV526" i="1"/>
  <c r="AU526" i="1"/>
  <c r="AT526" i="1"/>
  <c r="AQ526" i="1"/>
  <c r="AR526" i="1" s="1"/>
  <c r="AP526" i="1"/>
  <c r="AO526" i="1"/>
  <c r="AN526" i="1"/>
  <c r="AE526" i="1"/>
  <c r="AB526" i="1"/>
  <c r="AM526" i="1" s="1"/>
  <c r="X526" i="1"/>
  <c r="F526" i="1"/>
  <c r="E526" i="1"/>
  <c r="D526" i="1"/>
  <c r="A526" i="1"/>
  <c r="BJ525" i="1"/>
  <c r="BH525" i="1"/>
  <c r="BI525" i="1" s="1"/>
  <c r="BE525" i="1"/>
  <c r="BD525" i="1"/>
  <c r="BC525" i="1"/>
  <c r="BA525" i="1"/>
  <c r="AX525" i="1"/>
  <c r="AW525" i="1"/>
  <c r="AV525" i="1"/>
  <c r="AU525" i="1"/>
  <c r="AT525" i="1"/>
  <c r="AO525" i="1"/>
  <c r="AB525" i="1"/>
  <c r="X525" i="1"/>
  <c r="F525" i="1"/>
  <c r="E525" i="1"/>
  <c r="D525" i="1"/>
  <c r="A525" i="1"/>
  <c r="BJ524" i="1"/>
  <c r="BH524" i="1"/>
  <c r="BI524" i="1" s="1"/>
  <c r="BE524" i="1"/>
  <c r="BD524" i="1"/>
  <c r="BC524" i="1"/>
  <c r="BA524" i="1"/>
  <c r="AX524" i="1"/>
  <c r="AW524" i="1"/>
  <c r="AV524" i="1"/>
  <c r="AU524" i="1"/>
  <c r="AT524" i="1"/>
  <c r="AQ524" i="1"/>
  <c r="AR524" i="1" s="1"/>
  <c r="AP524" i="1"/>
  <c r="AO524" i="1"/>
  <c r="AN524" i="1"/>
  <c r="AB524" i="1"/>
  <c r="AM524" i="1" s="1"/>
  <c r="X524" i="1"/>
  <c r="F524" i="1"/>
  <c r="E524" i="1"/>
  <c r="D524" i="1"/>
  <c r="A524" i="1"/>
  <c r="BJ512" i="1"/>
  <c r="BH512" i="1"/>
  <c r="BI512" i="1" s="1"/>
  <c r="BE512" i="1"/>
  <c r="BC512" i="1"/>
  <c r="BA512" i="1"/>
  <c r="AX512" i="1"/>
  <c r="AW512" i="1"/>
  <c r="AV512" i="1"/>
  <c r="AU512" i="1"/>
  <c r="AT512" i="1"/>
  <c r="AQ512" i="1"/>
  <c r="AR512" i="1" s="1"/>
  <c r="AP512" i="1"/>
  <c r="AO512" i="1"/>
  <c r="AN512" i="1"/>
  <c r="AE512" i="1"/>
  <c r="AB512" i="1"/>
  <c r="AM512" i="1" s="1"/>
  <c r="X512" i="1"/>
  <c r="F512" i="1"/>
  <c r="E512" i="1"/>
  <c r="D512" i="1"/>
  <c r="A512" i="1"/>
  <c r="BJ511" i="1"/>
  <c r="BH511" i="1"/>
  <c r="BI511" i="1" s="1"/>
  <c r="BE511" i="1"/>
  <c r="BD511" i="1"/>
  <c r="BA511" i="1"/>
  <c r="AX511" i="1"/>
  <c r="AW511" i="1"/>
  <c r="AV511" i="1"/>
  <c r="AU511" i="1"/>
  <c r="AT511" i="1"/>
  <c r="AQ511" i="1"/>
  <c r="AR511" i="1" s="1"/>
  <c r="AP511" i="1"/>
  <c r="AO511" i="1"/>
  <c r="AN511" i="1"/>
  <c r="AE511" i="1"/>
  <c r="AB511" i="1"/>
  <c r="AM511" i="1" s="1"/>
  <c r="X511" i="1"/>
  <c r="F511" i="1"/>
  <c r="E511" i="1"/>
  <c r="D511" i="1"/>
  <c r="A511" i="1"/>
  <c r="BJ510" i="1"/>
  <c r="BH510" i="1"/>
  <c r="BI510" i="1" s="1"/>
  <c r="BD510" i="1"/>
  <c r="BC510" i="1"/>
  <c r="BA510" i="1"/>
  <c r="AX510" i="1"/>
  <c r="AW510" i="1"/>
  <c r="AV510" i="1"/>
  <c r="AU510" i="1"/>
  <c r="AT510" i="1"/>
  <c r="AQ510" i="1"/>
  <c r="AR510" i="1" s="1"/>
  <c r="AP510" i="1"/>
  <c r="AO510" i="1"/>
  <c r="AN510" i="1"/>
  <c r="AE510" i="1"/>
  <c r="AB510" i="1"/>
  <c r="BE510" i="1" s="1"/>
  <c r="X510" i="1"/>
  <c r="F510" i="1"/>
  <c r="E510" i="1"/>
  <c r="D510" i="1"/>
  <c r="A510" i="1"/>
  <c r="BJ509" i="1"/>
  <c r="BH509" i="1"/>
  <c r="BI509" i="1" s="1"/>
  <c r="BD509" i="1"/>
  <c r="BC509" i="1"/>
  <c r="BA509" i="1"/>
  <c r="AX509" i="1"/>
  <c r="AW509" i="1"/>
  <c r="AV509" i="1"/>
  <c r="AU509" i="1"/>
  <c r="AT509" i="1"/>
  <c r="AQ509" i="1"/>
  <c r="AR509" i="1" s="1"/>
  <c r="AP509" i="1"/>
  <c r="AO509" i="1"/>
  <c r="AN509" i="1"/>
  <c r="AB509" i="1"/>
  <c r="AM509" i="1" s="1"/>
  <c r="X509" i="1"/>
  <c r="F509" i="1"/>
  <c r="E509" i="1"/>
  <c r="D509" i="1"/>
  <c r="B509" i="1"/>
  <c r="AY509" i="1" s="1"/>
  <c r="A509" i="1"/>
  <c r="BJ508" i="1"/>
  <c r="BH508" i="1"/>
  <c r="BI508" i="1" s="1"/>
  <c r="BE508" i="1"/>
  <c r="BD508" i="1"/>
  <c r="BC508" i="1"/>
  <c r="BA508" i="1"/>
  <c r="AX508" i="1"/>
  <c r="AV508" i="1"/>
  <c r="AU508" i="1"/>
  <c r="AT508" i="1"/>
  <c r="AQ508" i="1"/>
  <c r="AR508" i="1" s="1"/>
  <c r="AP508" i="1"/>
  <c r="AO508" i="1"/>
  <c r="AN508" i="1"/>
  <c r="AE508" i="1"/>
  <c r="AB508" i="1"/>
  <c r="AW508" i="1" s="1"/>
  <c r="X508" i="1"/>
  <c r="F508" i="1"/>
  <c r="E508" i="1"/>
  <c r="D508" i="1"/>
  <c r="A508" i="1"/>
  <c r="BJ507" i="1"/>
  <c r="BH507" i="1"/>
  <c r="BI507" i="1" s="1"/>
  <c r="BE507" i="1"/>
  <c r="BD507" i="1"/>
  <c r="BC507" i="1"/>
  <c r="BA507" i="1"/>
  <c r="AX507" i="1"/>
  <c r="AV507" i="1"/>
  <c r="AU507" i="1"/>
  <c r="AT507" i="1"/>
  <c r="AQ507" i="1"/>
  <c r="AR507" i="1" s="1"/>
  <c r="AP507" i="1"/>
  <c r="AO507" i="1"/>
  <c r="AN507" i="1"/>
  <c r="AE507" i="1"/>
  <c r="AB507" i="1"/>
  <c r="AW507" i="1" s="1"/>
  <c r="X507" i="1"/>
  <c r="F507" i="1"/>
  <c r="E507" i="1"/>
  <c r="D507" i="1"/>
  <c r="B507" i="1"/>
  <c r="AY507" i="1" s="1"/>
  <c r="A507" i="1"/>
  <c r="BK506" i="1"/>
  <c r="BL506" i="1" s="1"/>
  <c r="BE506" i="1"/>
  <c r="BD506" i="1"/>
  <c r="BC506" i="1"/>
  <c r="BA506" i="1"/>
  <c r="AX506" i="1"/>
  <c r="AV506" i="1"/>
  <c r="AU506" i="1"/>
  <c r="AT506" i="1"/>
  <c r="AQ506" i="1"/>
  <c r="AR506" i="1" s="1"/>
  <c r="AP506" i="1"/>
  <c r="BM506" i="1" s="1"/>
  <c r="AO506" i="1"/>
  <c r="AN506" i="1"/>
  <c r="AE506" i="1"/>
  <c r="AB506" i="1"/>
  <c r="AW506" i="1" s="1"/>
  <c r="X506" i="1"/>
  <c r="F506" i="1"/>
  <c r="E506" i="1"/>
  <c r="D506" i="1"/>
  <c r="A506" i="1"/>
  <c r="BM505" i="1"/>
  <c r="BK505" i="1"/>
  <c r="BL505" i="1" s="1"/>
  <c r="BE505" i="1"/>
  <c r="BD505" i="1"/>
  <c r="BC505" i="1"/>
  <c r="BA505" i="1"/>
  <c r="AX505" i="1"/>
  <c r="AW505" i="1"/>
  <c r="AV505" i="1"/>
  <c r="AU505" i="1"/>
  <c r="AT505" i="1"/>
  <c r="AQ505" i="1"/>
  <c r="AR505" i="1" s="1"/>
  <c r="AP505" i="1"/>
  <c r="AN505" i="1"/>
  <c r="AE505" i="1"/>
  <c r="AB505" i="1"/>
  <c r="AM505" i="1" s="1"/>
  <c r="X505" i="1"/>
  <c r="F505" i="1"/>
  <c r="E505" i="1"/>
  <c r="D505" i="1"/>
  <c r="B505" i="1"/>
  <c r="AY505" i="1" s="1"/>
  <c r="A505" i="1"/>
  <c r="BM504" i="1"/>
  <c r="BK504" i="1"/>
  <c r="BL504" i="1" s="1"/>
  <c r="BE504" i="1"/>
  <c r="BD504" i="1"/>
  <c r="BC504" i="1"/>
  <c r="BA504" i="1"/>
  <c r="AX504" i="1"/>
  <c r="AW504" i="1"/>
  <c r="AV504" i="1"/>
  <c r="AU504" i="1"/>
  <c r="AT504" i="1"/>
  <c r="AN504" i="1"/>
  <c r="AE504" i="1"/>
  <c r="AB504" i="1"/>
  <c r="AQ504" i="1" s="1"/>
  <c r="AR504" i="1" s="1"/>
  <c r="X504" i="1"/>
  <c r="F504" i="1"/>
  <c r="E504" i="1"/>
  <c r="D504" i="1"/>
  <c r="B504" i="1"/>
  <c r="AY504" i="1" s="1"/>
  <c r="A504" i="1"/>
  <c r="BM503" i="1"/>
  <c r="BK503" i="1"/>
  <c r="BL503" i="1" s="1"/>
  <c r="BE503" i="1"/>
  <c r="BD503" i="1"/>
  <c r="BC503" i="1"/>
  <c r="BA503" i="1"/>
  <c r="AX503" i="1"/>
  <c r="AW503" i="1"/>
  <c r="AV503" i="1"/>
  <c r="AU503" i="1"/>
  <c r="AT503" i="1"/>
  <c r="AQ503" i="1"/>
  <c r="AR503" i="1" s="1"/>
  <c r="AP503" i="1"/>
  <c r="AO503" i="1"/>
  <c r="AB503" i="1"/>
  <c r="AM503" i="1" s="1"/>
  <c r="X503" i="1"/>
  <c r="F503" i="1"/>
  <c r="E503" i="1"/>
  <c r="D503" i="1"/>
  <c r="A503" i="1"/>
  <c r="BM502" i="1"/>
  <c r="BK502" i="1"/>
  <c r="BL502" i="1" s="1"/>
  <c r="BE502" i="1"/>
  <c r="BD502" i="1"/>
  <c r="BC502" i="1"/>
  <c r="BA502" i="1"/>
  <c r="AX502" i="1"/>
  <c r="AW502" i="1"/>
  <c r="AV502" i="1"/>
  <c r="AU502" i="1"/>
  <c r="AT502" i="1"/>
  <c r="AO502" i="1"/>
  <c r="AN502" i="1"/>
  <c r="AB502" i="1"/>
  <c r="X502" i="1"/>
  <c r="F502" i="1"/>
  <c r="E502" i="1"/>
  <c r="D502" i="1"/>
  <c r="A502" i="1"/>
  <c r="BM501" i="1"/>
  <c r="BK501" i="1"/>
  <c r="BL501" i="1" s="1"/>
  <c r="BE501" i="1"/>
  <c r="BD501" i="1"/>
  <c r="BC501" i="1"/>
  <c r="BA501" i="1"/>
  <c r="AX501" i="1"/>
  <c r="AW501" i="1"/>
  <c r="AV501" i="1"/>
  <c r="AU501" i="1"/>
  <c r="AT501" i="1"/>
  <c r="AQ501" i="1"/>
  <c r="AR501" i="1" s="1"/>
  <c r="AP501" i="1"/>
  <c r="AO501" i="1"/>
  <c r="AB501" i="1"/>
  <c r="AM501" i="1" s="1"/>
  <c r="X501" i="1"/>
  <c r="F501" i="1"/>
  <c r="E501" i="1"/>
  <c r="D501" i="1"/>
  <c r="A501" i="1"/>
  <c r="BM500" i="1"/>
  <c r="BK500" i="1"/>
  <c r="BL500" i="1" s="1"/>
  <c r="BE500" i="1"/>
  <c r="BD500" i="1"/>
  <c r="BC500" i="1"/>
  <c r="BA500" i="1"/>
  <c r="AX500" i="1"/>
  <c r="AW500" i="1"/>
  <c r="AV500" i="1"/>
  <c r="AU500" i="1"/>
  <c r="AT500" i="1"/>
  <c r="AQ500" i="1"/>
  <c r="AR500" i="1" s="1"/>
  <c r="AP500" i="1"/>
  <c r="AO500" i="1"/>
  <c r="AB500" i="1"/>
  <c r="AM500" i="1" s="1"/>
  <c r="X500" i="1"/>
  <c r="F500" i="1"/>
  <c r="E500" i="1"/>
  <c r="D500" i="1"/>
  <c r="A500" i="1"/>
  <c r="BM499" i="1"/>
  <c r="BK499" i="1"/>
  <c r="BL499" i="1" s="1"/>
  <c r="BE499" i="1"/>
  <c r="BD499" i="1"/>
  <c r="BC499" i="1"/>
  <c r="BA499" i="1"/>
  <c r="AX499" i="1"/>
  <c r="AW499" i="1"/>
  <c r="AV499" i="1"/>
  <c r="AU499" i="1"/>
  <c r="AT499" i="1"/>
  <c r="AO499" i="1"/>
  <c r="AN499" i="1"/>
  <c r="AB499" i="1"/>
  <c r="X499" i="1"/>
  <c r="F499" i="1"/>
  <c r="E499" i="1"/>
  <c r="D499" i="1"/>
  <c r="A499" i="1"/>
  <c r="BM498" i="1"/>
  <c r="BK498" i="1"/>
  <c r="BL498" i="1" s="1"/>
  <c r="BE498" i="1"/>
  <c r="BD498" i="1"/>
  <c r="BC498" i="1"/>
  <c r="BA498" i="1"/>
  <c r="AX498" i="1"/>
  <c r="AW498" i="1"/>
  <c r="AV498" i="1"/>
  <c r="AU498" i="1"/>
  <c r="AT498" i="1"/>
  <c r="AO498" i="1"/>
  <c r="AB498" i="1"/>
  <c r="X498" i="1"/>
  <c r="F498" i="1"/>
  <c r="E498" i="1"/>
  <c r="D498" i="1"/>
  <c r="A498" i="1"/>
  <c r="BM497" i="1"/>
  <c r="BK497" i="1"/>
  <c r="BL497" i="1" s="1"/>
  <c r="BE497" i="1"/>
  <c r="BD497" i="1"/>
  <c r="BC497" i="1"/>
  <c r="BA497" i="1"/>
  <c r="AX497" i="1"/>
  <c r="AW497" i="1"/>
  <c r="AV497" i="1"/>
  <c r="AU497" i="1"/>
  <c r="AT497" i="1"/>
  <c r="AO497" i="1"/>
  <c r="AB497" i="1"/>
  <c r="AQ497" i="1" s="1"/>
  <c r="X497" i="1"/>
  <c r="F497" i="1"/>
  <c r="E497" i="1"/>
  <c r="D497" i="1"/>
  <c r="A497" i="1"/>
  <c r="BM496" i="1"/>
  <c r="BK496" i="1"/>
  <c r="BL496" i="1" s="1"/>
  <c r="BE496" i="1"/>
  <c r="BD496" i="1"/>
  <c r="BC496" i="1"/>
  <c r="BA496" i="1"/>
  <c r="AX496" i="1"/>
  <c r="AW496" i="1"/>
  <c r="AV496" i="1"/>
  <c r="AU496" i="1"/>
  <c r="AT496" i="1"/>
  <c r="AQ496" i="1"/>
  <c r="AR496" i="1" s="1"/>
  <c r="AP496" i="1"/>
  <c r="AO496" i="1"/>
  <c r="AN496" i="1"/>
  <c r="AB496" i="1"/>
  <c r="X496" i="1"/>
  <c r="F496" i="1"/>
  <c r="E496" i="1"/>
  <c r="D496" i="1"/>
  <c r="A496" i="1"/>
  <c r="BJ495" i="1"/>
  <c r="BH495" i="1"/>
  <c r="BI495" i="1" s="1"/>
  <c r="BE495" i="1"/>
  <c r="BC495" i="1"/>
  <c r="BA495" i="1"/>
  <c r="AX495" i="1"/>
  <c r="AW495" i="1"/>
  <c r="AV495" i="1"/>
  <c r="AU495" i="1"/>
  <c r="AT495" i="1"/>
  <c r="AQ495" i="1"/>
  <c r="AR495" i="1" s="1"/>
  <c r="AP495" i="1"/>
  <c r="AO495" i="1"/>
  <c r="AN495" i="1"/>
  <c r="AE495" i="1"/>
  <c r="AB495" i="1"/>
  <c r="AM495" i="1" s="1"/>
  <c r="X495" i="1"/>
  <c r="F495" i="1"/>
  <c r="E495" i="1"/>
  <c r="D495" i="1"/>
  <c r="B495" i="1"/>
  <c r="AY495" i="1" s="1"/>
  <c r="BJ494" i="1"/>
  <c r="BH494" i="1"/>
  <c r="BI494" i="1" s="1"/>
  <c r="BE494" i="1"/>
  <c r="BD494" i="1"/>
  <c r="BA494" i="1"/>
  <c r="AX494" i="1"/>
  <c r="AW494" i="1"/>
  <c r="AV494" i="1"/>
  <c r="AU494" i="1"/>
  <c r="AT494" i="1"/>
  <c r="AQ494" i="1"/>
  <c r="AR494" i="1" s="1"/>
  <c r="AP494" i="1"/>
  <c r="AO494" i="1"/>
  <c r="AN494" i="1"/>
  <c r="AE494" i="1"/>
  <c r="AB494" i="1"/>
  <c r="AM494" i="1" s="1"/>
  <c r="X494" i="1"/>
  <c r="F494" i="1"/>
  <c r="E494" i="1"/>
  <c r="D494" i="1"/>
  <c r="B494" i="1"/>
  <c r="BC494" i="1" s="1"/>
  <c r="A494" i="1"/>
  <c r="BJ493" i="1"/>
  <c r="BH493" i="1"/>
  <c r="BI493" i="1" s="1"/>
  <c r="BD493" i="1"/>
  <c r="BC493" i="1"/>
  <c r="BA493" i="1"/>
  <c r="AX493" i="1"/>
  <c r="AW493" i="1"/>
  <c r="AV493" i="1"/>
  <c r="AU493" i="1"/>
  <c r="AT493" i="1"/>
  <c r="AQ493" i="1"/>
  <c r="AR493" i="1" s="1"/>
  <c r="AP493" i="1"/>
  <c r="AO493" i="1"/>
  <c r="AN493" i="1"/>
  <c r="AE493" i="1"/>
  <c r="AB493" i="1"/>
  <c r="BE493" i="1" s="1"/>
  <c r="X493" i="1"/>
  <c r="F493" i="1"/>
  <c r="E493" i="1"/>
  <c r="D493" i="1"/>
  <c r="B493" i="1"/>
  <c r="AY493" i="1" s="1"/>
  <c r="A493" i="1"/>
  <c r="BJ492" i="1"/>
  <c r="BH492" i="1"/>
  <c r="BI492" i="1" s="1"/>
  <c r="BD492" i="1"/>
  <c r="BC492" i="1"/>
  <c r="BA492" i="1"/>
  <c r="AX492" i="1"/>
  <c r="AW492" i="1"/>
  <c r="AV492" i="1"/>
  <c r="AU492" i="1"/>
  <c r="AT492" i="1"/>
  <c r="AQ492" i="1"/>
  <c r="AR492" i="1" s="1"/>
  <c r="AP492" i="1"/>
  <c r="AO492" i="1"/>
  <c r="AN492" i="1"/>
  <c r="AB492" i="1"/>
  <c r="AM492" i="1" s="1"/>
  <c r="X492" i="1"/>
  <c r="F492" i="1"/>
  <c r="E492" i="1"/>
  <c r="D492" i="1"/>
  <c r="B492" i="1"/>
  <c r="AY492" i="1" s="1"/>
  <c r="BJ491" i="1"/>
  <c r="BH491" i="1"/>
  <c r="BI491" i="1" s="1"/>
  <c r="BE491" i="1"/>
  <c r="BD491" i="1"/>
  <c r="BC491" i="1"/>
  <c r="BA491" i="1"/>
  <c r="AX491" i="1"/>
  <c r="AV491" i="1"/>
  <c r="AU491" i="1"/>
  <c r="AT491" i="1"/>
  <c r="AQ491" i="1"/>
  <c r="AR491" i="1" s="1"/>
  <c r="AP491" i="1"/>
  <c r="AO491" i="1"/>
  <c r="AN491" i="1"/>
  <c r="AE491" i="1"/>
  <c r="AB491" i="1"/>
  <c r="AW491" i="1" s="1"/>
  <c r="X491" i="1"/>
  <c r="F491" i="1"/>
  <c r="E491" i="1"/>
  <c r="D491" i="1"/>
  <c r="B491" i="1"/>
  <c r="AY491" i="1" s="1"/>
  <c r="BE490" i="1"/>
  <c r="BD490" i="1"/>
  <c r="BC490" i="1"/>
  <c r="BA490" i="1"/>
  <c r="AX490" i="1"/>
  <c r="AV490" i="1"/>
  <c r="AU490" i="1"/>
  <c r="AT490" i="1"/>
  <c r="AQ490" i="1"/>
  <c r="AR490" i="1" s="1"/>
  <c r="AP490" i="1"/>
  <c r="AO490" i="1"/>
  <c r="AN490" i="1"/>
  <c r="AE490" i="1"/>
  <c r="AB490" i="1"/>
  <c r="AW490" i="1" s="1"/>
  <c r="X490" i="1"/>
  <c r="F490" i="1"/>
  <c r="E490" i="1"/>
  <c r="D490" i="1"/>
  <c r="B490" i="1"/>
  <c r="AY490" i="1" s="1"/>
  <c r="BM489" i="1"/>
  <c r="BK489" i="1"/>
  <c r="BL489" i="1" s="1"/>
  <c r="BE489" i="1"/>
  <c r="BD489" i="1"/>
  <c r="BC489" i="1"/>
  <c r="BA489" i="1"/>
  <c r="AX489" i="1"/>
  <c r="AW489" i="1"/>
  <c r="AV489" i="1"/>
  <c r="AU489" i="1"/>
  <c r="AT489" i="1"/>
  <c r="AQ489" i="1"/>
  <c r="AR489" i="1" s="1"/>
  <c r="AP489" i="1"/>
  <c r="AN489" i="1"/>
  <c r="AE489" i="1"/>
  <c r="AB489" i="1"/>
  <c r="AM489" i="1" s="1"/>
  <c r="X489" i="1"/>
  <c r="F489" i="1"/>
  <c r="E489" i="1"/>
  <c r="D489" i="1"/>
  <c r="B489" i="1"/>
  <c r="AY489" i="1" s="1"/>
  <c r="BM488" i="1"/>
  <c r="BK488" i="1"/>
  <c r="BL488" i="1" s="1"/>
  <c r="BE488" i="1"/>
  <c r="BD488" i="1"/>
  <c r="BC488" i="1"/>
  <c r="BA488" i="1"/>
  <c r="AX488" i="1"/>
  <c r="AW488" i="1"/>
  <c r="AV488" i="1"/>
  <c r="AU488" i="1"/>
  <c r="AT488" i="1"/>
  <c r="AO488" i="1"/>
  <c r="AN488" i="1"/>
  <c r="AB488" i="1"/>
  <c r="AQ488" i="1" s="1"/>
  <c r="AR488" i="1" s="1"/>
  <c r="X488" i="1"/>
  <c r="F488" i="1"/>
  <c r="E488" i="1"/>
  <c r="D488" i="1"/>
  <c r="B488" i="1"/>
  <c r="AY488" i="1" s="1"/>
  <c r="BM487" i="1"/>
  <c r="BK487" i="1"/>
  <c r="BL487" i="1" s="1"/>
  <c r="BE487" i="1"/>
  <c r="BD487" i="1"/>
  <c r="BC487" i="1"/>
  <c r="BA487" i="1"/>
  <c r="AX487" i="1"/>
  <c r="AW487" i="1"/>
  <c r="AV487" i="1"/>
  <c r="AU487" i="1"/>
  <c r="AT487" i="1"/>
  <c r="AQ487" i="1"/>
  <c r="AR487" i="1" s="1"/>
  <c r="AP487" i="1"/>
  <c r="AN487" i="1"/>
  <c r="AE487" i="1"/>
  <c r="AB487" i="1"/>
  <c r="AM487" i="1" s="1"/>
  <c r="X487" i="1"/>
  <c r="F487" i="1"/>
  <c r="E487" i="1"/>
  <c r="D487" i="1"/>
  <c r="B487" i="1"/>
  <c r="AY487" i="1" s="1"/>
  <c r="BM486" i="1"/>
  <c r="BK486" i="1"/>
  <c r="BL486" i="1" s="1"/>
  <c r="BE486" i="1"/>
  <c r="BD486" i="1"/>
  <c r="BC486" i="1"/>
  <c r="BA486" i="1"/>
  <c r="AX486" i="1"/>
  <c r="AW486" i="1"/>
  <c r="AV486" i="1"/>
  <c r="AU486" i="1"/>
  <c r="AT486" i="1"/>
  <c r="AO486" i="1"/>
  <c r="AN486" i="1"/>
  <c r="AB486" i="1"/>
  <c r="X486" i="1"/>
  <c r="F486" i="1"/>
  <c r="E486" i="1"/>
  <c r="D486" i="1"/>
  <c r="B486" i="1"/>
  <c r="AY486" i="1" s="1"/>
  <c r="BM485" i="1"/>
  <c r="BK485" i="1"/>
  <c r="BL485" i="1" s="1"/>
  <c r="BE485" i="1"/>
  <c r="BD485" i="1"/>
  <c r="BC485" i="1"/>
  <c r="BA485" i="1"/>
  <c r="AX485" i="1"/>
  <c r="AW485" i="1"/>
  <c r="AV485" i="1"/>
  <c r="AU485" i="1"/>
  <c r="AT485" i="1"/>
  <c r="AN485" i="1"/>
  <c r="AE485" i="1"/>
  <c r="AB485" i="1"/>
  <c r="X485" i="1"/>
  <c r="F485" i="1"/>
  <c r="E485" i="1"/>
  <c r="D485" i="1"/>
  <c r="B485" i="1"/>
  <c r="AY485" i="1" s="1"/>
  <c r="BM484" i="1"/>
  <c r="BK484" i="1"/>
  <c r="BL484" i="1" s="1"/>
  <c r="BE484" i="1"/>
  <c r="BD484" i="1"/>
  <c r="BC484" i="1"/>
  <c r="BA484" i="1"/>
  <c r="AX484" i="1"/>
  <c r="AW484" i="1"/>
  <c r="AV484" i="1"/>
  <c r="AU484" i="1"/>
  <c r="AT484" i="1"/>
  <c r="AQ484" i="1"/>
  <c r="AR484" i="1" s="1"/>
  <c r="AP484" i="1"/>
  <c r="AO484" i="1"/>
  <c r="AN484" i="1"/>
  <c r="AB484" i="1"/>
  <c r="AM484" i="1" s="1"/>
  <c r="X484" i="1"/>
  <c r="F484" i="1"/>
  <c r="E484" i="1"/>
  <c r="D484" i="1"/>
  <c r="B484" i="1"/>
  <c r="AY484" i="1" s="1"/>
  <c r="BM483" i="1"/>
  <c r="BK483" i="1"/>
  <c r="BL483" i="1" s="1"/>
  <c r="BE483" i="1"/>
  <c r="BD483" i="1"/>
  <c r="BC483" i="1"/>
  <c r="BA483" i="1"/>
  <c r="AX483" i="1"/>
  <c r="AW483" i="1"/>
  <c r="AV483" i="1"/>
  <c r="AU483" i="1"/>
  <c r="AT483" i="1"/>
  <c r="AQ483" i="1"/>
  <c r="AR483" i="1" s="1"/>
  <c r="AP483" i="1"/>
  <c r="AO483" i="1"/>
  <c r="AB483" i="1"/>
  <c r="AM483" i="1" s="1"/>
  <c r="X483" i="1"/>
  <c r="F483" i="1"/>
  <c r="E483" i="1"/>
  <c r="D483" i="1"/>
  <c r="B483" i="1"/>
  <c r="AY483" i="1" s="1"/>
  <c r="A483" i="1"/>
  <c r="BM482" i="1"/>
  <c r="BK482" i="1"/>
  <c r="BL482" i="1" s="1"/>
  <c r="BE482" i="1"/>
  <c r="BD482" i="1"/>
  <c r="BC482" i="1"/>
  <c r="BA482" i="1"/>
  <c r="AX482" i="1"/>
  <c r="AW482" i="1"/>
  <c r="AV482" i="1"/>
  <c r="AU482" i="1"/>
  <c r="AT482" i="1"/>
  <c r="AO482" i="1"/>
  <c r="AN482" i="1"/>
  <c r="AB482" i="1"/>
  <c r="X482" i="1"/>
  <c r="F482" i="1"/>
  <c r="E482" i="1"/>
  <c r="D482" i="1"/>
  <c r="B482" i="1"/>
  <c r="AY482" i="1" s="1"/>
  <c r="A482" i="1"/>
  <c r="BJ481" i="1"/>
  <c r="BH481" i="1"/>
  <c r="BI481" i="1" s="1"/>
  <c r="BE481" i="1"/>
  <c r="BD481" i="1"/>
  <c r="BC481" i="1"/>
  <c r="BA481" i="1"/>
  <c r="AX481" i="1"/>
  <c r="AW481" i="1"/>
  <c r="AU481" i="1"/>
  <c r="AT481" i="1"/>
  <c r="AQ481" i="1"/>
  <c r="AR481" i="1" s="1"/>
  <c r="AP481" i="1"/>
  <c r="AO481" i="1"/>
  <c r="AN481" i="1"/>
  <c r="AE481" i="1"/>
  <c r="AB481" i="1"/>
  <c r="AM481" i="1" s="1"/>
  <c r="X481" i="1"/>
  <c r="F481" i="1"/>
  <c r="E481" i="1"/>
  <c r="D481" i="1"/>
  <c r="B481" i="1"/>
  <c r="AY481" i="1" s="1"/>
  <c r="A481" i="1"/>
  <c r="BJ480" i="1"/>
  <c r="BH480" i="1"/>
  <c r="BI480" i="1" s="1"/>
  <c r="BE480" i="1"/>
  <c r="BC480" i="1"/>
  <c r="BA480" i="1"/>
  <c r="AX480" i="1"/>
  <c r="AW480" i="1"/>
  <c r="AV480" i="1"/>
  <c r="AU480" i="1"/>
  <c r="AT480" i="1"/>
  <c r="AQ480" i="1"/>
  <c r="AR480" i="1" s="1"/>
  <c r="AP480" i="1"/>
  <c r="AO480" i="1"/>
  <c r="AN480" i="1"/>
  <c r="AE480" i="1"/>
  <c r="AB480" i="1"/>
  <c r="X480" i="1"/>
  <c r="F480" i="1"/>
  <c r="E480" i="1"/>
  <c r="D480" i="1"/>
  <c r="B480" i="1"/>
  <c r="AY480" i="1" s="1"/>
  <c r="A480" i="1"/>
  <c r="BJ479" i="1"/>
  <c r="BH479" i="1"/>
  <c r="BI479" i="1" s="1"/>
  <c r="BE479" i="1"/>
  <c r="BD479" i="1"/>
  <c r="BA479" i="1"/>
  <c r="AX479" i="1"/>
  <c r="AW479" i="1"/>
  <c r="AV479" i="1"/>
  <c r="AU479" i="1"/>
  <c r="AT479" i="1"/>
  <c r="AQ479" i="1"/>
  <c r="AR479" i="1" s="1"/>
  <c r="AP479" i="1"/>
  <c r="AO479" i="1"/>
  <c r="AN479" i="1"/>
  <c r="AE479" i="1"/>
  <c r="AB479" i="1"/>
  <c r="X479" i="1"/>
  <c r="F479" i="1"/>
  <c r="E479" i="1"/>
  <c r="D479" i="1"/>
  <c r="B479" i="1"/>
  <c r="A479" i="1"/>
  <c r="BJ478" i="1"/>
  <c r="BH478" i="1"/>
  <c r="BI478" i="1" s="1"/>
  <c r="BD478" i="1"/>
  <c r="BC478" i="1"/>
  <c r="BA478" i="1"/>
  <c r="AX478" i="1"/>
  <c r="AW478" i="1"/>
  <c r="AV478" i="1"/>
  <c r="AU478" i="1"/>
  <c r="AT478" i="1"/>
  <c r="AQ478" i="1"/>
  <c r="AR478" i="1" s="1"/>
  <c r="AP478" i="1"/>
  <c r="AO478" i="1"/>
  <c r="AN478" i="1"/>
  <c r="AE478" i="1"/>
  <c r="AB478" i="1"/>
  <c r="X478" i="1"/>
  <c r="F478" i="1"/>
  <c r="E478" i="1"/>
  <c r="D478" i="1"/>
  <c r="B478" i="1"/>
  <c r="AY478" i="1" s="1"/>
  <c r="A478" i="1"/>
  <c r="BJ477" i="1"/>
  <c r="BH477" i="1"/>
  <c r="BI477" i="1" s="1"/>
  <c r="BD477" i="1"/>
  <c r="BC477" i="1"/>
  <c r="BA477" i="1"/>
  <c r="AX477" i="1"/>
  <c r="AW477" i="1"/>
  <c r="AV477" i="1"/>
  <c r="AU477" i="1"/>
  <c r="AT477" i="1"/>
  <c r="AQ477" i="1"/>
  <c r="AR477" i="1" s="1"/>
  <c r="AP477" i="1"/>
  <c r="AO477" i="1"/>
  <c r="AN477" i="1"/>
  <c r="AB477" i="1"/>
  <c r="X477" i="1"/>
  <c r="F477" i="1"/>
  <c r="E477" i="1"/>
  <c r="D477" i="1"/>
  <c r="B477" i="1"/>
  <c r="BB477" i="1" s="1"/>
  <c r="A477" i="1"/>
  <c r="BJ476" i="1"/>
  <c r="BH476" i="1"/>
  <c r="BI476" i="1" s="1"/>
  <c r="BE476" i="1"/>
  <c r="BD476" i="1"/>
  <c r="BC476" i="1"/>
  <c r="BA476" i="1"/>
  <c r="AX476" i="1"/>
  <c r="AV476" i="1"/>
  <c r="AU476" i="1"/>
  <c r="AT476" i="1"/>
  <c r="AQ476" i="1"/>
  <c r="AR476" i="1" s="1"/>
  <c r="AP476" i="1"/>
  <c r="AO476" i="1"/>
  <c r="AN476" i="1"/>
  <c r="AE476" i="1"/>
  <c r="AB476" i="1"/>
  <c r="X476" i="1"/>
  <c r="F476" i="1"/>
  <c r="E476" i="1"/>
  <c r="D476" i="1"/>
  <c r="B476" i="1"/>
  <c r="BB476" i="1" s="1"/>
  <c r="A476" i="1"/>
  <c r="BJ475" i="1"/>
  <c r="BH475" i="1"/>
  <c r="BI475" i="1" s="1"/>
  <c r="BE475" i="1"/>
  <c r="BD475" i="1"/>
  <c r="BC475" i="1"/>
  <c r="BA475" i="1"/>
  <c r="AX475" i="1"/>
  <c r="AV475" i="1"/>
  <c r="AU475" i="1"/>
  <c r="AT475" i="1"/>
  <c r="AQ475" i="1"/>
  <c r="AR475" i="1" s="1"/>
  <c r="AP475" i="1"/>
  <c r="AO475" i="1"/>
  <c r="AN475" i="1"/>
  <c r="AE475" i="1"/>
  <c r="AB475" i="1"/>
  <c r="X475" i="1"/>
  <c r="F475" i="1"/>
  <c r="E475" i="1"/>
  <c r="D475" i="1"/>
  <c r="B475" i="1"/>
  <c r="BB475" i="1" s="1"/>
  <c r="A475" i="1"/>
  <c r="BE474" i="1"/>
  <c r="BD474" i="1"/>
  <c r="BC474" i="1"/>
  <c r="BA474" i="1"/>
  <c r="AX474" i="1"/>
  <c r="AV474" i="1"/>
  <c r="AU474" i="1"/>
  <c r="AT474" i="1"/>
  <c r="AQ474" i="1"/>
  <c r="AP474" i="1"/>
  <c r="AO474" i="1"/>
  <c r="AN474" i="1"/>
  <c r="AE474" i="1"/>
  <c r="AB474" i="1"/>
  <c r="X474" i="1"/>
  <c r="F474" i="1"/>
  <c r="E474" i="1"/>
  <c r="D474" i="1"/>
  <c r="B474" i="1"/>
  <c r="BB474" i="1" s="1"/>
  <c r="A474" i="1"/>
  <c r="BM473" i="1"/>
  <c r="BK473" i="1"/>
  <c r="BL473" i="1" s="1"/>
  <c r="BE473" i="1"/>
  <c r="BD473" i="1"/>
  <c r="BC473" i="1"/>
  <c r="BA473" i="1"/>
  <c r="AX473" i="1"/>
  <c r="AW473" i="1"/>
  <c r="AV473" i="1"/>
  <c r="AU473" i="1"/>
  <c r="AT473" i="1"/>
  <c r="AN473" i="1"/>
  <c r="AE473" i="1"/>
  <c r="AB473" i="1"/>
  <c r="X473" i="1"/>
  <c r="F473" i="1"/>
  <c r="E473" i="1"/>
  <c r="D473" i="1"/>
  <c r="B473" i="1"/>
  <c r="A473" i="1"/>
  <c r="BM472" i="1"/>
  <c r="BK472" i="1"/>
  <c r="BL472" i="1" s="1"/>
  <c r="BE472" i="1"/>
  <c r="BD472" i="1"/>
  <c r="BC472" i="1"/>
  <c r="BA472" i="1"/>
  <c r="AX472" i="1"/>
  <c r="AW472" i="1"/>
  <c r="AV472" i="1"/>
  <c r="AU472" i="1"/>
  <c r="AT472" i="1"/>
  <c r="AQ472" i="1"/>
  <c r="AP472" i="1"/>
  <c r="AO472" i="1"/>
  <c r="AB472" i="1"/>
  <c r="X472" i="1"/>
  <c r="F472" i="1"/>
  <c r="E472" i="1"/>
  <c r="D472" i="1"/>
  <c r="B472" i="1"/>
  <c r="BB472" i="1" s="1"/>
  <c r="A472" i="1"/>
  <c r="BM471" i="1"/>
  <c r="BK471" i="1"/>
  <c r="BL471" i="1" s="1"/>
  <c r="BE471" i="1"/>
  <c r="BD471" i="1"/>
  <c r="BC471" i="1"/>
  <c r="BA471" i="1"/>
  <c r="AX471" i="1"/>
  <c r="AW471" i="1"/>
  <c r="AV471" i="1"/>
  <c r="AU471" i="1"/>
  <c r="AT471" i="1"/>
  <c r="AO471" i="1"/>
  <c r="AN471" i="1"/>
  <c r="AB471" i="1"/>
  <c r="X471" i="1"/>
  <c r="F471" i="1"/>
  <c r="E471" i="1"/>
  <c r="D471" i="1"/>
  <c r="B471" i="1"/>
  <c r="A471" i="1"/>
  <c r="BM470" i="1"/>
  <c r="BK470" i="1"/>
  <c r="BL470" i="1" s="1"/>
  <c r="BE470" i="1"/>
  <c r="BD470" i="1"/>
  <c r="BC470" i="1"/>
  <c r="BA470" i="1"/>
  <c r="AX470" i="1"/>
  <c r="AW470" i="1"/>
  <c r="AV470" i="1"/>
  <c r="AU470" i="1"/>
  <c r="AT470" i="1"/>
  <c r="AQ470" i="1"/>
  <c r="AP470" i="1"/>
  <c r="AO470" i="1"/>
  <c r="AB470" i="1"/>
  <c r="AM470" i="1" s="1"/>
  <c r="X470" i="1"/>
  <c r="F470" i="1"/>
  <c r="E470" i="1"/>
  <c r="D470" i="1"/>
  <c r="B470" i="1"/>
  <c r="BB470" i="1" s="1"/>
  <c r="A470" i="1"/>
  <c r="BM469" i="1"/>
  <c r="BK469" i="1"/>
  <c r="BL469" i="1" s="1"/>
  <c r="BE469" i="1"/>
  <c r="BD469" i="1"/>
  <c r="BC469" i="1"/>
  <c r="BA469" i="1"/>
  <c r="AX469" i="1"/>
  <c r="AW469" i="1"/>
  <c r="AV469" i="1"/>
  <c r="AU469" i="1"/>
  <c r="AT469" i="1"/>
  <c r="AO469" i="1"/>
  <c r="AN469" i="1"/>
  <c r="AB469" i="1"/>
  <c r="AQ469" i="1" s="1"/>
  <c r="AR469" i="1" s="1"/>
  <c r="X469" i="1"/>
  <c r="F469" i="1"/>
  <c r="E469" i="1"/>
  <c r="D469" i="1"/>
  <c r="B469" i="1"/>
  <c r="BB469" i="1" s="1"/>
  <c r="A469" i="1"/>
  <c r="BM468" i="1"/>
  <c r="BK468" i="1"/>
  <c r="BL468" i="1" s="1"/>
  <c r="BE468" i="1"/>
  <c r="BD468" i="1"/>
  <c r="BC468" i="1"/>
  <c r="BA468" i="1"/>
  <c r="AX468" i="1"/>
  <c r="AW468" i="1"/>
  <c r="AV468" i="1"/>
  <c r="AU468" i="1"/>
  <c r="AT468" i="1"/>
  <c r="AN468" i="1"/>
  <c r="AE468" i="1"/>
  <c r="AB468" i="1"/>
  <c r="AQ468" i="1" s="1"/>
  <c r="AR468" i="1" s="1"/>
  <c r="X468" i="1"/>
  <c r="F468" i="1"/>
  <c r="E468" i="1"/>
  <c r="D468" i="1"/>
  <c r="B468" i="1"/>
  <c r="BB468" i="1" s="1"/>
  <c r="A468" i="1"/>
  <c r="BM467" i="1"/>
  <c r="BK467" i="1"/>
  <c r="BL467" i="1" s="1"/>
  <c r="BE467" i="1"/>
  <c r="BD467" i="1"/>
  <c r="BC467" i="1"/>
  <c r="BA467" i="1"/>
  <c r="AX467" i="1"/>
  <c r="AW467" i="1"/>
  <c r="AV467" i="1"/>
  <c r="AU467" i="1"/>
  <c r="AT467" i="1"/>
  <c r="AQ467" i="1"/>
  <c r="AP467" i="1"/>
  <c r="AO467" i="1"/>
  <c r="AN467" i="1"/>
  <c r="AB467" i="1"/>
  <c r="AM467" i="1" s="1"/>
  <c r="X467" i="1"/>
  <c r="F467" i="1"/>
  <c r="E467" i="1"/>
  <c r="D467" i="1"/>
  <c r="B467" i="1"/>
  <c r="A467" i="1"/>
  <c r="BJ466" i="1"/>
  <c r="BH466" i="1"/>
  <c r="BI466" i="1" s="1"/>
  <c r="BE466" i="1"/>
  <c r="BD466" i="1"/>
  <c r="BC466" i="1"/>
  <c r="BA466" i="1"/>
  <c r="AX466" i="1"/>
  <c r="AW466" i="1"/>
  <c r="AU466" i="1"/>
  <c r="AT466" i="1"/>
  <c r="AQ466" i="1"/>
  <c r="AR466" i="1" s="1"/>
  <c r="AP466" i="1"/>
  <c r="AO466" i="1"/>
  <c r="AN466" i="1"/>
  <c r="AE466" i="1"/>
  <c r="AB466" i="1"/>
  <c r="AM466" i="1" s="1"/>
  <c r="X466" i="1"/>
  <c r="F466" i="1"/>
  <c r="E466" i="1"/>
  <c r="D466" i="1"/>
  <c r="B466" i="1"/>
  <c r="A466" i="1"/>
  <c r="BJ465" i="1"/>
  <c r="BH465" i="1"/>
  <c r="BI465" i="1" s="1"/>
  <c r="BE465" i="1"/>
  <c r="BD465" i="1"/>
  <c r="BC465" i="1"/>
  <c r="BA465" i="1"/>
  <c r="AX465" i="1"/>
  <c r="AW465" i="1"/>
  <c r="AV465" i="1"/>
  <c r="AU465" i="1"/>
  <c r="AT465" i="1"/>
  <c r="AQ465" i="1"/>
  <c r="AR465" i="1" s="1"/>
  <c r="AP465" i="1"/>
  <c r="AO465" i="1"/>
  <c r="AB465" i="1"/>
  <c r="AM465" i="1" s="1"/>
  <c r="X465" i="1"/>
  <c r="F465" i="1"/>
  <c r="E465" i="1"/>
  <c r="D465" i="1"/>
  <c r="B465" i="1"/>
  <c r="BB465" i="1" s="1"/>
  <c r="A465" i="1"/>
  <c r="BJ464" i="1"/>
  <c r="BH464" i="1"/>
  <c r="BI464" i="1" s="1"/>
  <c r="BE464" i="1"/>
  <c r="BD464" i="1"/>
  <c r="BC464" i="1"/>
  <c r="BA464" i="1"/>
  <c r="AX464" i="1"/>
  <c r="AW464" i="1"/>
  <c r="AV464" i="1"/>
  <c r="AU464" i="1"/>
  <c r="AT464" i="1"/>
  <c r="AO464" i="1"/>
  <c r="AN464" i="1"/>
  <c r="AB464" i="1"/>
  <c r="AQ464" i="1" s="1"/>
  <c r="AR464" i="1" s="1"/>
  <c r="X464" i="1"/>
  <c r="F464" i="1"/>
  <c r="E464" i="1"/>
  <c r="D464" i="1"/>
  <c r="B464" i="1"/>
  <c r="A464" i="1"/>
  <c r="BJ463" i="1"/>
  <c r="BH463" i="1"/>
  <c r="BI463" i="1" s="1"/>
  <c r="BE463" i="1"/>
  <c r="BD463" i="1"/>
  <c r="BC463" i="1"/>
  <c r="BA463" i="1"/>
  <c r="AX463" i="1"/>
  <c r="AW463" i="1"/>
  <c r="AV463" i="1"/>
  <c r="AU463" i="1"/>
  <c r="AT463" i="1"/>
  <c r="AQ463" i="1"/>
  <c r="AR463" i="1" s="1"/>
  <c r="AP463" i="1"/>
  <c r="AO463" i="1"/>
  <c r="AB463" i="1"/>
  <c r="AM463" i="1" s="1"/>
  <c r="X463" i="1"/>
  <c r="F463" i="1"/>
  <c r="E463" i="1"/>
  <c r="D463" i="1"/>
  <c r="B463" i="1"/>
  <c r="BB463" i="1" s="1"/>
  <c r="A463" i="1"/>
  <c r="BJ462" i="1"/>
  <c r="BH462" i="1"/>
  <c r="BI462" i="1" s="1"/>
  <c r="BE462" i="1"/>
  <c r="BD462" i="1"/>
  <c r="BC462" i="1"/>
  <c r="BA462" i="1"/>
  <c r="AX462" i="1"/>
  <c r="AW462" i="1"/>
  <c r="AV462" i="1"/>
  <c r="AU462" i="1"/>
  <c r="AT462" i="1"/>
  <c r="AO462" i="1"/>
  <c r="AN462" i="1"/>
  <c r="AB462" i="1"/>
  <c r="AQ462" i="1" s="1"/>
  <c r="AR462" i="1" s="1"/>
  <c r="X462" i="1"/>
  <c r="F462" i="1"/>
  <c r="E462" i="1"/>
  <c r="D462" i="1"/>
  <c r="B462" i="1"/>
  <c r="BB462" i="1" s="1"/>
  <c r="A462" i="1"/>
  <c r="BJ461" i="1"/>
  <c r="BH461" i="1"/>
  <c r="BI461" i="1" s="1"/>
  <c r="BE461" i="1"/>
  <c r="BD461" i="1"/>
  <c r="BC461" i="1"/>
  <c r="BA461" i="1"/>
  <c r="AX461" i="1"/>
  <c r="AW461" i="1"/>
  <c r="AV461" i="1"/>
  <c r="AU461" i="1"/>
  <c r="AT461" i="1"/>
  <c r="AQ461" i="1"/>
  <c r="AR461" i="1" s="1"/>
  <c r="AP461" i="1"/>
  <c r="AO461" i="1"/>
  <c r="AB461" i="1"/>
  <c r="AM461" i="1" s="1"/>
  <c r="X461" i="1"/>
  <c r="F461" i="1"/>
  <c r="E461" i="1"/>
  <c r="D461" i="1"/>
  <c r="B461" i="1"/>
  <c r="A461" i="1"/>
  <c r="BJ460" i="1"/>
  <c r="BH460" i="1"/>
  <c r="BI460" i="1" s="1"/>
  <c r="BE460" i="1"/>
  <c r="BD460" i="1"/>
  <c r="BC460" i="1"/>
  <c r="BA460" i="1"/>
  <c r="AX460" i="1"/>
  <c r="AW460" i="1"/>
  <c r="AV460" i="1"/>
  <c r="AU460" i="1"/>
  <c r="AT460" i="1"/>
  <c r="AO460" i="1"/>
  <c r="AN460" i="1"/>
  <c r="AB460" i="1"/>
  <c r="AQ460" i="1" s="1"/>
  <c r="AR460" i="1" s="1"/>
  <c r="X460" i="1"/>
  <c r="F460" i="1"/>
  <c r="E460" i="1"/>
  <c r="D460" i="1"/>
  <c r="B460" i="1"/>
  <c r="BB460" i="1" s="1"/>
  <c r="A460" i="1"/>
  <c r="BJ459" i="1"/>
  <c r="BH459" i="1"/>
  <c r="BI459" i="1" s="1"/>
  <c r="BE459" i="1"/>
  <c r="BD459" i="1"/>
  <c r="BC459" i="1"/>
  <c r="BA459" i="1"/>
  <c r="AX459" i="1"/>
  <c r="AW459" i="1"/>
  <c r="AV459" i="1"/>
  <c r="AU459" i="1"/>
  <c r="AT459" i="1"/>
  <c r="AQ459" i="1"/>
  <c r="AR459" i="1" s="1"/>
  <c r="AP459" i="1"/>
  <c r="AO459" i="1"/>
  <c r="AB459" i="1"/>
  <c r="AM459" i="1" s="1"/>
  <c r="X459" i="1"/>
  <c r="F459" i="1"/>
  <c r="E459" i="1"/>
  <c r="D459" i="1"/>
  <c r="B459" i="1"/>
  <c r="BB459" i="1" s="1"/>
  <c r="A459" i="1"/>
  <c r="BJ458" i="1"/>
  <c r="BH458" i="1"/>
  <c r="BI458" i="1" s="1"/>
  <c r="BE458" i="1"/>
  <c r="BD458" i="1"/>
  <c r="BC458" i="1"/>
  <c r="BA458" i="1"/>
  <c r="AX458" i="1"/>
  <c r="AW458" i="1"/>
  <c r="AV458" i="1"/>
  <c r="AU458" i="1"/>
  <c r="AT458" i="1"/>
  <c r="AO458" i="1"/>
  <c r="AN458" i="1"/>
  <c r="AB458" i="1"/>
  <c r="AQ458" i="1" s="1"/>
  <c r="AR458" i="1" s="1"/>
  <c r="X458" i="1"/>
  <c r="F458" i="1"/>
  <c r="E458" i="1"/>
  <c r="D458" i="1"/>
  <c r="B458" i="1"/>
  <c r="BB458" i="1" s="1"/>
  <c r="A458" i="1"/>
  <c r="BJ457" i="1"/>
  <c r="BH457" i="1"/>
  <c r="BI457" i="1" s="1"/>
  <c r="BE457" i="1"/>
  <c r="BD457" i="1"/>
  <c r="BC457" i="1"/>
  <c r="BA457" i="1"/>
  <c r="AX457" i="1"/>
  <c r="AW457" i="1"/>
  <c r="AV457" i="1"/>
  <c r="AU457" i="1"/>
  <c r="AT457" i="1"/>
  <c r="AQ457" i="1"/>
  <c r="AR457" i="1" s="1"/>
  <c r="AP457" i="1"/>
  <c r="AO457" i="1"/>
  <c r="AB457" i="1"/>
  <c r="AM457" i="1" s="1"/>
  <c r="X457" i="1"/>
  <c r="F457" i="1"/>
  <c r="E457" i="1"/>
  <c r="D457" i="1"/>
  <c r="B457" i="1"/>
  <c r="A457" i="1"/>
  <c r="BJ456" i="1"/>
  <c r="BH456" i="1"/>
  <c r="BI456" i="1" s="1"/>
  <c r="BE456" i="1"/>
  <c r="BD456" i="1"/>
  <c r="BC456" i="1"/>
  <c r="BA456" i="1"/>
  <c r="AX456" i="1"/>
  <c r="AW456" i="1"/>
  <c r="AV456" i="1"/>
  <c r="AU456" i="1"/>
  <c r="AT456" i="1"/>
  <c r="AO456" i="1"/>
  <c r="AN456" i="1"/>
  <c r="AB456" i="1"/>
  <c r="AQ456" i="1" s="1"/>
  <c r="AR456" i="1" s="1"/>
  <c r="X456" i="1"/>
  <c r="F456" i="1"/>
  <c r="E456" i="1"/>
  <c r="D456" i="1"/>
  <c r="B456" i="1"/>
  <c r="A456" i="1"/>
  <c r="BJ455" i="1"/>
  <c r="BH455" i="1"/>
  <c r="BI455" i="1" s="1"/>
  <c r="BE455" i="1"/>
  <c r="BD455" i="1"/>
  <c r="BC455" i="1"/>
  <c r="BA455" i="1"/>
  <c r="AX455" i="1"/>
  <c r="AW455" i="1"/>
  <c r="AV455" i="1"/>
  <c r="AU455" i="1"/>
  <c r="AT455" i="1"/>
  <c r="AQ455" i="1"/>
  <c r="AR455" i="1" s="1"/>
  <c r="AP455" i="1"/>
  <c r="AO455" i="1"/>
  <c r="AB455" i="1"/>
  <c r="X455" i="1"/>
  <c r="F455" i="1"/>
  <c r="E455" i="1"/>
  <c r="D455" i="1"/>
  <c r="B455" i="1"/>
  <c r="A455" i="1"/>
  <c r="BJ454" i="1"/>
  <c r="BH454" i="1"/>
  <c r="BI454" i="1" s="1"/>
  <c r="BE454" i="1"/>
  <c r="BD454" i="1"/>
  <c r="BC454" i="1"/>
  <c r="BA454" i="1"/>
  <c r="AX454" i="1"/>
  <c r="AW454" i="1"/>
  <c r="AV454" i="1"/>
  <c r="AU454" i="1"/>
  <c r="AT454" i="1"/>
  <c r="AO454" i="1"/>
  <c r="AN454" i="1"/>
  <c r="AB454" i="1"/>
  <c r="AQ454" i="1" s="1"/>
  <c r="AR454" i="1" s="1"/>
  <c r="X454" i="1"/>
  <c r="F454" i="1"/>
  <c r="E454" i="1"/>
  <c r="D454" i="1"/>
  <c r="B454" i="1"/>
  <c r="A454" i="1"/>
  <c r="BJ453" i="1"/>
  <c r="BH453" i="1"/>
  <c r="BI453" i="1" s="1"/>
  <c r="BE453" i="1"/>
  <c r="BD453" i="1"/>
  <c r="BC453" i="1"/>
  <c r="BA453" i="1"/>
  <c r="AX453" i="1"/>
  <c r="AW453" i="1"/>
  <c r="AV453" i="1"/>
  <c r="AU453" i="1"/>
  <c r="AT453" i="1"/>
  <c r="AO453" i="1"/>
  <c r="AB453" i="1"/>
  <c r="X453" i="1"/>
  <c r="F453" i="1"/>
  <c r="E453" i="1"/>
  <c r="D453" i="1"/>
  <c r="B453" i="1"/>
  <c r="BB453" i="1" s="1"/>
  <c r="A453" i="1"/>
  <c r="BJ452" i="1"/>
  <c r="BH452" i="1"/>
  <c r="BI452" i="1" s="1"/>
  <c r="BE452" i="1"/>
  <c r="BD452" i="1"/>
  <c r="BC452" i="1"/>
  <c r="BA452" i="1"/>
  <c r="AX452" i="1"/>
  <c r="AW452" i="1"/>
  <c r="AV452" i="1"/>
  <c r="AU452" i="1"/>
  <c r="AT452" i="1"/>
  <c r="AQ452" i="1"/>
  <c r="AR452" i="1" s="1"/>
  <c r="AP452" i="1"/>
  <c r="AO452" i="1"/>
  <c r="AN452" i="1"/>
  <c r="AB452" i="1"/>
  <c r="X452" i="1"/>
  <c r="F452" i="1"/>
  <c r="E452" i="1"/>
  <c r="D452" i="1"/>
  <c r="B452" i="1"/>
  <c r="BB452" i="1" s="1"/>
  <c r="A452" i="1"/>
  <c r="BM451" i="1"/>
  <c r="BK451" i="1"/>
  <c r="BL451" i="1" s="1"/>
  <c r="BE451" i="1"/>
  <c r="BD451" i="1"/>
  <c r="BC451" i="1"/>
  <c r="BA451" i="1"/>
  <c r="AX451" i="1"/>
  <c r="AW451" i="1"/>
  <c r="AV451" i="1"/>
  <c r="AU451" i="1"/>
  <c r="AT451" i="1"/>
  <c r="AQ451" i="1"/>
  <c r="AR451" i="1" s="1"/>
  <c r="AP451" i="1"/>
  <c r="AO451" i="1"/>
  <c r="AB451" i="1"/>
  <c r="X451" i="1"/>
  <c r="F451" i="1"/>
  <c r="E451" i="1"/>
  <c r="D451" i="1"/>
  <c r="B451" i="1"/>
  <c r="BB451" i="1" s="1"/>
  <c r="A451" i="1"/>
  <c r="BM450" i="1"/>
  <c r="BK450" i="1"/>
  <c r="BL450" i="1" s="1"/>
  <c r="BE450" i="1"/>
  <c r="BD450" i="1"/>
  <c r="BC450" i="1"/>
  <c r="BA450" i="1"/>
  <c r="AX450" i="1"/>
  <c r="AW450" i="1"/>
  <c r="AV450" i="1"/>
  <c r="AU450" i="1"/>
  <c r="AT450" i="1"/>
  <c r="AO450" i="1"/>
  <c r="AN450" i="1"/>
  <c r="AB450" i="1"/>
  <c r="AQ450" i="1" s="1"/>
  <c r="AR450" i="1" s="1"/>
  <c r="X450" i="1"/>
  <c r="F450" i="1"/>
  <c r="E450" i="1"/>
  <c r="D450" i="1"/>
  <c r="B450" i="1"/>
  <c r="BB450" i="1" s="1"/>
  <c r="A450" i="1"/>
  <c r="BM449" i="1"/>
  <c r="BK449" i="1"/>
  <c r="BL449" i="1" s="1"/>
  <c r="BE449" i="1"/>
  <c r="BD449" i="1"/>
  <c r="BC449" i="1"/>
  <c r="BA449" i="1"/>
  <c r="AX449" i="1"/>
  <c r="AW449" i="1"/>
  <c r="AV449" i="1"/>
  <c r="AU449" i="1"/>
  <c r="AT449" i="1"/>
  <c r="AQ449" i="1"/>
  <c r="AR449" i="1" s="1"/>
  <c r="AP449" i="1"/>
  <c r="AO449" i="1"/>
  <c r="AB449" i="1"/>
  <c r="AM449" i="1" s="1"/>
  <c r="X449" i="1"/>
  <c r="F449" i="1"/>
  <c r="E449" i="1"/>
  <c r="D449" i="1"/>
  <c r="B449" i="1"/>
  <c r="BB449" i="1" s="1"/>
  <c r="A449" i="1"/>
  <c r="BM448" i="1"/>
  <c r="BK448" i="1"/>
  <c r="BL448" i="1" s="1"/>
  <c r="BE448" i="1"/>
  <c r="BD448" i="1"/>
  <c r="BC448" i="1"/>
  <c r="BA448" i="1"/>
  <c r="AX448" i="1"/>
  <c r="AW448" i="1"/>
  <c r="AV448" i="1"/>
  <c r="AU448" i="1"/>
  <c r="AT448" i="1"/>
  <c r="AO448" i="1"/>
  <c r="AN448" i="1"/>
  <c r="AB448" i="1"/>
  <c r="AP448" i="1" s="1"/>
  <c r="X448" i="1"/>
  <c r="F448" i="1"/>
  <c r="E448" i="1"/>
  <c r="D448" i="1"/>
  <c r="B448" i="1"/>
  <c r="BB448" i="1" s="1"/>
  <c r="A448" i="1"/>
  <c r="BM447" i="1"/>
  <c r="BK447" i="1"/>
  <c r="BL447" i="1" s="1"/>
  <c r="BE447" i="1"/>
  <c r="BD447" i="1"/>
  <c r="BC447" i="1"/>
  <c r="BA447" i="1"/>
  <c r="AX447" i="1"/>
  <c r="AW447" i="1"/>
  <c r="AV447" i="1"/>
  <c r="AU447" i="1"/>
  <c r="AT447" i="1"/>
  <c r="AQ447" i="1"/>
  <c r="AR447" i="1" s="1"/>
  <c r="AP447" i="1"/>
  <c r="AO447" i="1"/>
  <c r="AB447" i="1"/>
  <c r="AM447" i="1" s="1"/>
  <c r="X447" i="1"/>
  <c r="F447" i="1"/>
  <c r="E447" i="1"/>
  <c r="D447" i="1"/>
  <c r="B447" i="1"/>
  <c r="BB447" i="1" s="1"/>
  <c r="A447" i="1"/>
  <c r="BM446" i="1"/>
  <c r="BK446" i="1"/>
  <c r="BL446" i="1" s="1"/>
  <c r="BE446" i="1"/>
  <c r="BD446" i="1"/>
  <c r="BC446" i="1"/>
  <c r="BA446" i="1"/>
  <c r="AX446" i="1"/>
  <c r="AW446" i="1"/>
  <c r="AV446" i="1"/>
  <c r="AU446" i="1"/>
  <c r="AT446" i="1"/>
  <c r="AO446" i="1"/>
  <c r="AN446" i="1"/>
  <c r="AB446" i="1"/>
  <c r="X446" i="1"/>
  <c r="F446" i="1"/>
  <c r="E446" i="1"/>
  <c r="D446" i="1"/>
  <c r="B446" i="1"/>
  <c r="BB446" i="1" s="1"/>
  <c r="A446" i="1"/>
  <c r="BM445" i="1"/>
  <c r="BK445" i="1"/>
  <c r="BL445" i="1" s="1"/>
  <c r="BE445" i="1"/>
  <c r="BD445" i="1"/>
  <c r="BC445" i="1"/>
  <c r="BA445" i="1"/>
  <c r="AX445" i="1"/>
  <c r="AW445" i="1"/>
  <c r="AV445" i="1"/>
  <c r="AU445" i="1"/>
  <c r="AT445" i="1"/>
  <c r="AQ445" i="1"/>
  <c r="AR445" i="1" s="1"/>
  <c r="AP445" i="1"/>
  <c r="AO445" i="1"/>
  <c r="AB445" i="1"/>
  <c r="AM445" i="1" s="1"/>
  <c r="X445" i="1"/>
  <c r="F445" i="1"/>
  <c r="E445" i="1"/>
  <c r="D445" i="1"/>
  <c r="B445" i="1"/>
  <c r="BB445" i="1" s="1"/>
  <c r="A445" i="1"/>
  <c r="BM444" i="1"/>
  <c r="BK444" i="1"/>
  <c r="BL444" i="1" s="1"/>
  <c r="BE444" i="1"/>
  <c r="BD444" i="1"/>
  <c r="BC444" i="1"/>
  <c r="BA444" i="1"/>
  <c r="AX444" i="1"/>
  <c r="AW444" i="1"/>
  <c r="AV444" i="1"/>
  <c r="AU444" i="1"/>
  <c r="AT444" i="1"/>
  <c r="AO444" i="1"/>
  <c r="AN444" i="1"/>
  <c r="AB444" i="1"/>
  <c r="AQ444" i="1" s="1"/>
  <c r="AR444" i="1" s="1"/>
  <c r="X444" i="1"/>
  <c r="F444" i="1"/>
  <c r="E444" i="1"/>
  <c r="D444" i="1"/>
  <c r="B444" i="1"/>
  <c r="BB444" i="1" s="1"/>
  <c r="A444" i="1"/>
  <c r="BM443" i="1"/>
  <c r="BK443" i="1"/>
  <c r="BL443" i="1" s="1"/>
  <c r="BE443" i="1"/>
  <c r="BD443" i="1"/>
  <c r="BC443" i="1"/>
  <c r="BA443" i="1"/>
  <c r="AX443" i="1"/>
  <c r="AW443" i="1"/>
  <c r="AV443" i="1"/>
  <c r="AU443" i="1"/>
  <c r="AT443" i="1"/>
  <c r="AQ443" i="1"/>
  <c r="AR443" i="1" s="1"/>
  <c r="AP443" i="1"/>
  <c r="AO443" i="1"/>
  <c r="AB443" i="1"/>
  <c r="AM443" i="1" s="1"/>
  <c r="X443" i="1"/>
  <c r="F443" i="1"/>
  <c r="E443" i="1"/>
  <c r="D443" i="1"/>
  <c r="B443" i="1"/>
  <c r="BB443" i="1" s="1"/>
  <c r="A443" i="1"/>
  <c r="BM442" i="1"/>
  <c r="BK442" i="1"/>
  <c r="BL442" i="1" s="1"/>
  <c r="BE442" i="1"/>
  <c r="BD442" i="1"/>
  <c r="BC442" i="1"/>
  <c r="BA442" i="1"/>
  <c r="AX442" i="1"/>
  <c r="AW442" i="1"/>
  <c r="AV442" i="1"/>
  <c r="AU442" i="1"/>
  <c r="AT442" i="1"/>
  <c r="AO442" i="1"/>
  <c r="AN442" i="1"/>
  <c r="AB442" i="1"/>
  <c r="AQ442" i="1" s="1"/>
  <c r="AR442" i="1" s="1"/>
  <c r="X442" i="1"/>
  <c r="F442" i="1"/>
  <c r="E442" i="1"/>
  <c r="D442" i="1"/>
  <c r="B442" i="1"/>
  <c r="BB442" i="1" s="1"/>
  <c r="A442" i="1"/>
  <c r="BM441" i="1"/>
  <c r="BK441" i="1"/>
  <c r="BL441" i="1" s="1"/>
  <c r="BE441" i="1"/>
  <c r="BD441" i="1"/>
  <c r="BC441" i="1"/>
  <c r="BA441" i="1"/>
  <c r="AX441" i="1"/>
  <c r="AW441" i="1"/>
  <c r="AV441" i="1"/>
  <c r="AU441" i="1"/>
  <c r="AT441" i="1"/>
  <c r="AQ441" i="1"/>
  <c r="AR441" i="1" s="1"/>
  <c r="AP441" i="1"/>
  <c r="AO441" i="1"/>
  <c r="AB441" i="1"/>
  <c r="AM441" i="1" s="1"/>
  <c r="X441" i="1"/>
  <c r="F441" i="1"/>
  <c r="E441" i="1"/>
  <c r="D441" i="1"/>
  <c r="B441" i="1"/>
  <c r="BB441" i="1" s="1"/>
  <c r="A441" i="1"/>
  <c r="BM440" i="1"/>
  <c r="BK440" i="1"/>
  <c r="BL440" i="1" s="1"/>
  <c r="BE440" i="1"/>
  <c r="BD440" i="1"/>
  <c r="BC440" i="1"/>
  <c r="BA440" i="1"/>
  <c r="AX440" i="1"/>
  <c r="AW440" i="1"/>
  <c r="AV440" i="1"/>
  <c r="AU440" i="1"/>
  <c r="AT440" i="1"/>
  <c r="AO440" i="1"/>
  <c r="AN440" i="1"/>
  <c r="AB440" i="1"/>
  <c r="AP440" i="1" s="1"/>
  <c r="X440" i="1"/>
  <c r="F440" i="1"/>
  <c r="E440" i="1"/>
  <c r="D440" i="1"/>
  <c r="B440" i="1"/>
  <c r="BB440" i="1" s="1"/>
  <c r="A440" i="1"/>
  <c r="BM439" i="1"/>
  <c r="BK439" i="1"/>
  <c r="BL439" i="1" s="1"/>
  <c r="BE439" i="1"/>
  <c r="BD439" i="1"/>
  <c r="BC439" i="1"/>
  <c r="BA439" i="1"/>
  <c r="AX439" i="1"/>
  <c r="AW439" i="1"/>
  <c r="AV439" i="1"/>
  <c r="AU439" i="1"/>
  <c r="AT439" i="1"/>
  <c r="AQ439" i="1"/>
  <c r="AR439" i="1" s="1"/>
  <c r="AP439" i="1"/>
  <c r="AN439" i="1"/>
  <c r="AE439" i="1"/>
  <c r="AB439" i="1"/>
  <c r="AM439" i="1" s="1"/>
  <c r="X439" i="1"/>
  <c r="F439" i="1"/>
  <c r="E439" i="1"/>
  <c r="D439" i="1"/>
  <c r="B439" i="1"/>
  <c r="BB439" i="1" s="1"/>
  <c r="A439" i="1"/>
  <c r="BM438" i="1"/>
  <c r="BK438" i="1"/>
  <c r="BL438" i="1" s="1"/>
  <c r="BE438" i="1"/>
  <c r="BD438" i="1"/>
  <c r="BC438" i="1"/>
  <c r="BA438" i="1"/>
  <c r="AX438" i="1"/>
  <c r="AW438" i="1"/>
  <c r="AV438" i="1"/>
  <c r="AU438" i="1"/>
  <c r="AT438" i="1"/>
  <c r="AQ438" i="1"/>
  <c r="AR438" i="1" s="1"/>
  <c r="AP438" i="1"/>
  <c r="AN438" i="1"/>
  <c r="AE438" i="1"/>
  <c r="AB438" i="1"/>
  <c r="AM438" i="1" s="1"/>
  <c r="X438" i="1"/>
  <c r="F438" i="1"/>
  <c r="E438" i="1"/>
  <c r="D438" i="1"/>
  <c r="B438" i="1"/>
  <c r="BB438" i="1" s="1"/>
  <c r="A438" i="1"/>
  <c r="BM437" i="1"/>
  <c r="BK437" i="1"/>
  <c r="BL437" i="1" s="1"/>
  <c r="BE437" i="1"/>
  <c r="BD437" i="1"/>
  <c r="BC437" i="1"/>
  <c r="BA437" i="1"/>
  <c r="AX437" i="1"/>
  <c r="AW437" i="1"/>
  <c r="AV437" i="1"/>
  <c r="AU437" i="1"/>
  <c r="AT437" i="1"/>
  <c r="AO437" i="1"/>
  <c r="AN437" i="1"/>
  <c r="AB437" i="1"/>
  <c r="AQ437" i="1" s="1"/>
  <c r="AR437" i="1" s="1"/>
  <c r="X437" i="1"/>
  <c r="F437" i="1"/>
  <c r="E437" i="1"/>
  <c r="D437" i="1"/>
  <c r="B437" i="1"/>
  <c r="BB437" i="1" s="1"/>
  <c r="A437" i="1"/>
  <c r="BM436" i="1"/>
  <c r="BK436" i="1"/>
  <c r="BL436" i="1" s="1"/>
  <c r="BE436" i="1"/>
  <c r="BD436" i="1"/>
  <c r="BC436" i="1"/>
  <c r="BA436" i="1"/>
  <c r="AX436" i="1"/>
  <c r="AW436" i="1"/>
  <c r="AV436" i="1"/>
  <c r="AU436" i="1"/>
  <c r="AT436" i="1"/>
  <c r="AO436" i="1"/>
  <c r="AB436" i="1"/>
  <c r="AQ436" i="1" s="1"/>
  <c r="X436" i="1"/>
  <c r="F436" i="1"/>
  <c r="E436" i="1"/>
  <c r="D436" i="1"/>
  <c r="B436" i="1"/>
  <c r="BB436" i="1" s="1"/>
  <c r="A436" i="1"/>
  <c r="BM435" i="1"/>
  <c r="BK435" i="1"/>
  <c r="BL435" i="1" s="1"/>
  <c r="BE435" i="1"/>
  <c r="BD435" i="1"/>
  <c r="BC435" i="1"/>
  <c r="BA435" i="1"/>
  <c r="AX435" i="1"/>
  <c r="AW435" i="1"/>
  <c r="AV435" i="1"/>
  <c r="AU435" i="1"/>
  <c r="AT435" i="1"/>
  <c r="AQ435" i="1"/>
  <c r="AR435" i="1" s="1"/>
  <c r="AP435" i="1"/>
  <c r="AO435" i="1"/>
  <c r="AN435" i="1"/>
  <c r="AB435" i="1"/>
  <c r="X435" i="1"/>
  <c r="F435" i="1"/>
  <c r="E435" i="1"/>
  <c r="D435" i="1"/>
  <c r="B435" i="1"/>
  <c r="BB435" i="1" s="1"/>
  <c r="A435" i="1"/>
  <c r="BJ434" i="1"/>
  <c r="BH434" i="1"/>
  <c r="BI434" i="1" s="1"/>
  <c r="BE434" i="1"/>
  <c r="BD434" i="1"/>
  <c r="BC434" i="1"/>
  <c r="BA434" i="1"/>
  <c r="AX434" i="1"/>
  <c r="AW434" i="1"/>
  <c r="AV434" i="1"/>
  <c r="AU434" i="1"/>
  <c r="AT434" i="1"/>
  <c r="AO434" i="1"/>
  <c r="AB434" i="1"/>
  <c r="X434" i="1"/>
  <c r="F434" i="1"/>
  <c r="E434" i="1"/>
  <c r="D434" i="1"/>
  <c r="B434" i="1"/>
  <c r="BB434" i="1" s="1"/>
  <c r="A434" i="1"/>
  <c r="BJ433" i="1"/>
  <c r="BH433" i="1"/>
  <c r="BI433" i="1" s="1"/>
  <c r="BE433" i="1"/>
  <c r="BD433" i="1"/>
  <c r="BC433" i="1"/>
  <c r="BA433" i="1"/>
  <c r="AX433" i="1"/>
  <c r="AW433" i="1"/>
  <c r="AV433" i="1"/>
  <c r="AU433" i="1"/>
  <c r="AT433" i="1"/>
  <c r="AQ433" i="1"/>
  <c r="AR433" i="1" s="1"/>
  <c r="AP433" i="1"/>
  <c r="AO433" i="1"/>
  <c r="AN433" i="1"/>
  <c r="AB433" i="1"/>
  <c r="X433" i="1"/>
  <c r="F433" i="1"/>
  <c r="E433" i="1"/>
  <c r="D433" i="1"/>
  <c r="B433" i="1"/>
  <c r="BB433" i="1" s="1"/>
  <c r="A433" i="1"/>
  <c r="BM432" i="1"/>
  <c r="BK432" i="1"/>
  <c r="BL432" i="1" s="1"/>
  <c r="BE432" i="1"/>
  <c r="BD432" i="1"/>
  <c r="BC432" i="1"/>
  <c r="BA432" i="1"/>
  <c r="AX432" i="1"/>
  <c r="AW432" i="1"/>
  <c r="AV432" i="1"/>
  <c r="AU432" i="1"/>
  <c r="AT432" i="1"/>
  <c r="AO432" i="1"/>
  <c r="AB432" i="1"/>
  <c r="AQ432" i="1" s="1"/>
  <c r="X432" i="1"/>
  <c r="F432" i="1"/>
  <c r="E432" i="1"/>
  <c r="D432" i="1"/>
  <c r="B432" i="1"/>
  <c r="BB432" i="1" s="1"/>
  <c r="A432" i="1"/>
  <c r="BM431" i="1"/>
  <c r="BK431" i="1"/>
  <c r="BL431" i="1" s="1"/>
  <c r="BE431" i="1"/>
  <c r="BD431" i="1"/>
  <c r="BC431" i="1"/>
  <c r="BA431" i="1"/>
  <c r="AX431" i="1"/>
  <c r="AW431" i="1"/>
  <c r="AV431" i="1"/>
  <c r="AU431" i="1"/>
  <c r="AT431" i="1"/>
  <c r="AQ431" i="1"/>
  <c r="AR431" i="1" s="1"/>
  <c r="AP431" i="1"/>
  <c r="AO431" i="1"/>
  <c r="AN431" i="1"/>
  <c r="AB431" i="1"/>
  <c r="AM431" i="1" s="1"/>
  <c r="X431" i="1"/>
  <c r="F431" i="1"/>
  <c r="E431" i="1"/>
  <c r="D431" i="1"/>
  <c r="B431" i="1"/>
  <c r="BB431" i="1" s="1"/>
  <c r="A431" i="1"/>
  <c r="BM430" i="1"/>
  <c r="BK430" i="1"/>
  <c r="BL430" i="1" s="1"/>
  <c r="BE430" i="1"/>
  <c r="BD430" i="1"/>
  <c r="BC430" i="1"/>
  <c r="BA430" i="1"/>
  <c r="AX430" i="1"/>
  <c r="AW430" i="1"/>
  <c r="AV430" i="1"/>
  <c r="AU430" i="1"/>
  <c r="AT430" i="1"/>
  <c r="AO430" i="1"/>
  <c r="AB430" i="1"/>
  <c r="AQ430" i="1" s="1"/>
  <c r="X430" i="1"/>
  <c r="F430" i="1"/>
  <c r="E430" i="1"/>
  <c r="D430" i="1"/>
  <c r="B430" i="1"/>
  <c r="BB430" i="1" s="1"/>
  <c r="A430" i="1"/>
  <c r="BM429" i="1"/>
  <c r="BK429" i="1"/>
  <c r="BL429" i="1" s="1"/>
  <c r="BE429" i="1"/>
  <c r="BD429" i="1"/>
  <c r="BC429" i="1"/>
  <c r="BA429" i="1"/>
  <c r="AX429" i="1"/>
  <c r="AW429" i="1"/>
  <c r="AV429" i="1"/>
  <c r="AU429" i="1"/>
  <c r="AT429" i="1"/>
  <c r="AQ429" i="1"/>
  <c r="AR429" i="1" s="1"/>
  <c r="AP429" i="1"/>
  <c r="AO429" i="1"/>
  <c r="AN429" i="1"/>
  <c r="AB429" i="1"/>
  <c r="AM429" i="1" s="1"/>
  <c r="X429" i="1"/>
  <c r="F429" i="1"/>
  <c r="E429" i="1"/>
  <c r="D429" i="1"/>
  <c r="B429" i="1"/>
  <c r="BB429" i="1" s="1"/>
  <c r="A429" i="1"/>
  <c r="BM428" i="1"/>
  <c r="BK428" i="1"/>
  <c r="BL428" i="1" s="1"/>
  <c r="BE428" i="1"/>
  <c r="BD428" i="1"/>
  <c r="BC428" i="1"/>
  <c r="BA428" i="1"/>
  <c r="AX428" i="1"/>
  <c r="AW428" i="1"/>
  <c r="AV428" i="1"/>
  <c r="AU428" i="1"/>
  <c r="AT428" i="1"/>
  <c r="AQ428" i="1"/>
  <c r="AR428" i="1" s="1"/>
  <c r="AP428" i="1"/>
  <c r="AO428" i="1"/>
  <c r="AB428" i="1"/>
  <c r="AM428" i="1" s="1"/>
  <c r="X428" i="1"/>
  <c r="F428" i="1"/>
  <c r="E428" i="1"/>
  <c r="D428" i="1"/>
  <c r="B428" i="1"/>
  <c r="BB428" i="1" s="1"/>
  <c r="A428" i="1"/>
  <c r="BM427" i="1"/>
  <c r="BK427" i="1"/>
  <c r="BL427" i="1" s="1"/>
  <c r="BE427" i="1"/>
  <c r="BD427" i="1"/>
  <c r="BC427" i="1"/>
  <c r="BA427" i="1"/>
  <c r="AX427" i="1"/>
  <c r="AW427" i="1"/>
  <c r="AV427" i="1"/>
  <c r="AU427" i="1"/>
  <c r="AT427" i="1"/>
  <c r="AO427" i="1"/>
  <c r="AN427" i="1"/>
  <c r="AB427" i="1"/>
  <c r="AQ427" i="1" s="1"/>
  <c r="AR427" i="1" s="1"/>
  <c r="X427" i="1"/>
  <c r="F427" i="1"/>
  <c r="E427" i="1"/>
  <c r="D427" i="1"/>
  <c r="B427" i="1"/>
  <c r="BB427" i="1" s="1"/>
  <c r="A427" i="1"/>
  <c r="BJ426" i="1"/>
  <c r="BH426" i="1"/>
  <c r="BI426" i="1" s="1"/>
  <c r="BE426" i="1"/>
  <c r="BC426" i="1"/>
  <c r="BA426" i="1"/>
  <c r="AX426" i="1"/>
  <c r="AW426" i="1"/>
  <c r="AV426" i="1"/>
  <c r="AU426" i="1"/>
  <c r="AT426" i="1"/>
  <c r="AQ426" i="1"/>
  <c r="AR426" i="1" s="1"/>
  <c r="AP426" i="1"/>
  <c r="AO426" i="1"/>
  <c r="AN426" i="1"/>
  <c r="AE426" i="1"/>
  <c r="AB426" i="1"/>
  <c r="AM426" i="1" s="1"/>
  <c r="X426" i="1"/>
  <c r="E426" i="1"/>
  <c r="D426" i="1"/>
  <c r="B426" i="1"/>
  <c r="A426" i="1"/>
  <c r="BJ425" i="1"/>
  <c r="BH425" i="1"/>
  <c r="BI425" i="1" s="1"/>
  <c r="BE425" i="1"/>
  <c r="BD425" i="1"/>
  <c r="BA425" i="1"/>
  <c r="AX425" i="1"/>
  <c r="AW425" i="1"/>
  <c r="AV425" i="1"/>
  <c r="AU425" i="1"/>
  <c r="AT425" i="1"/>
  <c r="AQ425" i="1"/>
  <c r="AR425" i="1" s="1"/>
  <c r="AP425" i="1"/>
  <c r="AO425" i="1"/>
  <c r="AN425" i="1"/>
  <c r="AE425" i="1"/>
  <c r="AB425" i="1"/>
  <c r="AM425" i="1" s="1"/>
  <c r="X425" i="1"/>
  <c r="E425" i="1"/>
  <c r="D425" i="1"/>
  <c r="B425" i="1"/>
  <c r="BB425" i="1" s="1"/>
  <c r="A425" i="1"/>
  <c r="BJ424" i="1"/>
  <c r="BH424" i="1"/>
  <c r="BI424" i="1" s="1"/>
  <c r="BD424" i="1"/>
  <c r="BC424" i="1"/>
  <c r="BA424" i="1"/>
  <c r="AX424" i="1"/>
  <c r="AW424" i="1"/>
  <c r="AV424" i="1"/>
  <c r="AU424" i="1"/>
  <c r="AT424" i="1"/>
  <c r="AQ424" i="1"/>
  <c r="AR424" i="1" s="1"/>
  <c r="AP424" i="1"/>
  <c r="AO424" i="1"/>
  <c r="AN424" i="1"/>
  <c r="AE424" i="1"/>
  <c r="AB424" i="1"/>
  <c r="BE424" i="1" s="1"/>
  <c r="X424" i="1"/>
  <c r="E424" i="1"/>
  <c r="D424" i="1"/>
  <c r="B424" i="1"/>
  <c r="BB424" i="1" s="1"/>
  <c r="A424" i="1"/>
  <c r="BJ423" i="1"/>
  <c r="BH423" i="1"/>
  <c r="BI423" i="1" s="1"/>
  <c r="BD423" i="1"/>
  <c r="BC423" i="1"/>
  <c r="BA423" i="1"/>
  <c r="AX423" i="1"/>
  <c r="AW423" i="1"/>
  <c r="AV423" i="1"/>
  <c r="AU423" i="1"/>
  <c r="AT423" i="1"/>
  <c r="AQ423" i="1"/>
  <c r="AR423" i="1" s="1"/>
  <c r="AP423" i="1"/>
  <c r="AO423" i="1"/>
  <c r="AN423" i="1"/>
  <c r="AB423" i="1"/>
  <c r="AM423" i="1" s="1"/>
  <c r="X423" i="1"/>
  <c r="F423" i="1"/>
  <c r="E423" i="1"/>
  <c r="D423" i="1"/>
  <c r="B423" i="1"/>
  <c r="BB423" i="1" s="1"/>
  <c r="A423" i="1"/>
  <c r="BJ422" i="1"/>
  <c r="BH422" i="1"/>
  <c r="BI422" i="1" s="1"/>
  <c r="BE422" i="1"/>
  <c r="BD422" i="1"/>
  <c r="BC422" i="1"/>
  <c r="BA422" i="1"/>
  <c r="AX422" i="1"/>
  <c r="AV422" i="1"/>
  <c r="AU422" i="1"/>
  <c r="AT422" i="1"/>
  <c r="AQ422" i="1"/>
  <c r="AR422" i="1" s="1"/>
  <c r="AP422" i="1"/>
  <c r="AO422" i="1"/>
  <c r="AN422" i="1"/>
  <c r="AE422" i="1"/>
  <c r="AB422" i="1"/>
  <c r="AW422" i="1" s="1"/>
  <c r="X422" i="1"/>
  <c r="F422" i="1"/>
  <c r="E422" i="1"/>
  <c r="D422" i="1"/>
  <c r="B422" i="1"/>
  <c r="BB422" i="1" s="1"/>
  <c r="A422" i="1"/>
  <c r="BJ421" i="1"/>
  <c r="BH421" i="1"/>
  <c r="BI421" i="1" s="1"/>
  <c r="BE421" i="1"/>
  <c r="BD421" i="1"/>
  <c r="BC421" i="1"/>
  <c r="BA421" i="1"/>
  <c r="AX421" i="1"/>
  <c r="AV421" i="1"/>
  <c r="AU421" i="1"/>
  <c r="AT421" i="1"/>
  <c r="AQ421" i="1"/>
  <c r="AR421" i="1" s="1"/>
  <c r="AP421" i="1"/>
  <c r="AO421" i="1"/>
  <c r="AN421" i="1"/>
  <c r="AE421" i="1"/>
  <c r="AB421" i="1"/>
  <c r="AW421" i="1" s="1"/>
  <c r="X421" i="1"/>
  <c r="F421" i="1"/>
  <c r="E421" i="1"/>
  <c r="D421" i="1"/>
  <c r="B421" i="1"/>
  <c r="BB421" i="1" s="1"/>
  <c r="A421" i="1"/>
  <c r="BM420" i="1"/>
  <c r="BK420" i="1"/>
  <c r="BL420" i="1" s="1"/>
  <c r="BE420" i="1"/>
  <c r="BD420" i="1"/>
  <c r="BC420" i="1"/>
  <c r="BA420" i="1"/>
  <c r="AX420" i="1"/>
  <c r="AW420" i="1"/>
  <c r="AV420" i="1"/>
  <c r="AU420" i="1"/>
  <c r="AT420" i="1"/>
  <c r="AQ420" i="1"/>
  <c r="AR420" i="1" s="1"/>
  <c r="AP420" i="1"/>
  <c r="AO420" i="1"/>
  <c r="AB420" i="1"/>
  <c r="AM420" i="1" s="1"/>
  <c r="X420" i="1"/>
  <c r="E420" i="1"/>
  <c r="D420" i="1"/>
  <c r="B420" i="1"/>
  <c r="BB420" i="1" s="1"/>
  <c r="A420" i="1"/>
  <c r="BM419" i="1"/>
  <c r="BK419" i="1"/>
  <c r="BL419" i="1" s="1"/>
  <c r="BE419" i="1"/>
  <c r="BD419" i="1"/>
  <c r="BC419" i="1"/>
  <c r="BA419" i="1"/>
  <c r="AX419" i="1"/>
  <c r="AW419" i="1"/>
  <c r="AV419" i="1"/>
  <c r="AU419" i="1"/>
  <c r="AT419" i="1"/>
  <c r="AQ419" i="1"/>
  <c r="AR419" i="1" s="1"/>
  <c r="AP419" i="1"/>
  <c r="AO419" i="1"/>
  <c r="AB419" i="1"/>
  <c r="AM419" i="1" s="1"/>
  <c r="X419" i="1"/>
  <c r="F419" i="1"/>
  <c r="E419" i="1"/>
  <c r="D419" i="1"/>
  <c r="B419" i="1"/>
  <c r="BB419" i="1" s="1"/>
  <c r="A419" i="1"/>
  <c r="BM418" i="1"/>
  <c r="BK418" i="1"/>
  <c r="BL418" i="1" s="1"/>
  <c r="BE418" i="1"/>
  <c r="BD418" i="1"/>
  <c r="BC418" i="1"/>
  <c r="BA418" i="1"/>
  <c r="AX418" i="1"/>
  <c r="AW418" i="1"/>
  <c r="AV418" i="1"/>
  <c r="AU418" i="1"/>
  <c r="AT418" i="1"/>
  <c r="AO418" i="1"/>
  <c r="AN418" i="1"/>
  <c r="AB418" i="1"/>
  <c r="AQ418" i="1" s="1"/>
  <c r="AR418" i="1" s="1"/>
  <c r="X418" i="1"/>
  <c r="F418" i="1"/>
  <c r="E418" i="1"/>
  <c r="D418" i="1"/>
  <c r="B418" i="1"/>
  <c r="BB418" i="1" s="1"/>
  <c r="A418" i="1"/>
  <c r="BM417" i="1"/>
  <c r="BK417" i="1"/>
  <c r="BL417" i="1" s="1"/>
  <c r="BE417" i="1"/>
  <c r="BD417" i="1"/>
  <c r="BC417" i="1"/>
  <c r="BA417" i="1"/>
  <c r="AX417" i="1"/>
  <c r="AW417" i="1"/>
  <c r="AV417" i="1"/>
  <c r="AU417" i="1"/>
  <c r="AT417" i="1"/>
  <c r="AN417" i="1"/>
  <c r="AE417" i="1"/>
  <c r="AB417" i="1"/>
  <c r="X417" i="1"/>
  <c r="F417" i="1"/>
  <c r="E417" i="1"/>
  <c r="D417" i="1"/>
  <c r="B417" i="1"/>
  <c r="BB417" i="1" s="1"/>
  <c r="A417" i="1"/>
  <c r="BM416" i="1"/>
  <c r="BK416" i="1"/>
  <c r="BL416" i="1" s="1"/>
  <c r="BE416" i="1"/>
  <c r="BD416" i="1"/>
  <c r="BC416" i="1"/>
  <c r="BA416" i="1"/>
  <c r="AX416" i="1"/>
  <c r="AW416" i="1"/>
  <c r="AV416" i="1"/>
  <c r="AU416" i="1"/>
  <c r="AT416" i="1"/>
  <c r="AN416" i="1"/>
  <c r="AE416" i="1"/>
  <c r="AB416" i="1"/>
  <c r="X416" i="1"/>
  <c r="F416" i="1"/>
  <c r="E416" i="1"/>
  <c r="D416" i="1"/>
  <c r="B416" i="1"/>
  <c r="BB416" i="1" s="1"/>
  <c r="A416" i="1"/>
  <c r="BM415" i="1"/>
  <c r="BK415" i="1"/>
  <c r="BL415" i="1" s="1"/>
  <c r="BE415" i="1"/>
  <c r="BD415" i="1"/>
  <c r="BC415" i="1"/>
  <c r="BA415" i="1"/>
  <c r="AX415" i="1"/>
  <c r="AW415" i="1"/>
  <c r="AV415" i="1"/>
  <c r="AU415" i="1"/>
  <c r="AT415" i="1"/>
  <c r="AQ415" i="1"/>
  <c r="AR415" i="1" s="1"/>
  <c r="AP415" i="1"/>
  <c r="AO415" i="1"/>
  <c r="AN415" i="1"/>
  <c r="AB415" i="1"/>
  <c r="AM415" i="1" s="1"/>
  <c r="X415" i="1"/>
  <c r="F415" i="1"/>
  <c r="E415" i="1"/>
  <c r="D415" i="1"/>
  <c r="B415" i="1"/>
  <c r="BB415" i="1" s="1"/>
  <c r="A415" i="1"/>
  <c r="BM414" i="1"/>
  <c r="BK414" i="1"/>
  <c r="BL414" i="1" s="1"/>
  <c r="BE414" i="1"/>
  <c r="BD414" i="1"/>
  <c r="BC414" i="1"/>
  <c r="BA414" i="1"/>
  <c r="AX414" i="1"/>
  <c r="AW414" i="1"/>
  <c r="AV414" i="1"/>
  <c r="AU414" i="1"/>
  <c r="AT414" i="1"/>
  <c r="AQ414" i="1"/>
  <c r="AR414" i="1" s="1"/>
  <c r="AP414" i="1"/>
  <c r="AN414" i="1"/>
  <c r="AE414" i="1"/>
  <c r="AB414" i="1"/>
  <c r="AM414" i="1" s="1"/>
  <c r="X414" i="1"/>
  <c r="F414" i="1"/>
  <c r="E414" i="1"/>
  <c r="D414" i="1"/>
  <c r="B414" i="1"/>
  <c r="BB414" i="1" s="1"/>
  <c r="A414" i="1"/>
  <c r="BM413" i="1"/>
  <c r="BK413" i="1"/>
  <c r="BL413" i="1" s="1"/>
  <c r="BE413" i="1"/>
  <c r="BD413" i="1"/>
  <c r="BC413" i="1"/>
  <c r="BA413" i="1"/>
  <c r="AX413" i="1"/>
  <c r="AW413" i="1"/>
  <c r="AV413" i="1"/>
  <c r="AU413" i="1"/>
  <c r="AT413" i="1"/>
  <c r="AQ413" i="1"/>
  <c r="AR413" i="1" s="1"/>
  <c r="AP413" i="1"/>
  <c r="AN413" i="1"/>
  <c r="AE413" i="1"/>
  <c r="AB413" i="1"/>
  <c r="AM413" i="1" s="1"/>
  <c r="X413" i="1"/>
  <c r="F413" i="1"/>
  <c r="E413" i="1"/>
  <c r="D413" i="1"/>
  <c r="B413" i="1"/>
  <c r="BB413" i="1" s="1"/>
  <c r="A413" i="1"/>
  <c r="BM412" i="1"/>
  <c r="BK412" i="1"/>
  <c r="BL412" i="1" s="1"/>
  <c r="BE412" i="1"/>
  <c r="BD412" i="1"/>
  <c r="BC412" i="1"/>
  <c r="BA412" i="1"/>
  <c r="AX412" i="1"/>
  <c r="AW412" i="1"/>
  <c r="AV412" i="1"/>
  <c r="AU412" i="1"/>
  <c r="AT412" i="1"/>
  <c r="AO412" i="1"/>
  <c r="AN412" i="1"/>
  <c r="AB412" i="1"/>
  <c r="AQ412" i="1" s="1"/>
  <c r="AR412" i="1" s="1"/>
  <c r="X412" i="1"/>
  <c r="F412" i="1"/>
  <c r="E412" i="1"/>
  <c r="D412" i="1"/>
  <c r="B412" i="1"/>
  <c r="BB412" i="1" s="1"/>
  <c r="A412" i="1"/>
  <c r="BM411" i="1"/>
  <c r="BK411" i="1"/>
  <c r="BL411" i="1" s="1"/>
  <c r="BE411" i="1"/>
  <c r="BD411" i="1"/>
  <c r="BC411" i="1"/>
  <c r="BA411" i="1"/>
  <c r="AX411" i="1"/>
  <c r="AW411" i="1"/>
  <c r="AV411" i="1"/>
  <c r="AU411" i="1"/>
  <c r="AT411" i="1"/>
  <c r="AO411" i="1"/>
  <c r="AB411" i="1"/>
  <c r="X411" i="1"/>
  <c r="E411" i="1"/>
  <c r="D411" i="1"/>
  <c r="B411" i="1"/>
  <c r="BB411" i="1" s="1"/>
  <c r="A411" i="1"/>
  <c r="BM410" i="1"/>
  <c r="BK410" i="1"/>
  <c r="BL410" i="1" s="1"/>
  <c r="BE410" i="1"/>
  <c r="BD410" i="1"/>
  <c r="BC410" i="1"/>
  <c r="BA410" i="1"/>
  <c r="AX410" i="1"/>
  <c r="AW410" i="1"/>
  <c r="AV410" i="1"/>
  <c r="AU410" i="1"/>
  <c r="AT410" i="1"/>
  <c r="AQ410" i="1"/>
  <c r="AR410" i="1" s="1"/>
  <c r="AP410" i="1"/>
  <c r="AO410" i="1"/>
  <c r="AN410" i="1"/>
  <c r="AB410" i="1"/>
  <c r="AM410" i="1" s="1"/>
  <c r="X410" i="1"/>
  <c r="E410" i="1"/>
  <c r="D410" i="1"/>
  <c r="B410" i="1"/>
  <c r="BB410" i="1" s="1"/>
  <c r="A410" i="1"/>
  <c r="BJ409" i="1"/>
  <c r="BH409" i="1"/>
  <c r="BI409" i="1" s="1"/>
  <c r="BE409" i="1"/>
  <c r="BD409" i="1"/>
  <c r="BC409" i="1"/>
  <c r="BA409" i="1"/>
  <c r="AX409" i="1"/>
  <c r="AW409" i="1"/>
  <c r="AU409" i="1"/>
  <c r="AT409" i="1"/>
  <c r="AQ409" i="1"/>
  <c r="AR409" i="1" s="1"/>
  <c r="AP409" i="1"/>
  <c r="AO409" i="1"/>
  <c r="AN409" i="1"/>
  <c r="AE409" i="1"/>
  <c r="AB409" i="1"/>
  <c r="X409" i="1"/>
  <c r="E409" i="1"/>
  <c r="D409" i="1"/>
  <c r="B409" i="1"/>
  <c r="BB409" i="1" s="1"/>
  <c r="A409" i="1"/>
  <c r="BJ408" i="1"/>
  <c r="BH408" i="1"/>
  <c r="BI408" i="1" s="1"/>
  <c r="BE408" i="1"/>
  <c r="BD408" i="1"/>
  <c r="BC408" i="1"/>
  <c r="BA408" i="1"/>
  <c r="AX408" i="1"/>
  <c r="AW408" i="1"/>
  <c r="AV408" i="1"/>
  <c r="AU408" i="1"/>
  <c r="AT408" i="1"/>
  <c r="AN408" i="1"/>
  <c r="AE408" i="1"/>
  <c r="AB408" i="1"/>
  <c r="AQ408" i="1" s="1"/>
  <c r="AR408" i="1" s="1"/>
  <c r="X408" i="1"/>
  <c r="E408" i="1"/>
  <c r="D408" i="1"/>
  <c r="B408" i="1"/>
  <c r="BB408" i="1" s="1"/>
  <c r="A408" i="1"/>
  <c r="BJ407" i="1"/>
  <c r="BH407" i="1"/>
  <c r="BI407" i="1" s="1"/>
  <c r="BE407" i="1"/>
  <c r="BD407" i="1"/>
  <c r="BC407" i="1"/>
  <c r="BA407" i="1"/>
  <c r="AX407" i="1"/>
  <c r="AW407" i="1"/>
  <c r="AV407" i="1"/>
  <c r="AU407" i="1"/>
  <c r="AT407" i="1"/>
  <c r="AQ407" i="1"/>
  <c r="AR407" i="1" s="1"/>
  <c r="AP407" i="1"/>
  <c r="AO407" i="1"/>
  <c r="AN407" i="1"/>
  <c r="AB407" i="1"/>
  <c r="AM407" i="1" s="1"/>
  <c r="X407" i="1"/>
  <c r="E407" i="1"/>
  <c r="D407" i="1"/>
  <c r="B407" i="1"/>
  <c r="BB407" i="1" s="1"/>
  <c r="A407" i="1"/>
  <c r="BJ406" i="1"/>
  <c r="BH406" i="1"/>
  <c r="BI406" i="1" s="1"/>
  <c r="BE406" i="1"/>
  <c r="BD406" i="1"/>
  <c r="BC406" i="1"/>
  <c r="BA406" i="1"/>
  <c r="AX406" i="1"/>
  <c r="AW406" i="1"/>
  <c r="AV406" i="1"/>
  <c r="AU406" i="1"/>
  <c r="AT406" i="1"/>
  <c r="AN406" i="1"/>
  <c r="AE406" i="1"/>
  <c r="AB406" i="1"/>
  <c r="X406" i="1"/>
  <c r="E406" i="1"/>
  <c r="D406" i="1"/>
  <c r="B406" i="1"/>
  <c r="BB406" i="1" s="1"/>
  <c r="A406" i="1"/>
  <c r="BJ405" i="1"/>
  <c r="BH405" i="1"/>
  <c r="BI405" i="1" s="1"/>
  <c r="BE405" i="1"/>
  <c r="BD405" i="1"/>
  <c r="BC405" i="1"/>
  <c r="BA405" i="1"/>
  <c r="AX405" i="1"/>
  <c r="AW405" i="1"/>
  <c r="AV405" i="1"/>
  <c r="AU405" i="1"/>
  <c r="AT405" i="1"/>
  <c r="AQ405" i="1"/>
  <c r="AR405" i="1" s="1"/>
  <c r="AP405" i="1"/>
  <c r="AO405" i="1"/>
  <c r="AN405" i="1"/>
  <c r="AB405" i="1"/>
  <c r="X405" i="1"/>
  <c r="E405" i="1"/>
  <c r="D405" i="1"/>
  <c r="B405" i="1"/>
  <c r="BB405" i="1" s="1"/>
  <c r="A405" i="1"/>
  <c r="BJ404" i="1"/>
  <c r="BH404" i="1"/>
  <c r="BI404" i="1" s="1"/>
  <c r="BE404" i="1"/>
  <c r="BD404" i="1"/>
  <c r="BC404" i="1"/>
  <c r="BA404" i="1"/>
  <c r="AX404" i="1"/>
  <c r="AW404" i="1"/>
  <c r="AV404" i="1"/>
  <c r="AU404" i="1"/>
  <c r="AT404" i="1"/>
  <c r="AQ404" i="1"/>
  <c r="AR404" i="1" s="1"/>
  <c r="AP404" i="1"/>
  <c r="AN404" i="1"/>
  <c r="AE404" i="1"/>
  <c r="AB404" i="1"/>
  <c r="AM404" i="1" s="1"/>
  <c r="X404" i="1"/>
  <c r="E404" i="1"/>
  <c r="D404" i="1"/>
  <c r="B404" i="1"/>
  <c r="BB404" i="1" s="1"/>
  <c r="A404" i="1"/>
  <c r="BJ403" i="1"/>
  <c r="BH403" i="1"/>
  <c r="BI403" i="1" s="1"/>
  <c r="BE403" i="1"/>
  <c r="BD403" i="1"/>
  <c r="BC403" i="1"/>
  <c r="BA403" i="1"/>
  <c r="AX403" i="1"/>
  <c r="AW403" i="1"/>
  <c r="AV403" i="1"/>
  <c r="AU403" i="1"/>
  <c r="AT403" i="1"/>
  <c r="AQ403" i="1"/>
  <c r="AR403" i="1" s="1"/>
  <c r="AP403" i="1"/>
  <c r="AN403" i="1"/>
  <c r="AE403" i="1"/>
  <c r="AB403" i="1"/>
  <c r="AM403" i="1" s="1"/>
  <c r="X403" i="1"/>
  <c r="E403" i="1"/>
  <c r="D403" i="1"/>
  <c r="B403" i="1"/>
  <c r="BB403" i="1" s="1"/>
  <c r="A403" i="1"/>
  <c r="BJ402" i="1"/>
  <c r="BH402" i="1"/>
  <c r="BI402" i="1" s="1"/>
  <c r="BE402" i="1"/>
  <c r="BD402" i="1"/>
  <c r="BC402" i="1"/>
  <c r="BA402" i="1"/>
  <c r="AX402" i="1"/>
  <c r="AW402" i="1"/>
  <c r="AV402" i="1"/>
  <c r="AU402" i="1"/>
  <c r="AT402" i="1"/>
  <c r="AO402" i="1"/>
  <c r="AN402" i="1"/>
  <c r="AB402" i="1"/>
  <c r="AP402" i="1" s="1"/>
  <c r="X402" i="1"/>
  <c r="E402" i="1"/>
  <c r="D402" i="1"/>
  <c r="B402" i="1"/>
  <c r="BB402" i="1" s="1"/>
  <c r="A402" i="1"/>
  <c r="BJ401" i="1"/>
  <c r="BH401" i="1"/>
  <c r="BI401" i="1" s="1"/>
  <c r="BE401" i="1"/>
  <c r="BD401" i="1"/>
  <c r="BC401" i="1"/>
  <c r="BA401" i="1"/>
  <c r="AX401" i="1"/>
  <c r="AW401" i="1"/>
  <c r="AV401" i="1"/>
  <c r="AU401" i="1"/>
  <c r="AT401" i="1"/>
  <c r="AQ401" i="1"/>
  <c r="AR401" i="1" s="1"/>
  <c r="AP401" i="1"/>
  <c r="AO401" i="1"/>
  <c r="AB401" i="1"/>
  <c r="AM401" i="1" s="1"/>
  <c r="X401" i="1"/>
  <c r="F401" i="1"/>
  <c r="E401" i="1"/>
  <c r="D401" i="1"/>
  <c r="B401" i="1"/>
  <c r="BB401" i="1" s="1"/>
  <c r="A401" i="1"/>
  <c r="BJ400" i="1"/>
  <c r="BH400" i="1"/>
  <c r="BI400" i="1" s="1"/>
  <c r="BE400" i="1"/>
  <c r="BD400" i="1"/>
  <c r="BC400" i="1"/>
  <c r="BA400" i="1"/>
  <c r="AX400" i="1"/>
  <c r="AW400" i="1"/>
  <c r="AV400" i="1"/>
  <c r="AU400" i="1"/>
  <c r="AT400" i="1"/>
  <c r="AO400" i="1"/>
  <c r="AN400" i="1"/>
  <c r="AB400" i="1"/>
  <c r="X400" i="1"/>
  <c r="F400" i="1"/>
  <c r="E400" i="1"/>
  <c r="D400" i="1"/>
  <c r="B400" i="1"/>
  <c r="BB400" i="1" s="1"/>
  <c r="A400" i="1"/>
  <c r="BJ399" i="1"/>
  <c r="BH399" i="1"/>
  <c r="BI399" i="1" s="1"/>
  <c r="BE399" i="1"/>
  <c r="BD399" i="1"/>
  <c r="BC399" i="1"/>
  <c r="BA399" i="1"/>
  <c r="AX399" i="1"/>
  <c r="AW399" i="1"/>
  <c r="AV399" i="1"/>
  <c r="AU399" i="1"/>
  <c r="AT399" i="1"/>
  <c r="AQ399" i="1"/>
  <c r="AR399" i="1" s="1"/>
  <c r="AP399" i="1"/>
  <c r="AO399" i="1"/>
  <c r="AB399" i="1"/>
  <c r="AM399" i="1" s="1"/>
  <c r="X399" i="1"/>
  <c r="E399" i="1"/>
  <c r="D399" i="1"/>
  <c r="B399" i="1"/>
  <c r="BB399" i="1" s="1"/>
  <c r="A399" i="1"/>
  <c r="BJ398" i="1"/>
  <c r="BH398" i="1"/>
  <c r="BI398" i="1" s="1"/>
  <c r="BE398" i="1"/>
  <c r="BD398" i="1"/>
  <c r="BC398" i="1"/>
  <c r="BA398" i="1"/>
  <c r="AX398" i="1"/>
  <c r="AW398" i="1"/>
  <c r="AV398" i="1"/>
  <c r="AU398" i="1"/>
  <c r="AT398" i="1"/>
  <c r="AO398" i="1"/>
  <c r="AN398" i="1"/>
  <c r="AB398" i="1"/>
  <c r="X398" i="1"/>
  <c r="E398" i="1"/>
  <c r="D398" i="1"/>
  <c r="B398" i="1"/>
  <c r="BB398" i="1" s="1"/>
  <c r="A398" i="1"/>
  <c r="BM397" i="1"/>
  <c r="BK397" i="1"/>
  <c r="BL397" i="1" s="1"/>
  <c r="BE397" i="1"/>
  <c r="BD397" i="1"/>
  <c r="BC397" i="1"/>
  <c r="BA397" i="1"/>
  <c r="AX397" i="1"/>
  <c r="AW397" i="1"/>
  <c r="AV397" i="1"/>
  <c r="AU397" i="1"/>
  <c r="AT397" i="1"/>
  <c r="AQ397" i="1"/>
  <c r="AR397" i="1" s="1"/>
  <c r="AP397" i="1"/>
  <c r="AN397" i="1"/>
  <c r="AE397" i="1"/>
  <c r="AB397" i="1"/>
  <c r="AM397" i="1" s="1"/>
  <c r="X397" i="1"/>
  <c r="E397" i="1"/>
  <c r="D397" i="1"/>
  <c r="B397" i="1"/>
  <c r="BB397" i="1" s="1"/>
  <c r="A397" i="1"/>
  <c r="BM396" i="1"/>
  <c r="BK396" i="1"/>
  <c r="BL396" i="1" s="1"/>
  <c r="BE396" i="1"/>
  <c r="BD396" i="1"/>
  <c r="BC396" i="1"/>
  <c r="BA396" i="1"/>
  <c r="AX396" i="1"/>
  <c r="AW396" i="1"/>
  <c r="AV396" i="1"/>
  <c r="AU396" i="1"/>
  <c r="AT396" i="1"/>
  <c r="AO396" i="1"/>
  <c r="AN396" i="1"/>
  <c r="AB396" i="1"/>
  <c r="X396" i="1"/>
  <c r="E396" i="1"/>
  <c r="D396" i="1"/>
  <c r="B396" i="1"/>
  <c r="BB396" i="1" s="1"/>
  <c r="A396" i="1"/>
  <c r="BM395" i="1"/>
  <c r="BK395" i="1"/>
  <c r="BL395" i="1" s="1"/>
  <c r="BE395" i="1"/>
  <c r="BD395" i="1"/>
  <c r="BC395" i="1"/>
  <c r="BA395" i="1"/>
  <c r="AX395" i="1"/>
  <c r="AW395" i="1"/>
  <c r="AV395" i="1"/>
  <c r="AU395" i="1"/>
  <c r="AT395" i="1"/>
  <c r="AO395" i="1"/>
  <c r="AB395" i="1"/>
  <c r="AQ395" i="1" s="1"/>
  <c r="X395" i="1"/>
  <c r="F395" i="1"/>
  <c r="E395" i="1"/>
  <c r="D395" i="1"/>
  <c r="B395" i="1"/>
  <c r="BB395" i="1" s="1"/>
  <c r="A395" i="1"/>
  <c r="BM394" i="1"/>
  <c r="BK394" i="1"/>
  <c r="BL394" i="1" s="1"/>
  <c r="BE394" i="1"/>
  <c r="BD394" i="1"/>
  <c r="BC394" i="1"/>
  <c r="BA394" i="1"/>
  <c r="AX394" i="1"/>
  <c r="AW394" i="1"/>
  <c r="AV394" i="1"/>
  <c r="AU394" i="1"/>
  <c r="AT394" i="1"/>
  <c r="AQ394" i="1"/>
  <c r="AR394" i="1" s="1"/>
  <c r="AP394" i="1"/>
  <c r="AO394" i="1"/>
  <c r="AN394" i="1"/>
  <c r="AB394" i="1"/>
  <c r="AM394" i="1" s="1"/>
  <c r="X394" i="1"/>
  <c r="F394" i="1"/>
  <c r="E394" i="1"/>
  <c r="D394" i="1"/>
  <c r="B394" i="1"/>
  <c r="BB394" i="1" s="1"/>
  <c r="A394" i="1"/>
  <c r="BM393" i="1"/>
  <c r="BK393" i="1"/>
  <c r="BL393" i="1" s="1"/>
  <c r="BE393" i="1"/>
  <c r="BD393" i="1"/>
  <c r="BC393" i="1"/>
  <c r="BA393" i="1"/>
  <c r="AX393" i="1"/>
  <c r="AW393" i="1"/>
  <c r="AV393" i="1"/>
  <c r="AU393" i="1"/>
  <c r="AT393" i="1"/>
  <c r="AN393" i="1"/>
  <c r="AE393" i="1"/>
  <c r="AB393" i="1"/>
  <c r="AQ393" i="1" s="1"/>
  <c r="AR393" i="1" s="1"/>
  <c r="X393" i="1"/>
  <c r="F393" i="1"/>
  <c r="E393" i="1"/>
  <c r="D393" i="1"/>
  <c r="B393" i="1"/>
  <c r="BB393" i="1" s="1"/>
  <c r="A393" i="1"/>
  <c r="BM392" i="1"/>
  <c r="BK392" i="1"/>
  <c r="BL392" i="1" s="1"/>
  <c r="BE392" i="1"/>
  <c r="BD392" i="1"/>
  <c r="BC392" i="1"/>
  <c r="BA392" i="1"/>
  <c r="AX392" i="1"/>
  <c r="AW392" i="1"/>
  <c r="AV392" i="1"/>
  <c r="AU392" i="1"/>
  <c r="AT392" i="1"/>
  <c r="AQ392" i="1"/>
  <c r="AR392" i="1" s="1"/>
  <c r="AP392" i="1"/>
  <c r="AO392" i="1"/>
  <c r="AN392" i="1"/>
  <c r="AB392" i="1"/>
  <c r="X392" i="1"/>
  <c r="F392" i="1"/>
  <c r="E392" i="1"/>
  <c r="D392" i="1"/>
  <c r="B392" i="1"/>
  <c r="BB392" i="1" s="1"/>
  <c r="A392" i="1"/>
  <c r="BM391" i="1"/>
  <c r="BK391" i="1"/>
  <c r="BL391" i="1" s="1"/>
  <c r="BE391" i="1"/>
  <c r="BD391" i="1"/>
  <c r="BC391" i="1"/>
  <c r="BA391" i="1"/>
  <c r="AX391" i="1"/>
  <c r="AW391" i="1"/>
  <c r="AV391" i="1"/>
  <c r="AU391" i="1"/>
  <c r="AT391" i="1"/>
  <c r="AN391" i="1"/>
  <c r="AE391" i="1"/>
  <c r="AB391" i="1"/>
  <c r="AQ391" i="1" s="1"/>
  <c r="AR391" i="1" s="1"/>
  <c r="X391" i="1"/>
  <c r="F391" i="1"/>
  <c r="E391" i="1"/>
  <c r="D391" i="1"/>
  <c r="B391" i="1"/>
  <c r="BB391" i="1" s="1"/>
  <c r="A391" i="1"/>
  <c r="BM390" i="1"/>
  <c r="BK390" i="1"/>
  <c r="BL390" i="1" s="1"/>
  <c r="BE390" i="1"/>
  <c r="BD390" i="1"/>
  <c r="BC390" i="1"/>
  <c r="BA390" i="1"/>
  <c r="AX390" i="1"/>
  <c r="AW390" i="1"/>
  <c r="AV390" i="1"/>
  <c r="AU390" i="1"/>
  <c r="AT390" i="1"/>
  <c r="AN390" i="1"/>
  <c r="AE390" i="1"/>
  <c r="AB390" i="1"/>
  <c r="AQ390" i="1" s="1"/>
  <c r="AR390" i="1" s="1"/>
  <c r="X390" i="1"/>
  <c r="F390" i="1"/>
  <c r="E390" i="1"/>
  <c r="D390" i="1"/>
  <c r="B390" i="1"/>
  <c r="BB390" i="1" s="1"/>
  <c r="A390" i="1"/>
  <c r="BM389" i="1"/>
  <c r="BK389" i="1"/>
  <c r="BL389" i="1" s="1"/>
  <c r="BE389" i="1"/>
  <c r="BD389" i="1"/>
  <c r="BC389" i="1"/>
  <c r="BA389" i="1"/>
  <c r="AX389" i="1"/>
  <c r="AW389" i="1"/>
  <c r="AV389" i="1"/>
  <c r="AU389" i="1"/>
  <c r="AT389" i="1"/>
  <c r="AQ389" i="1"/>
  <c r="AR389" i="1" s="1"/>
  <c r="AP389" i="1"/>
  <c r="AO389" i="1"/>
  <c r="AN389" i="1"/>
  <c r="AB389" i="1"/>
  <c r="AM389" i="1" s="1"/>
  <c r="X389" i="1"/>
  <c r="F389" i="1"/>
  <c r="E389" i="1"/>
  <c r="D389" i="1"/>
  <c r="B389" i="1"/>
  <c r="BB389" i="1" s="1"/>
  <c r="A389" i="1"/>
  <c r="BM388" i="1"/>
  <c r="BK388" i="1"/>
  <c r="BL388" i="1" s="1"/>
  <c r="BE388" i="1"/>
  <c r="BD388" i="1"/>
  <c r="BC388" i="1"/>
  <c r="BA388" i="1"/>
  <c r="AX388" i="1"/>
  <c r="AW388" i="1"/>
  <c r="AV388" i="1"/>
  <c r="AU388" i="1"/>
  <c r="AT388" i="1"/>
  <c r="AO388" i="1"/>
  <c r="AB388" i="1"/>
  <c r="AQ388" i="1" s="1"/>
  <c r="X388" i="1"/>
  <c r="F388" i="1"/>
  <c r="E388" i="1"/>
  <c r="D388" i="1"/>
  <c r="B388" i="1"/>
  <c r="BB388" i="1" s="1"/>
  <c r="A388" i="1"/>
  <c r="BM387" i="1"/>
  <c r="BK387" i="1"/>
  <c r="BL387" i="1" s="1"/>
  <c r="BE387" i="1"/>
  <c r="BD387" i="1"/>
  <c r="BC387" i="1"/>
  <c r="BA387" i="1"/>
  <c r="AX387" i="1"/>
  <c r="AW387" i="1"/>
  <c r="AV387" i="1"/>
  <c r="AU387" i="1"/>
  <c r="AT387" i="1"/>
  <c r="AQ387" i="1"/>
  <c r="AR387" i="1" s="1"/>
  <c r="AP387" i="1"/>
  <c r="AO387" i="1"/>
  <c r="AN387" i="1"/>
  <c r="AB387" i="1"/>
  <c r="X387" i="1"/>
  <c r="F387" i="1"/>
  <c r="E387" i="1"/>
  <c r="D387" i="1"/>
  <c r="B387" i="1"/>
  <c r="BB387" i="1" s="1"/>
  <c r="A387" i="1"/>
  <c r="BM386" i="1"/>
  <c r="BK386" i="1"/>
  <c r="BL386" i="1" s="1"/>
  <c r="BE386" i="1"/>
  <c r="BD386" i="1"/>
  <c r="BC386" i="1"/>
  <c r="BA386" i="1"/>
  <c r="AX386" i="1"/>
  <c r="AW386" i="1"/>
  <c r="AV386" i="1"/>
  <c r="AU386" i="1"/>
  <c r="AT386" i="1"/>
  <c r="AQ386" i="1"/>
  <c r="AR386" i="1" s="1"/>
  <c r="AP386" i="1"/>
  <c r="AN386" i="1"/>
  <c r="AE386" i="1"/>
  <c r="AB386" i="1"/>
  <c r="AM386" i="1" s="1"/>
  <c r="X386" i="1"/>
  <c r="F386" i="1"/>
  <c r="E386" i="1"/>
  <c r="D386" i="1"/>
  <c r="B386" i="1"/>
  <c r="BB386" i="1" s="1"/>
  <c r="A386" i="1"/>
  <c r="BM385" i="1"/>
  <c r="BK385" i="1"/>
  <c r="BL385" i="1" s="1"/>
  <c r="BE385" i="1"/>
  <c r="BD385" i="1"/>
  <c r="BC385" i="1"/>
  <c r="BA385" i="1"/>
  <c r="AX385" i="1"/>
  <c r="AW385" i="1"/>
  <c r="AV385" i="1"/>
  <c r="AU385" i="1"/>
  <c r="AT385" i="1"/>
  <c r="AQ385" i="1"/>
  <c r="AR385" i="1" s="1"/>
  <c r="AP385" i="1"/>
  <c r="AN385" i="1"/>
  <c r="AE385" i="1"/>
  <c r="AB385" i="1"/>
  <c r="AM385" i="1" s="1"/>
  <c r="X385" i="1"/>
  <c r="F385" i="1"/>
  <c r="E385" i="1"/>
  <c r="D385" i="1"/>
  <c r="B385" i="1"/>
  <c r="BB385" i="1" s="1"/>
  <c r="A385" i="1"/>
  <c r="BM384" i="1"/>
  <c r="BK384" i="1"/>
  <c r="BL384" i="1" s="1"/>
  <c r="BE384" i="1"/>
  <c r="BD384" i="1"/>
  <c r="BC384" i="1"/>
  <c r="BA384" i="1"/>
  <c r="AX384" i="1"/>
  <c r="AW384" i="1"/>
  <c r="AV384" i="1"/>
  <c r="AU384" i="1"/>
  <c r="AT384" i="1"/>
  <c r="AO384" i="1"/>
  <c r="AN384" i="1"/>
  <c r="AB384" i="1"/>
  <c r="X384" i="1"/>
  <c r="F384" i="1"/>
  <c r="E384" i="1"/>
  <c r="D384" i="1"/>
  <c r="B384" i="1"/>
  <c r="BB384" i="1" s="1"/>
  <c r="A384" i="1"/>
  <c r="BJ383" i="1"/>
  <c r="BH383" i="1"/>
  <c r="BI383" i="1" s="1"/>
  <c r="BE383" i="1"/>
  <c r="BD383" i="1"/>
  <c r="BC383" i="1"/>
  <c r="BA383" i="1"/>
  <c r="AX383" i="1"/>
  <c r="AW383" i="1"/>
  <c r="AV383" i="1"/>
  <c r="AU383" i="1"/>
  <c r="AT383" i="1"/>
  <c r="AQ383" i="1"/>
  <c r="AR383" i="1" s="1"/>
  <c r="AP383" i="1"/>
  <c r="AN383" i="1"/>
  <c r="AE383" i="1"/>
  <c r="AB383" i="1"/>
  <c r="AM383" i="1" s="1"/>
  <c r="X383" i="1"/>
  <c r="F383" i="1"/>
  <c r="E383" i="1"/>
  <c r="D383" i="1"/>
  <c r="B383" i="1"/>
  <c r="BB383" i="1" s="1"/>
  <c r="A383" i="1"/>
  <c r="BJ382" i="1"/>
  <c r="BH382" i="1"/>
  <c r="BI382" i="1" s="1"/>
  <c r="BE382" i="1"/>
  <c r="BD382" i="1"/>
  <c r="BC382" i="1"/>
  <c r="BA382" i="1"/>
  <c r="AX382" i="1"/>
  <c r="AW382" i="1"/>
  <c r="AV382" i="1"/>
  <c r="AU382" i="1"/>
  <c r="AT382" i="1"/>
  <c r="AQ382" i="1"/>
  <c r="AR382" i="1" s="1"/>
  <c r="AP382" i="1"/>
  <c r="AN382" i="1"/>
  <c r="AE382" i="1"/>
  <c r="AB382" i="1"/>
  <c r="AM382" i="1" s="1"/>
  <c r="X382" i="1"/>
  <c r="F382" i="1"/>
  <c r="E382" i="1"/>
  <c r="D382" i="1"/>
  <c r="B382" i="1"/>
  <c r="BB382" i="1" s="1"/>
  <c r="A382" i="1"/>
  <c r="BJ381" i="1"/>
  <c r="BH381" i="1"/>
  <c r="BI381" i="1" s="1"/>
  <c r="BE381" i="1"/>
  <c r="BD381" i="1"/>
  <c r="BC381" i="1"/>
  <c r="BA381" i="1"/>
  <c r="AX381" i="1"/>
  <c r="AW381" i="1"/>
  <c r="AV381" i="1"/>
  <c r="AU381" i="1"/>
  <c r="AT381" i="1"/>
  <c r="AO381" i="1"/>
  <c r="AN381" i="1"/>
  <c r="AB381" i="1"/>
  <c r="AE381" i="1" s="1"/>
  <c r="AG381" i="1" s="1"/>
  <c r="AF381" i="1" s="1"/>
  <c r="X381" i="1"/>
  <c r="F381" i="1"/>
  <c r="E381" i="1"/>
  <c r="D381" i="1"/>
  <c r="B381" i="1"/>
  <c r="BB381" i="1" s="1"/>
  <c r="A381" i="1"/>
  <c r="BJ380" i="1"/>
  <c r="BH380" i="1"/>
  <c r="BI380" i="1" s="1"/>
  <c r="BE380" i="1"/>
  <c r="BD380" i="1"/>
  <c r="BC380" i="1"/>
  <c r="BA380" i="1"/>
  <c r="AX380" i="1"/>
  <c r="AW380" i="1"/>
  <c r="AV380" i="1"/>
  <c r="AU380" i="1"/>
  <c r="AT380" i="1"/>
  <c r="AQ380" i="1"/>
  <c r="AR380" i="1" s="1"/>
  <c r="AP380" i="1"/>
  <c r="AO380" i="1"/>
  <c r="AB380" i="1"/>
  <c r="AM380" i="1" s="1"/>
  <c r="X380" i="1"/>
  <c r="F380" i="1"/>
  <c r="E380" i="1"/>
  <c r="D380" i="1"/>
  <c r="B380" i="1"/>
  <c r="BB380" i="1" s="1"/>
  <c r="A380" i="1"/>
  <c r="BJ379" i="1"/>
  <c r="BH379" i="1"/>
  <c r="BI379" i="1" s="1"/>
  <c r="BE379" i="1"/>
  <c r="BD379" i="1"/>
  <c r="BC379" i="1"/>
  <c r="BA379" i="1"/>
  <c r="AX379" i="1"/>
  <c r="AW379" i="1"/>
  <c r="AV379" i="1"/>
  <c r="AU379" i="1"/>
  <c r="AT379" i="1"/>
  <c r="AO379" i="1"/>
  <c r="AN379" i="1"/>
  <c r="AB379" i="1"/>
  <c r="AQ379" i="1" s="1"/>
  <c r="AR379" i="1" s="1"/>
  <c r="X379" i="1"/>
  <c r="F379" i="1"/>
  <c r="E379" i="1"/>
  <c r="D379" i="1"/>
  <c r="B379" i="1"/>
  <c r="BB379" i="1" s="1"/>
  <c r="A379" i="1"/>
  <c r="BM378" i="1"/>
  <c r="BK378" i="1"/>
  <c r="BL378" i="1" s="1"/>
  <c r="BE378" i="1"/>
  <c r="BD378" i="1"/>
  <c r="BC378" i="1"/>
  <c r="BA378" i="1"/>
  <c r="AX378" i="1"/>
  <c r="AW378" i="1"/>
  <c r="AV378" i="1"/>
  <c r="AU378" i="1"/>
  <c r="AT378" i="1"/>
  <c r="AN378" i="1"/>
  <c r="AE378" i="1"/>
  <c r="AB378" i="1"/>
  <c r="X378" i="1"/>
  <c r="F378" i="1"/>
  <c r="E378" i="1"/>
  <c r="D378" i="1"/>
  <c r="B378" i="1"/>
  <c r="BB378" i="1" s="1"/>
  <c r="A378" i="1"/>
  <c r="BM377" i="1"/>
  <c r="BK377" i="1"/>
  <c r="BL377" i="1" s="1"/>
  <c r="BE377" i="1"/>
  <c r="BD377" i="1"/>
  <c r="BC377" i="1"/>
  <c r="BA377" i="1"/>
  <c r="AX377" i="1"/>
  <c r="AW377" i="1"/>
  <c r="AV377" i="1"/>
  <c r="AU377" i="1"/>
  <c r="AT377" i="1"/>
  <c r="AN377" i="1"/>
  <c r="AE377" i="1"/>
  <c r="AB377" i="1"/>
  <c r="AQ377" i="1" s="1"/>
  <c r="AR377" i="1" s="1"/>
  <c r="X377" i="1"/>
  <c r="F377" i="1"/>
  <c r="E377" i="1"/>
  <c r="D377" i="1"/>
  <c r="B377" i="1"/>
  <c r="BB377" i="1" s="1"/>
  <c r="A377" i="1"/>
  <c r="BM376" i="1"/>
  <c r="BK376" i="1"/>
  <c r="BL376" i="1" s="1"/>
  <c r="BE376" i="1"/>
  <c r="BD376" i="1"/>
  <c r="BC376" i="1"/>
  <c r="BA376" i="1"/>
  <c r="AX376" i="1"/>
  <c r="AW376" i="1"/>
  <c r="AV376" i="1"/>
  <c r="AU376" i="1"/>
  <c r="AT376" i="1"/>
  <c r="AQ376" i="1"/>
  <c r="AR376" i="1" s="1"/>
  <c r="AP376" i="1"/>
  <c r="AO376" i="1"/>
  <c r="AN376" i="1"/>
  <c r="AB376" i="1"/>
  <c r="AM376" i="1" s="1"/>
  <c r="X376" i="1"/>
  <c r="F376" i="1"/>
  <c r="E376" i="1"/>
  <c r="D376" i="1"/>
  <c r="B376" i="1"/>
  <c r="BB376" i="1" s="1"/>
  <c r="A376" i="1"/>
  <c r="BM375" i="1"/>
  <c r="BK375" i="1"/>
  <c r="BL375" i="1" s="1"/>
  <c r="BE375" i="1"/>
  <c r="BD375" i="1"/>
  <c r="BC375" i="1"/>
  <c r="BA375" i="1"/>
  <c r="AX375" i="1"/>
  <c r="AW375" i="1"/>
  <c r="AV375" i="1"/>
  <c r="AU375" i="1"/>
  <c r="AT375" i="1"/>
  <c r="AQ375" i="1"/>
  <c r="AR375" i="1" s="1"/>
  <c r="AP375" i="1"/>
  <c r="AO375" i="1"/>
  <c r="AB375" i="1"/>
  <c r="AM375" i="1" s="1"/>
  <c r="X375" i="1"/>
  <c r="F375" i="1"/>
  <c r="E375" i="1"/>
  <c r="D375" i="1"/>
  <c r="B375" i="1"/>
  <c r="BB375" i="1" s="1"/>
  <c r="A375" i="1"/>
  <c r="BM374" i="1"/>
  <c r="BK374" i="1"/>
  <c r="BL374" i="1" s="1"/>
  <c r="BE374" i="1"/>
  <c r="BD374" i="1"/>
  <c r="BC374" i="1"/>
  <c r="BA374" i="1"/>
  <c r="AX374" i="1"/>
  <c r="AW374" i="1"/>
  <c r="AV374" i="1"/>
  <c r="AU374" i="1"/>
  <c r="AT374" i="1"/>
  <c r="AO374" i="1"/>
  <c r="AN374" i="1"/>
  <c r="AB374" i="1"/>
  <c r="X374" i="1"/>
  <c r="F374" i="1"/>
  <c r="E374" i="1"/>
  <c r="D374" i="1"/>
  <c r="B374" i="1"/>
  <c r="AY374" i="1" s="1"/>
  <c r="A374" i="1"/>
  <c r="BM373" i="1"/>
  <c r="BK373" i="1"/>
  <c r="BL373" i="1" s="1"/>
  <c r="BE373" i="1"/>
  <c r="BD373" i="1"/>
  <c r="BC373" i="1"/>
  <c r="BA373" i="1"/>
  <c r="AX373" i="1"/>
  <c r="AW373" i="1"/>
  <c r="AV373" i="1"/>
  <c r="AU373" i="1"/>
  <c r="AT373" i="1"/>
  <c r="AQ373" i="1"/>
  <c r="AR373" i="1" s="1"/>
  <c r="AP373" i="1"/>
  <c r="AO373" i="1"/>
  <c r="AB373" i="1"/>
  <c r="AM373" i="1" s="1"/>
  <c r="X373" i="1"/>
  <c r="F373" i="1"/>
  <c r="E373" i="1"/>
  <c r="D373" i="1"/>
  <c r="B373" i="1"/>
  <c r="AY373" i="1" s="1"/>
  <c r="A373" i="1"/>
  <c r="BM372" i="1"/>
  <c r="BK372" i="1"/>
  <c r="BL372" i="1" s="1"/>
  <c r="BE372" i="1"/>
  <c r="BD372" i="1"/>
  <c r="BC372" i="1"/>
  <c r="BA372" i="1"/>
  <c r="AX372" i="1"/>
  <c r="AW372" i="1"/>
  <c r="AV372" i="1"/>
  <c r="AU372" i="1"/>
  <c r="AT372" i="1"/>
  <c r="AO372" i="1"/>
  <c r="AN372" i="1"/>
  <c r="AB372" i="1"/>
  <c r="AP372" i="1" s="1"/>
  <c r="X372" i="1"/>
  <c r="F372" i="1"/>
  <c r="E372" i="1"/>
  <c r="D372" i="1"/>
  <c r="B372" i="1"/>
  <c r="BB372" i="1" s="1"/>
  <c r="A372" i="1"/>
  <c r="BJ371" i="1"/>
  <c r="BH371" i="1"/>
  <c r="BI371" i="1" s="1"/>
  <c r="BE371" i="1"/>
  <c r="BD371" i="1"/>
  <c r="BC371" i="1"/>
  <c r="BA371" i="1"/>
  <c r="AX371" i="1"/>
  <c r="AW371" i="1"/>
  <c r="AV371" i="1"/>
  <c r="AU371" i="1"/>
  <c r="AT371" i="1"/>
  <c r="AQ371" i="1"/>
  <c r="AR371" i="1" s="1"/>
  <c r="AP371" i="1"/>
  <c r="AO371" i="1"/>
  <c r="AB371" i="1"/>
  <c r="X371" i="1"/>
  <c r="F371" i="1"/>
  <c r="E371" i="1"/>
  <c r="D371" i="1"/>
  <c r="B371" i="1"/>
  <c r="BB371" i="1" s="1"/>
  <c r="A371" i="1"/>
  <c r="BJ370" i="1"/>
  <c r="BH370" i="1"/>
  <c r="BI370" i="1" s="1"/>
  <c r="BE370" i="1"/>
  <c r="BD370" i="1"/>
  <c r="BC370" i="1"/>
  <c r="BA370" i="1"/>
  <c r="AX370" i="1"/>
  <c r="AW370" i="1"/>
  <c r="AV370" i="1"/>
  <c r="AU370" i="1"/>
  <c r="AT370" i="1"/>
  <c r="AQ370" i="1"/>
  <c r="AR370" i="1" s="1"/>
  <c r="AP370" i="1"/>
  <c r="AO370" i="1"/>
  <c r="AB370" i="1"/>
  <c r="X370" i="1"/>
  <c r="F370" i="1"/>
  <c r="E370" i="1"/>
  <c r="D370" i="1"/>
  <c r="B370" i="1"/>
  <c r="BB370" i="1" s="1"/>
  <c r="A370" i="1"/>
  <c r="BJ369" i="1"/>
  <c r="BH369" i="1"/>
  <c r="BI369" i="1" s="1"/>
  <c r="BE369" i="1"/>
  <c r="BD369" i="1"/>
  <c r="BC369" i="1"/>
  <c r="BA369" i="1"/>
  <c r="AX369" i="1"/>
  <c r="AW369" i="1"/>
  <c r="AV369" i="1"/>
  <c r="AU369" i="1"/>
  <c r="AT369" i="1"/>
  <c r="AQ369" i="1"/>
  <c r="AR369" i="1" s="1"/>
  <c r="AP369" i="1"/>
  <c r="AO369" i="1"/>
  <c r="AB369" i="1"/>
  <c r="X369" i="1"/>
  <c r="F369" i="1"/>
  <c r="E369" i="1"/>
  <c r="D369" i="1"/>
  <c r="B369" i="1"/>
  <c r="BB369" i="1" s="1"/>
  <c r="A369" i="1"/>
  <c r="BJ368" i="1"/>
  <c r="BH368" i="1"/>
  <c r="BI368" i="1" s="1"/>
  <c r="BE368" i="1"/>
  <c r="BD368" i="1"/>
  <c r="BC368" i="1"/>
  <c r="BA368" i="1"/>
  <c r="AX368" i="1"/>
  <c r="AW368" i="1"/>
  <c r="AV368" i="1"/>
  <c r="AU368" i="1"/>
  <c r="AT368" i="1"/>
  <c r="AO368" i="1"/>
  <c r="AN368" i="1"/>
  <c r="AB368" i="1"/>
  <c r="AP368" i="1" s="1"/>
  <c r="X368" i="1"/>
  <c r="F368" i="1"/>
  <c r="E368" i="1"/>
  <c r="D368" i="1"/>
  <c r="B368" i="1"/>
  <c r="BB368" i="1" s="1"/>
  <c r="A368" i="1"/>
  <c r="BM367" i="1"/>
  <c r="BK367" i="1"/>
  <c r="BL367" i="1" s="1"/>
  <c r="BE367" i="1"/>
  <c r="BD367" i="1"/>
  <c r="BC367" i="1"/>
  <c r="BA367" i="1"/>
  <c r="AX367" i="1"/>
  <c r="AW367" i="1"/>
  <c r="AV367" i="1"/>
  <c r="AU367" i="1"/>
  <c r="AT367" i="1"/>
  <c r="AN367" i="1"/>
  <c r="AE367" i="1"/>
  <c r="AB367" i="1"/>
  <c r="AP367" i="1" s="1"/>
  <c r="X367" i="1"/>
  <c r="F367" i="1"/>
  <c r="E367" i="1"/>
  <c r="D367" i="1"/>
  <c r="B367" i="1"/>
  <c r="BB367" i="1" s="1"/>
  <c r="A367" i="1"/>
  <c r="BM366" i="1"/>
  <c r="BK366" i="1"/>
  <c r="BL366" i="1" s="1"/>
  <c r="BE366" i="1"/>
  <c r="BD366" i="1"/>
  <c r="BC366" i="1"/>
  <c r="BA366" i="1"/>
  <c r="AX366" i="1"/>
  <c r="AW366" i="1"/>
  <c r="AV366" i="1"/>
  <c r="AU366" i="1"/>
  <c r="AT366" i="1"/>
  <c r="AN366" i="1"/>
  <c r="AE366" i="1"/>
  <c r="AB366" i="1"/>
  <c r="AP366" i="1" s="1"/>
  <c r="X366" i="1"/>
  <c r="F366" i="1"/>
  <c r="E366" i="1"/>
  <c r="D366" i="1"/>
  <c r="B366" i="1"/>
  <c r="BB366" i="1" s="1"/>
  <c r="A366" i="1"/>
  <c r="BM365" i="1"/>
  <c r="BK365" i="1"/>
  <c r="BL365" i="1" s="1"/>
  <c r="BE365" i="1"/>
  <c r="BD365" i="1"/>
  <c r="BC365" i="1"/>
  <c r="BA365" i="1"/>
  <c r="AX365" i="1"/>
  <c r="AW365" i="1"/>
  <c r="AV365" i="1"/>
  <c r="AU365" i="1"/>
  <c r="AT365" i="1"/>
  <c r="AN365" i="1"/>
  <c r="AE365" i="1"/>
  <c r="AB365" i="1"/>
  <c r="AP365" i="1" s="1"/>
  <c r="X365" i="1"/>
  <c r="F365" i="1"/>
  <c r="E365" i="1"/>
  <c r="D365" i="1"/>
  <c r="B365" i="1"/>
  <c r="BB365" i="1" s="1"/>
  <c r="A365" i="1"/>
  <c r="BM364" i="1"/>
  <c r="BK364" i="1"/>
  <c r="BL364" i="1" s="1"/>
  <c r="BE364" i="1"/>
  <c r="BD364" i="1"/>
  <c r="BC364" i="1"/>
  <c r="BA364" i="1"/>
  <c r="AX364" i="1"/>
  <c r="AW364" i="1"/>
  <c r="AV364" i="1"/>
  <c r="AU364" i="1"/>
  <c r="AT364" i="1"/>
  <c r="AN364" i="1"/>
  <c r="AE364" i="1"/>
  <c r="AB364" i="1"/>
  <c r="AP364" i="1" s="1"/>
  <c r="X364" i="1"/>
  <c r="F364" i="1"/>
  <c r="E364" i="1"/>
  <c r="D364" i="1"/>
  <c r="B364" i="1"/>
  <c r="BB364" i="1" s="1"/>
  <c r="A364" i="1"/>
  <c r="BM363" i="1"/>
  <c r="BK363" i="1"/>
  <c r="BL363" i="1" s="1"/>
  <c r="BE363" i="1"/>
  <c r="BD363" i="1"/>
  <c r="BC363" i="1"/>
  <c r="BA363" i="1"/>
  <c r="AX363" i="1"/>
  <c r="AW363" i="1"/>
  <c r="AV363" i="1"/>
  <c r="AU363" i="1"/>
  <c r="AT363" i="1"/>
  <c r="AN363" i="1"/>
  <c r="AE363" i="1"/>
  <c r="AB363" i="1"/>
  <c r="AP363" i="1" s="1"/>
  <c r="X363" i="1"/>
  <c r="F363" i="1"/>
  <c r="E363" i="1"/>
  <c r="D363" i="1"/>
  <c r="B363" i="1"/>
  <c r="BB363" i="1" s="1"/>
  <c r="A363" i="1"/>
  <c r="BM362" i="1"/>
  <c r="BK362" i="1"/>
  <c r="BL362" i="1" s="1"/>
  <c r="BE362" i="1"/>
  <c r="BD362" i="1"/>
  <c r="BC362" i="1"/>
  <c r="BA362" i="1"/>
  <c r="AX362" i="1"/>
  <c r="AW362" i="1"/>
  <c r="AV362" i="1"/>
  <c r="AU362" i="1"/>
  <c r="AT362" i="1"/>
  <c r="AN362" i="1"/>
  <c r="AE362" i="1"/>
  <c r="AB362" i="1"/>
  <c r="AP362" i="1" s="1"/>
  <c r="X362" i="1"/>
  <c r="F362" i="1"/>
  <c r="E362" i="1"/>
  <c r="D362" i="1"/>
  <c r="B362" i="1"/>
  <c r="BB362" i="1" s="1"/>
  <c r="A362" i="1"/>
  <c r="BM361" i="1"/>
  <c r="BK361" i="1"/>
  <c r="BL361" i="1" s="1"/>
  <c r="BE361" i="1"/>
  <c r="BD361" i="1"/>
  <c r="BC361" i="1"/>
  <c r="BA361" i="1"/>
  <c r="AX361" i="1"/>
  <c r="AW361" i="1"/>
  <c r="AV361" i="1"/>
  <c r="AU361" i="1"/>
  <c r="AT361" i="1"/>
  <c r="AQ361" i="1"/>
  <c r="AR361" i="1" s="1"/>
  <c r="AP361" i="1"/>
  <c r="AO361" i="1"/>
  <c r="AN361" i="1"/>
  <c r="AB361" i="1"/>
  <c r="X361" i="1"/>
  <c r="F361" i="1"/>
  <c r="E361" i="1"/>
  <c r="D361" i="1"/>
  <c r="B361" i="1"/>
  <c r="BB361" i="1" s="1"/>
  <c r="A361" i="1"/>
  <c r="BM360" i="1"/>
  <c r="BK360" i="1"/>
  <c r="BL360" i="1" s="1"/>
  <c r="BE360" i="1"/>
  <c r="BD360" i="1"/>
  <c r="BC360" i="1"/>
  <c r="BA360" i="1"/>
  <c r="AX360" i="1"/>
  <c r="AW360" i="1"/>
  <c r="AV360" i="1"/>
  <c r="AU360" i="1"/>
  <c r="AT360" i="1"/>
  <c r="AQ360" i="1"/>
  <c r="AR360" i="1" s="1"/>
  <c r="AP360" i="1"/>
  <c r="AO360" i="1"/>
  <c r="AB360" i="1"/>
  <c r="X360" i="1"/>
  <c r="F360" i="1"/>
  <c r="E360" i="1"/>
  <c r="D360" i="1"/>
  <c r="B360" i="1"/>
  <c r="BB360" i="1" s="1"/>
  <c r="A360" i="1"/>
  <c r="BM359" i="1"/>
  <c r="BK359" i="1"/>
  <c r="BL359" i="1" s="1"/>
  <c r="BE359" i="1"/>
  <c r="BD359" i="1"/>
  <c r="BC359" i="1"/>
  <c r="BA359" i="1"/>
  <c r="AX359" i="1"/>
  <c r="AW359" i="1"/>
  <c r="AV359" i="1"/>
  <c r="AU359" i="1"/>
  <c r="AT359" i="1"/>
  <c r="AQ359" i="1"/>
  <c r="AR359" i="1" s="1"/>
  <c r="AP359" i="1"/>
  <c r="AO359" i="1"/>
  <c r="AB359" i="1"/>
  <c r="X359" i="1"/>
  <c r="F359" i="1"/>
  <c r="E359" i="1"/>
  <c r="D359" i="1"/>
  <c r="B359" i="1"/>
  <c r="BB359" i="1" s="1"/>
  <c r="A359" i="1"/>
  <c r="BM358" i="1"/>
  <c r="BK358" i="1"/>
  <c r="BL358" i="1" s="1"/>
  <c r="BE358" i="1"/>
  <c r="BD358" i="1"/>
  <c r="BC358" i="1"/>
  <c r="BA358" i="1"/>
  <c r="AX358" i="1"/>
  <c r="AW358" i="1"/>
  <c r="AV358" i="1"/>
  <c r="AU358" i="1"/>
  <c r="AT358" i="1"/>
  <c r="AQ358" i="1"/>
  <c r="AR358" i="1" s="1"/>
  <c r="AP358" i="1"/>
  <c r="AO358" i="1"/>
  <c r="AB358" i="1"/>
  <c r="X358" i="1"/>
  <c r="F358" i="1"/>
  <c r="E358" i="1"/>
  <c r="D358" i="1"/>
  <c r="B358" i="1"/>
  <c r="BB358" i="1" s="1"/>
  <c r="A358" i="1"/>
  <c r="BM357" i="1"/>
  <c r="BK357" i="1"/>
  <c r="BL357" i="1" s="1"/>
  <c r="BE357" i="1"/>
  <c r="BD357" i="1"/>
  <c r="BC357" i="1"/>
  <c r="BA357" i="1"/>
  <c r="AX357" i="1"/>
  <c r="AW357" i="1"/>
  <c r="AV357" i="1"/>
  <c r="AU357" i="1"/>
  <c r="AT357" i="1"/>
  <c r="AO357" i="1"/>
  <c r="AN357" i="1"/>
  <c r="AB357" i="1"/>
  <c r="AP357" i="1" s="1"/>
  <c r="X357" i="1"/>
  <c r="F357" i="1"/>
  <c r="E357" i="1"/>
  <c r="D357" i="1"/>
  <c r="B357" i="1"/>
  <c r="BB357" i="1" s="1"/>
  <c r="A357" i="1"/>
  <c r="BJ356" i="1"/>
  <c r="BH356" i="1"/>
  <c r="BI356" i="1" s="1"/>
  <c r="BE356" i="1"/>
  <c r="BD356" i="1"/>
  <c r="BC356" i="1"/>
  <c r="BA356" i="1"/>
  <c r="AX356" i="1"/>
  <c r="AW356" i="1"/>
  <c r="AV356" i="1"/>
  <c r="AU356" i="1"/>
  <c r="AT356" i="1"/>
  <c r="AO356" i="1"/>
  <c r="AB356" i="1"/>
  <c r="AP356" i="1" s="1"/>
  <c r="X356" i="1"/>
  <c r="F356" i="1"/>
  <c r="E356" i="1"/>
  <c r="D356" i="1"/>
  <c r="A356" i="1"/>
  <c r="BM355" i="1"/>
  <c r="BK355" i="1"/>
  <c r="BL355" i="1" s="1"/>
  <c r="BE355" i="1"/>
  <c r="BD355" i="1"/>
  <c r="BC355" i="1"/>
  <c r="BA355" i="1"/>
  <c r="AX355" i="1"/>
  <c r="AW355" i="1"/>
  <c r="AV355" i="1"/>
  <c r="AU355" i="1"/>
  <c r="AT355" i="1"/>
  <c r="AO355" i="1"/>
  <c r="AB355" i="1"/>
  <c r="AP355" i="1" s="1"/>
  <c r="X355" i="1"/>
  <c r="F355" i="1"/>
  <c r="E355" i="1"/>
  <c r="D355" i="1"/>
  <c r="B355" i="1"/>
  <c r="BB355" i="1" s="1"/>
  <c r="A355" i="1"/>
  <c r="BJ354" i="1"/>
  <c r="BH354" i="1"/>
  <c r="BI354" i="1" s="1"/>
  <c r="BE354" i="1"/>
  <c r="BD354" i="1"/>
  <c r="BC354" i="1"/>
  <c r="BA354" i="1"/>
  <c r="AX354" i="1"/>
  <c r="AW354" i="1"/>
  <c r="AV354" i="1"/>
  <c r="AU354" i="1"/>
  <c r="AT354" i="1"/>
  <c r="AO354" i="1"/>
  <c r="AB354" i="1"/>
  <c r="AP354" i="1" s="1"/>
  <c r="X354" i="1"/>
  <c r="F354" i="1"/>
  <c r="E354" i="1"/>
  <c r="D354" i="1"/>
  <c r="B354" i="1"/>
  <c r="BB354" i="1" s="1"/>
  <c r="A354" i="1"/>
  <c r="BJ353" i="1"/>
  <c r="BH353" i="1"/>
  <c r="BI353" i="1" s="1"/>
  <c r="BE353" i="1"/>
  <c r="BD353" i="1"/>
  <c r="BC353" i="1"/>
  <c r="BA353" i="1"/>
  <c r="AX353" i="1"/>
  <c r="AW353" i="1"/>
  <c r="AV353" i="1"/>
  <c r="AU353" i="1"/>
  <c r="AT353" i="1"/>
  <c r="AO353" i="1"/>
  <c r="AB353" i="1"/>
  <c r="AP353" i="1" s="1"/>
  <c r="X353" i="1"/>
  <c r="F353" i="1"/>
  <c r="E353" i="1"/>
  <c r="D353" i="1"/>
  <c r="B353" i="1"/>
  <c r="BB353" i="1" s="1"/>
  <c r="A353" i="1"/>
  <c r="BJ352" i="1"/>
  <c r="BH352" i="1"/>
  <c r="BI352" i="1" s="1"/>
  <c r="BE352" i="1"/>
  <c r="BD352" i="1"/>
  <c r="BC352" i="1"/>
  <c r="BA352" i="1"/>
  <c r="AX352" i="1"/>
  <c r="AW352" i="1"/>
  <c r="AV352" i="1"/>
  <c r="AU352" i="1"/>
  <c r="AT352" i="1"/>
  <c r="AO352" i="1"/>
  <c r="AB352" i="1"/>
  <c r="AP352" i="1" s="1"/>
  <c r="X352" i="1"/>
  <c r="F352" i="1"/>
  <c r="E352" i="1"/>
  <c r="D352" i="1"/>
  <c r="B352" i="1"/>
  <c r="BB352" i="1" s="1"/>
  <c r="A352" i="1"/>
  <c r="BJ351" i="1"/>
  <c r="BH351" i="1"/>
  <c r="BI351" i="1" s="1"/>
  <c r="BE351" i="1"/>
  <c r="BD351" i="1"/>
  <c r="BC351" i="1"/>
  <c r="BA351" i="1"/>
  <c r="AX351" i="1"/>
  <c r="AW351" i="1"/>
  <c r="AV351" i="1"/>
  <c r="AU351" i="1"/>
  <c r="AT351" i="1"/>
  <c r="AQ351" i="1"/>
  <c r="AR351" i="1" s="1"/>
  <c r="AP351" i="1"/>
  <c r="AO351" i="1"/>
  <c r="AN351" i="1"/>
  <c r="AB351" i="1"/>
  <c r="X351" i="1"/>
  <c r="F351" i="1"/>
  <c r="E351" i="1"/>
  <c r="D351" i="1"/>
  <c r="B351" i="1"/>
  <c r="BB351" i="1" s="1"/>
  <c r="A351" i="1"/>
  <c r="BM350" i="1"/>
  <c r="BK350" i="1"/>
  <c r="BL350" i="1" s="1"/>
  <c r="BE350" i="1"/>
  <c r="BD350" i="1"/>
  <c r="BC350" i="1"/>
  <c r="BA350" i="1"/>
  <c r="AX350" i="1"/>
  <c r="AW350" i="1"/>
  <c r="AV350" i="1"/>
  <c r="AU350" i="1"/>
  <c r="AT350" i="1"/>
  <c r="AO350" i="1"/>
  <c r="AB350" i="1"/>
  <c r="AP350" i="1" s="1"/>
  <c r="X350" i="1"/>
  <c r="F350" i="1"/>
  <c r="E350" i="1"/>
  <c r="D350" i="1"/>
  <c r="B350" i="1"/>
  <c r="BB350" i="1" s="1"/>
  <c r="A350" i="1"/>
  <c r="BM349" i="1"/>
  <c r="BK349" i="1"/>
  <c r="BL349" i="1" s="1"/>
  <c r="BE349" i="1"/>
  <c r="BD349" i="1"/>
  <c r="BC349" i="1"/>
  <c r="BA349" i="1"/>
  <c r="AX349" i="1"/>
  <c r="AW349" i="1"/>
  <c r="AV349" i="1"/>
  <c r="AU349" i="1"/>
  <c r="AT349" i="1"/>
  <c r="AO349" i="1"/>
  <c r="AB349" i="1"/>
  <c r="AP349" i="1" s="1"/>
  <c r="X349" i="1"/>
  <c r="F349" i="1"/>
  <c r="E349" i="1"/>
  <c r="D349" i="1"/>
  <c r="B349" i="1"/>
  <c r="BB349" i="1" s="1"/>
  <c r="A349" i="1"/>
  <c r="BM348" i="1"/>
  <c r="BK348" i="1"/>
  <c r="BL348" i="1" s="1"/>
  <c r="BE348" i="1"/>
  <c r="BD348" i="1"/>
  <c r="BC348" i="1"/>
  <c r="BA348" i="1"/>
  <c r="AX348" i="1"/>
  <c r="AW348" i="1"/>
  <c r="AV348" i="1"/>
  <c r="AU348" i="1"/>
  <c r="AT348" i="1"/>
  <c r="AO348" i="1"/>
  <c r="AB348" i="1"/>
  <c r="AP348" i="1" s="1"/>
  <c r="X348" i="1"/>
  <c r="F348" i="1"/>
  <c r="E348" i="1"/>
  <c r="D348" i="1"/>
  <c r="B348" i="1"/>
  <c r="BB348" i="1" s="1"/>
  <c r="A348" i="1"/>
  <c r="BM347" i="1"/>
  <c r="BK347" i="1"/>
  <c r="BL347" i="1" s="1"/>
  <c r="BE347" i="1"/>
  <c r="BD347" i="1"/>
  <c r="BC347" i="1"/>
  <c r="BA347" i="1"/>
  <c r="AX347" i="1"/>
  <c r="AW347" i="1"/>
  <c r="AV347" i="1"/>
  <c r="AU347" i="1"/>
  <c r="AT347" i="1"/>
  <c r="AQ347" i="1"/>
  <c r="AR347" i="1" s="1"/>
  <c r="AP347" i="1"/>
  <c r="AO347" i="1"/>
  <c r="AN347" i="1"/>
  <c r="AB347" i="1"/>
  <c r="X347" i="1"/>
  <c r="F347" i="1"/>
  <c r="E347" i="1"/>
  <c r="D347" i="1"/>
  <c r="B347" i="1"/>
  <c r="A347" i="1"/>
  <c r="BJ346" i="1"/>
  <c r="BH346" i="1"/>
  <c r="BI346" i="1" s="1"/>
  <c r="BE346" i="1"/>
  <c r="BD346" i="1"/>
  <c r="BC346" i="1"/>
  <c r="BA346" i="1"/>
  <c r="AX346" i="1"/>
  <c r="AW346" i="1"/>
  <c r="AV346" i="1"/>
  <c r="AU346" i="1"/>
  <c r="AT346" i="1"/>
  <c r="AN346" i="1"/>
  <c r="AE346" i="1"/>
  <c r="AB346" i="1"/>
  <c r="AP346" i="1" s="1"/>
  <c r="X346" i="1"/>
  <c r="F346" i="1"/>
  <c r="E346" i="1"/>
  <c r="D346" i="1"/>
  <c r="B346" i="1"/>
  <c r="A346" i="1"/>
  <c r="BJ345" i="1"/>
  <c r="BH345" i="1"/>
  <c r="BI345" i="1" s="1"/>
  <c r="BE345" i="1"/>
  <c r="BD345" i="1"/>
  <c r="BC345" i="1"/>
  <c r="BA345" i="1"/>
  <c r="AX345" i="1"/>
  <c r="AW345" i="1"/>
  <c r="AV345" i="1"/>
  <c r="AU345" i="1"/>
  <c r="AT345" i="1"/>
  <c r="AN345" i="1"/>
  <c r="AE345" i="1"/>
  <c r="AB345" i="1"/>
  <c r="AP345" i="1" s="1"/>
  <c r="X345" i="1"/>
  <c r="F345" i="1"/>
  <c r="E345" i="1"/>
  <c r="D345" i="1"/>
  <c r="B345" i="1"/>
  <c r="A345" i="1"/>
  <c r="BJ344" i="1"/>
  <c r="BH344" i="1"/>
  <c r="BI344" i="1" s="1"/>
  <c r="BD344" i="1"/>
  <c r="BC344" i="1"/>
  <c r="BA344" i="1"/>
  <c r="AX344" i="1"/>
  <c r="AW344" i="1"/>
  <c r="AV344" i="1"/>
  <c r="AU344" i="1"/>
  <c r="AT344" i="1"/>
  <c r="AQ344" i="1"/>
  <c r="AR344" i="1" s="1"/>
  <c r="AP344" i="1"/>
  <c r="AO344" i="1"/>
  <c r="AN344" i="1"/>
  <c r="AE344" i="1"/>
  <c r="AB344" i="1"/>
  <c r="X344" i="1"/>
  <c r="F344" i="1"/>
  <c r="E344" i="1"/>
  <c r="D344" i="1"/>
  <c r="B344" i="1"/>
  <c r="BB344" i="1" s="1"/>
  <c r="A344" i="1"/>
  <c r="BJ343" i="1"/>
  <c r="BH343" i="1"/>
  <c r="BI343" i="1" s="1"/>
  <c r="BD343" i="1"/>
  <c r="BC343" i="1"/>
  <c r="BA343" i="1"/>
  <c r="AX343" i="1"/>
  <c r="AW343" i="1"/>
  <c r="AV343" i="1"/>
  <c r="AU343" i="1"/>
  <c r="AT343" i="1"/>
  <c r="AQ343" i="1"/>
  <c r="AR343" i="1" s="1"/>
  <c r="AP343" i="1"/>
  <c r="AO343" i="1"/>
  <c r="AN343" i="1"/>
  <c r="AB343" i="1"/>
  <c r="X343" i="1"/>
  <c r="F343" i="1"/>
  <c r="E343" i="1"/>
  <c r="D343" i="1"/>
  <c r="B343" i="1"/>
  <c r="BB343" i="1" s="1"/>
  <c r="A343" i="1"/>
  <c r="BJ342" i="1"/>
  <c r="BH342" i="1"/>
  <c r="BI342" i="1" s="1"/>
  <c r="BE342" i="1"/>
  <c r="BC342" i="1"/>
  <c r="BA342" i="1"/>
  <c r="AX342" i="1"/>
  <c r="AW342" i="1"/>
  <c r="AV342" i="1"/>
  <c r="AU342" i="1"/>
  <c r="AT342" i="1"/>
  <c r="AQ342" i="1"/>
  <c r="AR342" i="1" s="1"/>
  <c r="AP342" i="1"/>
  <c r="AO342" i="1"/>
  <c r="AN342" i="1"/>
  <c r="AE342" i="1"/>
  <c r="AB342" i="1"/>
  <c r="X342" i="1"/>
  <c r="F342" i="1"/>
  <c r="E342" i="1"/>
  <c r="D342" i="1"/>
  <c r="B342" i="1"/>
  <c r="A342" i="1"/>
  <c r="BJ341" i="1"/>
  <c r="BH341" i="1"/>
  <c r="BI341" i="1" s="1"/>
  <c r="BE341" i="1"/>
  <c r="BD341" i="1"/>
  <c r="BA341" i="1"/>
  <c r="AX341" i="1"/>
  <c r="AW341" i="1"/>
  <c r="AV341" i="1"/>
  <c r="AU341" i="1"/>
  <c r="AT341" i="1"/>
  <c r="AQ341" i="1"/>
  <c r="AR341" i="1" s="1"/>
  <c r="AP341" i="1"/>
  <c r="AO341" i="1"/>
  <c r="AN341" i="1"/>
  <c r="AE341" i="1"/>
  <c r="AB341" i="1"/>
  <c r="X341" i="1"/>
  <c r="F341" i="1"/>
  <c r="E341" i="1"/>
  <c r="D341" i="1"/>
  <c r="B341" i="1"/>
  <c r="BB341" i="1" s="1"/>
  <c r="A341" i="1"/>
  <c r="BJ340" i="1"/>
  <c r="BH340" i="1"/>
  <c r="BI340" i="1" s="1"/>
  <c r="BE340" i="1"/>
  <c r="BD340" i="1"/>
  <c r="BC340" i="1"/>
  <c r="BA340" i="1"/>
  <c r="AX340" i="1"/>
  <c r="AV340" i="1"/>
  <c r="AU340" i="1"/>
  <c r="AT340" i="1"/>
  <c r="AQ340" i="1"/>
  <c r="AR340" i="1" s="1"/>
  <c r="AP340" i="1"/>
  <c r="AO340" i="1"/>
  <c r="AN340" i="1"/>
  <c r="AE340" i="1"/>
  <c r="AB340" i="1"/>
  <c r="X340" i="1"/>
  <c r="F340" i="1"/>
  <c r="E340" i="1"/>
  <c r="D340" i="1"/>
  <c r="B340" i="1"/>
  <c r="BB340" i="1" s="1"/>
  <c r="A340" i="1"/>
  <c r="BJ339" i="1"/>
  <c r="BH339" i="1"/>
  <c r="BI339" i="1" s="1"/>
  <c r="BE339" i="1"/>
  <c r="BD339" i="1"/>
  <c r="BC339" i="1"/>
  <c r="BA339" i="1"/>
  <c r="AX339" i="1"/>
  <c r="AV339" i="1"/>
  <c r="AU339" i="1"/>
  <c r="AT339" i="1"/>
  <c r="AQ339" i="1"/>
  <c r="AR339" i="1" s="1"/>
  <c r="AP339" i="1"/>
  <c r="AO339" i="1"/>
  <c r="AN339" i="1"/>
  <c r="AE339" i="1"/>
  <c r="AB339" i="1"/>
  <c r="X339" i="1"/>
  <c r="F339" i="1"/>
  <c r="E339" i="1"/>
  <c r="D339" i="1"/>
  <c r="B339" i="1"/>
  <c r="BB339" i="1" s="1"/>
  <c r="A339" i="1"/>
  <c r="BJ338" i="1"/>
  <c r="BH338" i="1"/>
  <c r="BI338" i="1" s="1"/>
  <c r="BE338" i="1"/>
  <c r="BD338" i="1"/>
  <c r="BC338" i="1"/>
  <c r="BA338" i="1"/>
  <c r="AX338" i="1"/>
  <c r="AV338" i="1"/>
  <c r="AU338" i="1"/>
  <c r="AT338" i="1"/>
  <c r="AQ338" i="1"/>
  <c r="AR338" i="1" s="1"/>
  <c r="AP338" i="1"/>
  <c r="AO338" i="1"/>
  <c r="AN338" i="1"/>
  <c r="AE338" i="1"/>
  <c r="AB338" i="1"/>
  <c r="X338" i="1"/>
  <c r="F338" i="1"/>
  <c r="E338" i="1"/>
  <c r="D338" i="1"/>
  <c r="B338" i="1"/>
  <c r="BB338" i="1" s="1"/>
  <c r="A338" i="1"/>
  <c r="BM337" i="1"/>
  <c r="BK337" i="1"/>
  <c r="BL337" i="1" s="1"/>
  <c r="BE337" i="1"/>
  <c r="BD337" i="1"/>
  <c r="BC337" i="1"/>
  <c r="BA337" i="1"/>
  <c r="AX337" i="1"/>
  <c r="AW337" i="1"/>
  <c r="AV337" i="1"/>
  <c r="AU337" i="1"/>
  <c r="AT337" i="1"/>
  <c r="AO337" i="1"/>
  <c r="AB337" i="1"/>
  <c r="AP337" i="1" s="1"/>
  <c r="X337" i="1"/>
  <c r="F337" i="1"/>
  <c r="E337" i="1"/>
  <c r="D337" i="1"/>
  <c r="B337" i="1"/>
  <c r="BB337" i="1" s="1"/>
  <c r="A337" i="1"/>
  <c r="BM336" i="1"/>
  <c r="BK336" i="1"/>
  <c r="BL336" i="1" s="1"/>
  <c r="BE336" i="1"/>
  <c r="BD336" i="1"/>
  <c r="BC336" i="1"/>
  <c r="BA336" i="1"/>
  <c r="AX336" i="1"/>
  <c r="AW336" i="1"/>
  <c r="AV336" i="1"/>
  <c r="AU336" i="1"/>
  <c r="AT336" i="1"/>
  <c r="AQ336" i="1"/>
  <c r="AR336" i="1" s="1"/>
  <c r="AO336" i="1"/>
  <c r="AN336" i="1"/>
  <c r="AB336" i="1"/>
  <c r="AP336" i="1" s="1"/>
  <c r="X336" i="1"/>
  <c r="F336" i="1"/>
  <c r="E336" i="1"/>
  <c r="D336" i="1"/>
  <c r="B336" i="1"/>
  <c r="A336" i="1"/>
  <c r="BM335" i="1"/>
  <c r="BK335" i="1"/>
  <c r="BL335" i="1" s="1"/>
  <c r="BE335" i="1"/>
  <c r="BD335" i="1"/>
  <c r="BC335" i="1"/>
  <c r="BA335" i="1"/>
  <c r="AX335" i="1"/>
  <c r="AW335" i="1"/>
  <c r="AV335" i="1"/>
  <c r="AU335" i="1"/>
  <c r="AT335" i="1"/>
  <c r="AN335" i="1"/>
  <c r="AE335" i="1"/>
  <c r="AB335" i="1"/>
  <c r="AP335" i="1" s="1"/>
  <c r="X335" i="1"/>
  <c r="F335" i="1"/>
  <c r="E335" i="1"/>
  <c r="D335" i="1"/>
  <c r="B335" i="1"/>
  <c r="BB335" i="1" s="1"/>
  <c r="A335" i="1"/>
  <c r="BM334" i="1"/>
  <c r="BK334" i="1"/>
  <c r="BL334" i="1" s="1"/>
  <c r="BE334" i="1"/>
  <c r="BD334" i="1"/>
  <c r="BC334" i="1"/>
  <c r="BA334" i="1"/>
  <c r="AX334" i="1"/>
  <c r="AW334" i="1"/>
  <c r="AV334" i="1"/>
  <c r="AU334" i="1"/>
  <c r="AT334" i="1"/>
  <c r="AN334" i="1"/>
  <c r="AE334" i="1"/>
  <c r="AB334" i="1"/>
  <c r="AP334" i="1" s="1"/>
  <c r="X334" i="1"/>
  <c r="F334" i="1"/>
  <c r="E334" i="1"/>
  <c r="D334" i="1"/>
  <c r="B334" i="1"/>
  <c r="BB334" i="1" s="1"/>
  <c r="A334" i="1"/>
  <c r="BM333" i="1"/>
  <c r="BK333" i="1"/>
  <c r="BL333" i="1" s="1"/>
  <c r="BE333" i="1"/>
  <c r="BD333" i="1"/>
  <c r="BC333" i="1"/>
  <c r="BA333" i="1"/>
  <c r="AX333" i="1"/>
  <c r="AW333" i="1"/>
  <c r="AV333" i="1"/>
  <c r="AU333" i="1"/>
  <c r="AT333" i="1"/>
  <c r="AQ333" i="1"/>
  <c r="AR333" i="1" s="1"/>
  <c r="AP333" i="1"/>
  <c r="AN333" i="1"/>
  <c r="AE333" i="1"/>
  <c r="AB333" i="1"/>
  <c r="X333" i="1"/>
  <c r="F333" i="1"/>
  <c r="E333" i="1"/>
  <c r="D333" i="1"/>
  <c r="B333" i="1"/>
  <c r="BB333" i="1" s="1"/>
  <c r="A333" i="1"/>
  <c r="BM332" i="1"/>
  <c r="BK332" i="1"/>
  <c r="BL332" i="1" s="1"/>
  <c r="BE332" i="1"/>
  <c r="BD332" i="1"/>
  <c r="BC332" i="1"/>
  <c r="BA332" i="1"/>
  <c r="AX332" i="1"/>
  <c r="AW332" i="1"/>
  <c r="AV332" i="1"/>
  <c r="AU332" i="1"/>
  <c r="AT332" i="1"/>
  <c r="AQ332" i="1"/>
  <c r="AR332" i="1" s="1"/>
  <c r="AP332" i="1"/>
  <c r="AN332" i="1"/>
  <c r="AE332" i="1"/>
  <c r="AB332" i="1"/>
  <c r="X332" i="1"/>
  <c r="F332" i="1"/>
  <c r="E332" i="1"/>
  <c r="D332" i="1"/>
  <c r="B332" i="1"/>
  <c r="BB332" i="1" s="1"/>
  <c r="A332" i="1"/>
  <c r="BM331" i="1"/>
  <c r="BK331" i="1"/>
  <c r="BL331" i="1" s="1"/>
  <c r="BE331" i="1"/>
  <c r="BD331" i="1"/>
  <c r="BC331" i="1"/>
  <c r="BA331" i="1"/>
  <c r="AX331" i="1"/>
  <c r="AW331" i="1"/>
  <c r="AV331" i="1"/>
  <c r="AU331" i="1"/>
  <c r="AT331" i="1"/>
  <c r="AO331" i="1"/>
  <c r="AN331" i="1"/>
  <c r="AB331" i="1"/>
  <c r="AP331" i="1" s="1"/>
  <c r="X331" i="1"/>
  <c r="F331" i="1"/>
  <c r="E331" i="1"/>
  <c r="D331" i="1"/>
  <c r="B331" i="1"/>
  <c r="BB331" i="1" s="1"/>
  <c r="A331" i="1"/>
  <c r="BM330" i="1"/>
  <c r="BK330" i="1"/>
  <c r="BL330" i="1" s="1"/>
  <c r="BE330" i="1"/>
  <c r="BD330" i="1"/>
  <c r="BC330" i="1"/>
  <c r="BA330" i="1"/>
  <c r="AX330" i="1"/>
  <c r="AW330" i="1"/>
  <c r="AV330" i="1"/>
  <c r="AU330" i="1"/>
  <c r="AT330" i="1"/>
  <c r="AQ330" i="1"/>
  <c r="AR330" i="1" s="1"/>
  <c r="AP330" i="1"/>
  <c r="AO330" i="1"/>
  <c r="AB330" i="1"/>
  <c r="X330" i="1"/>
  <c r="F330" i="1"/>
  <c r="E330" i="1"/>
  <c r="D330" i="1"/>
  <c r="B330" i="1"/>
  <c r="BB330" i="1" s="1"/>
  <c r="A330" i="1"/>
  <c r="BM329" i="1"/>
  <c r="BK329" i="1"/>
  <c r="BL329" i="1" s="1"/>
  <c r="BE329" i="1"/>
  <c r="BD329" i="1"/>
  <c r="BC329" i="1"/>
  <c r="BA329" i="1"/>
  <c r="AX329" i="1"/>
  <c r="AW329" i="1"/>
  <c r="AV329" i="1"/>
  <c r="AU329" i="1"/>
  <c r="AT329" i="1"/>
  <c r="AO329" i="1"/>
  <c r="AN329" i="1"/>
  <c r="AB329" i="1"/>
  <c r="AP329" i="1" s="1"/>
  <c r="X329" i="1"/>
  <c r="F329" i="1"/>
  <c r="E329" i="1"/>
  <c r="D329" i="1"/>
  <c r="B329" i="1"/>
  <c r="A329" i="1"/>
  <c r="BM328" i="1"/>
  <c r="BK328" i="1"/>
  <c r="BL328" i="1" s="1"/>
  <c r="BE328" i="1"/>
  <c r="BD328" i="1"/>
  <c r="BC328" i="1"/>
  <c r="BA328" i="1"/>
  <c r="AX328" i="1"/>
  <c r="AW328" i="1"/>
  <c r="AV328" i="1"/>
  <c r="AU328" i="1"/>
  <c r="AT328" i="1"/>
  <c r="AQ328" i="1"/>
  <c r="AR328" i="1" s="1"/>
  <c r="AP328" i="1"/>
  <c r="AO328" i="1"/>
  <c r="AB328" i="1"/>
  <c r="X328" i="1"/>
  <c r="F328" i="1"/>
  <c r="E328" i="1"/>
  <c r="D328" i="1"/>
  <c r="B328" i="1"/>
  <c r="BB328" i="1" s="1"/>
  <c r="A328" i="1"/>
  <c r="BM327" i="1"/>
  <c r="BK327" i="1"/>
  <c r="BL327" i="1" s="1"/>
  <c r="BE327" i="1"/>
  <c r="BD327" i="1"/>
  <c r="BC327" i="1"/>
  <c r="BA327" i="1"/>
  <c r="AX327" i="1"/>
  <c r="AW327" i="1"/>
  <c r="AV327" i="1"/>
  <c r="AU327" i="1"/>
  <c r="AT327" i="1"/>
  <c r="AQ327" i="1"/>
  <c r="AR327" i="1" s="1"/>
  <c r="AP327" i="1"/>
  <c r="AO327" i="1"/>
  <c r="AB327" i="1"/>
  <c r="X327" i="1"/>
  <c r="F327" i="1"/>
  <c r="E327" i="1"/>
  <c r="D327" i="1"/>
  <c r="B327" i="1"/>
  <c r="BB327" i="1" s="1"/>
  <c r="A327" i="1"/>
  <c r="BM326" i="1"/>
  <c r="BK326" i="1"/>
  <c r="BL326" i="1" s="1"/>
  <c r="BE326" i="1"/>
  <c r="BD326" i="1"/>
  <c r="BC326" i="1"/>
  <c r="BA326" i="1"/>
  <c r="AX326" i="1"/>
  <c r="AW326" i="1"/>
  <c r="AV326" i="1"/>
  <c r="AU326" i="1"/>
  <c r="AT326" i="1"/>
  <c r="AO326" i="1"/>
  <c r="AN326" i="1"/>
  <c r="AB326" i="1"/>
  <c r="AP326" i="1" s="1"/>
  <c r="X326" i="1"/>
  <c r="F326" i="1"/>
  <c r="E326" i="1"/>
  <c r="D326" i="1"/>
  <c r="B326" i="1"/>
  <c r="BB326" i="1" s="1"/>
  <c r="A326" i="1"/>
  <c r="BM325" i="1"/>
  <c r="BK325" i="1"/>
  <c r="BL325" i="1" s="1"/>
  <c r="BE325" i="1"/>
  <c r="BD325" i="1"/>
  <c r="BC325" i="1"/>
  <c r="BA325" i="1"/>
  <c r="AX325" i="1"/>
  <c r="AW325" i="1"/>
  <c r="AV325" i="1"/>
  <c r="AU325" i="1"/>
  <c r="AT325" i="1"/>
  <c r="AQ325" i="1"/>
  <c r="AR325" i="1" s="1"/>
  <c r="AP325" i="1"/>
  <c r="AN325" i="1"/>
  <c r="AE325" i="1"/>
  <c r="AB325" i="1"/>
  <c r="X325" i="1"/>
  <c r="F325" i="1"/>
  <c r="E325" i="1"/>
  <c r="D325" i="1"/>
  <c r="B325" i="1"/>
  <c r="A325" i="1"/>
  <c r="BM324" i="1"/>
  <c r="BK324" i="1"/>
  <c r="BL324" i="1" s="1"/>
  <c r="BE324" i="1"/>
  <c r="BD324" i="1"/>
  <c r="BC324" i="1"/>
  <c r="BA324" i="1"/>
  <c r="AX324" i="1"/>
  <c r="AW324" i="1"/>
  <c r="AV324" i="1"/>
  <c r="AU324" i="1"/>
  <c r="AT324" i="1"/>
  <c r="AQ324" i="1"/>
  <c r="AR324" i="1" s="1"/>
  <c r="AP324" i="1"/>
  <c r="AN324" i="1"/>
  <c r="AE324" i="1"/>
  <c r="AB324" i="1"/>
  <c r="X324" i="1"/>
  <c r="F324" i="1"/>
  <c r="E324" i="1"/>
  <c r="D324" i="1"/>
  <c r="B324" i="1"/>
  <c r="BB324" i="1" s="1"/>
  <c r="A324" i="1"/>
  <c r="BM323" i="1"/>
  <c r="BK323" i="1"/>
  <c r="BL323" i="1" s="1"/>
  <c r="BE323" i="1"/>
  <c r="BD323" i="1"/>
  <c r="BC323" i="1"/>
  <c r="BA323" i="1"/>
  <c r="AX323" i="1"/>
  <c r="AW323" i="1"/>
  <c r="AV323" i="1"/>
  <c r="AU323" i="1"/>
  <c r="AT323" i="1"/>
  <c r="AQ323" i="1"/>
  <c r="AR323" i="1" s="1"/>
  <c r="AP323" i="1"/>
  <c r="AN323" i="1"/>
  <c r="AE323" i="1"/>
  <c r="AB323" i="1"/>
  <c r="X323" i="1"/>
  <c r="F323" i="1"/>
  <c r="E323" i="1"/>
  <c r="D323" i="1"/>
  <c r="B323" i="1"/>
  <c r="A323" i="1"/>
  <c r="BM322" i="1"/>
  <c r="BK322" i="1"/>
  <c r="BL322" i="1" s="1"/>
  <c r="BE322" i="1"/>
  <c r="BD322" i="1"/>
  <c r="BC322" i="1"/>
  <c r="BA322" i="1"/>
  <c r="AX322" i="1"/>
  <c r="AW322" i="1"/>
  <c r="AV322" i="1"/>
  <c r="AU322" i="1"/>
  <c r="AT322" i="1"/>
  <c r="AQ322" i="1"/>
  <c r="AR322" i="1" s="1"/>
  <c r="AP322" i="1"/>
  <c r="AN322" i="1"/>
  <c r="AE322" i="1"/>
  <c r="AB322" i="1"/>
  <c r="X322" i="1"/>
  <c r="F322" i="1"/>
  <c r="E322" i="1"/>
  <c r="D322" i="1"/>
  <c r="B322" i="1"/>
  <c r="BB322" i="1" s="1"/>
  <c r="A322" i="1"/>
  <c r="BM321" i="1"/>
  <c r="BK321" i="1"/>
  <c r="BL321" i="1" s="1"/>
  <c r="BE321" i="1"/>
  <c r="BD321" i="1"/>
  <c r="BC321" i="1"/>
  <c r="BA321" i="1"/>
  <c r="AX321" i="1"/>
  <c r="AW321" i="1"/>
  <c r="AV321" i="1"/>
  <c r="AU321" i="1"/>
  <c r="AT321" i="1"/>
  <c r="AO321" i="1"/>
  <c r="AN321" i="1"/>
  <c r="AB321" i="1"/>
  <c r="AP321" i="1" s="1"/>
  <c r="X321" i="1"/>
  <c r="F321" i="1"/>
  <c r="E321" i="1"/>
  <c r="D321" i="1"/>
  <c r="B321" i="1"/>
  <c r="A321" i="1"/>
  <c r="BJ320" i="1"/>
  <c r="BH320" i="1"/>
  <c r="BI320" i="1" s="1"/>
  <c r="BE320" i="1"/>
  <c r="BD320" i="1"/>
  <c r="BC320" i="1"/>
  <c r="BA320" i="1"/>
  <c r="AX320" i="1"/>
  <c r="AW320" i="1"/>
  <c r="AU320" i="1"/>
  <c r="AT320" i="1"/>
  <c r="AQ320" i="1"/>
  <c r="AR320" i="1" s="1"/>
  <c r="AP320" i="1"/>
  <c r="AO320" i="1"/>
  <c r="AN320" i="1"/>
  <c r="AE320" i="1"/>
  <c r="AB320" i="1"/>
  <c r="AV320" i="1" s="1"/>
  <c r="X320" i="1"/>
  <c r="F320" i="1"/>
  <c r="E320" i="1"/>
  <c r="D320" i="1"/>
  <c r="B320" i="1"/>
  <c r="A320" i="1"/>
  <c r="BJ319" i="1"/>
  <c r="BH319" i="1"/>
  <c r="BI319" i="1" s="1"/>
  <c r="BE319" i="1"/>
  <c r="BD319" i="1"/>
  <c r="BC319" i="1"/>
  <c r="BA319" i="1"/>
  <c r="AX319" i="1"/>
  <c r="AW319" i="1"/>
  <c r="AV319" i="1"/>
  <c r="AU319" i="1"/>
  <c r="AT319" i="1"/>
  <c r="AN319" i="1"/>
  <c r="AE319" i="1"/>
  <c r="AB319" i="1"/>
  <c r="AP319" i="1" s="1"/>
  <c r="X319" i="1"/>
  <c r="F319" i="1"/>
  <c r="E319" i="1"/>
  <c r="D319" i="1"/>
  <c r="B319" i="1"/>
  <c r="A319" i="1"/>
  <c r="BJ318" i="1"/>
  <c r="BH318" i="1"/>
  <c r="BI318" i="1" s="1"/>
  <c r="BE318" i="1"/>
  <c r="BD318" i="1"/>
  <c r="BC318" i="1"/>
  <c r="BA318" i="1"/>
  <c r="AX318" i="1"/>
  <c r="AW318" i="1"/>
  <c r="AV318" i="1"/>
  <c r="AU318" i="1"/>
  <c r="AT318" i="1"/>
  <c r="AN318" i="1"/>
  <c r="AE318" i="1"/>
  <c r="AB318" i="1"/>
  <c r="AP318" i="1" s="1"/>
  <c r="X318" i="1"/>
  <c r="F318" i="1"/>
  <c r="E318" i="1"/>
  <c r="D318" i="1"/>
  <c r="B318" i="1"/>
  <c r="BB318" i="1" s="1"/>
  <c r="A318" i="1"/>
  <c r="BJ317" i="1"/>
  <c r="BH317" i="1"/>
  <c r="BI317" i="1" s="1"/>
  <c r="BE317" i="1"/>
  <c r="BD317" i="1"/>
  <c r="BC317" i="1"/>
  <c r="BA317" i="1"/>
  <c r="AX317" i="1"/>
  <c r="AW317" i="1"/>
  <c r="AV317" i="1"/>
  <c r="AU317" i="1"/>
  <c r="AT317" i="1"/>
  <c r="AO317" i="1"/>
  <c r="AB317" i="1"/>
  <c r="AP317" i="1" s="1"/>
  <c r="X317" i="1"/>
  <c r="F317" i="1"/>
  <c r="E317" i="1"/>
  <c r="D317" i="1"/>
  <c r="B317" i="1"/>
  <c r="A317" i="1"/>
  <c r="BJ316" i="1"/>
  <c r="BH316" i="1"/>
  <c r="BI316" i="1" s="1"/>
  <c r="BE316" i="1"/>
  <c r="BD316" i="1"/>
  <c r="BC316" i="1"/>
  <c r="BA316" i="1"/>
  <c r="AX316" i="1"/>
  <c r="AW316" i="1"/>
  <c r="AV316" i="1"/>
  <c r="AU316" i="1"/>
  <c r="AT316" i="1"/>
  <c r="AQ316" i="1"/>
  <c r="AR316" i="1" s="1"/>
  <c r="AP316" i="1"/>
  <c r="AO316" i="1"/>
  <c r="AN316" i="1"/>
  <c r="AB316" i="1"/>
  <c r="X316" i="1"/>
  <c r="F316" i="1"/>
  <c r="E316" i="1"/>
  <c r="D316" i="1"/>
  <c r="B316" i="1"/>
  <c r="BB316" i="1" s="1"/>
  <c r="A316" i="1"/>
  <c r="BJ315" i="1"/>
  <c r="BH315" i="1"/>
  <c r="BI315" i="1" s="1"/>
  <c r="BE315" i="1"/>
  <c r="BD315" i="1"/>
  <c r="BC315" i="1"/>
  <c r="BA315" i="1"/>
  <c r="AX315" i="1"/>
  <c r="AW315" i="1"/>
  <c r="AV315" i="1"/>
  <c r="AU315" i="1"/>
  <c r="AT315" i="1"/>
  <c r="AQ315" i="1"/>
  <c r="AR315" i="1" s="1"/>
  <c r="AP315" i="1"/>
  <c r="AO315" i="1"/>
  <c r="AB315" i="1"/>
  <c r="X315" i="1"/>
  <c r="F315" i="1"/>
  <c r="E315" i="1"/>
  <c r="D315" i="1"/>
  <c r="B315" i="1"/>
  <c r="BB315" i="1" s="1"/>
  <c r="A315" i="1"/>
  <c r="BJ314" i="1"/>
  <c r="BH314" i="1"/>
  <c r="BI314" i="1" s="1"/>
  <c r="BE314" i="1"/>
  <c r="BD314" i="1"/>
  <c r="BC314" i="1"/>
  <c r="BA314" i="1"/>
  <c r="AX314" i="1"/>
  <c r="AW314" i="1"/>
  <c r="AV314" i="1"/>
  <c r="AU314" i="1"/>
  <c r="AT314" i="1"/>
  <c r="AO314" i="1"/>
  <c r="AN314" i="1"/>
  <c r="AB314" i="1"/>
  <c r="AQ314" i="1" s="1"/>
  <c r="AR314" i="1" s="1"/>
  <c r="X314" i="1"/>
  <c r="F314" i="1"/>
  <c r="E314" i="1"/>
  <c r="D314" i="1"/>
  <c r="B314" i="1"/>
  <c r="A314" i="1"/>
  <c r="BJ313" i="1"/>
  <c r="BH313" i="1"/>
  <c r="BI313" i="1" s="1"/>
  <c r="BE313" i="1"/>
  <c r="BD313" i="1"/>
  <c r="BC313" i="1"/>
  <c r="BA313" i="1"/>
  <c r="AX313" i="1"/>
  <c r="AW313" i="1"/>
  <c r="AV313" i="1"/>
  <c r="AU313" i="1"/>
  <c r="AT313" i="1"/>
  <c r="AQ313" i="1"/>
  <c r="AR313" i="1" s="1"/>
  <c r="AP313" i="1"/>
  <c r="AN313" i="1"/>
  <c r="AE313" i="1"/>
  <c r="AB313" i="1"/>
  <c r="X313" i="1"/>
  <c r="F313" i="1"/>
  <c r="E313" i="1"/>
  <c r="D313" i="1"/>
  <c r="B313" i="1"/>
  <c r="A313" i="1"/>
  <c r="BJ312" i="1"/>
  <c r="BH312" i="1"/>
  <c r="BI312" i="1" s="1"/>
  <c r="BE312" i="1"/>
  <c r="BD312" i="1"/>
  <c r="BC312" i="1"/>
  <c r="BA312" i="1"/>
  <c r="AX312" i="1"/>
  <c r="AW312" i="1"/>
  <c r="AV312" i="1"/>
  <c r="AU312" i="1"/>
  <c r="AT312" i="1"/>
  <c r="AO312" i="1"/>
  <c r="AN312" i="1"/>
  <c r="AB312" i="1"/>
  <c r="AQ312" i="1" s="1"/>
  <c r="AR312" i="1" s="1"/>
  <c r="X312" i="1"/>
  <c r="F312" i="1"/>
  <c r="E312" i="1"/>
  <c r="D312" i="1"/>
  <c r="B312" i="1"/>
  <c r="BB312" i="1" s="1"/>
  <c r="A312" i="1"/>
  <c r="BM311" i="1"/>
  <c r="BK311" i="1"/>
  <c r="BL311" i="1" s="1"/>
  <c r="BE311" i="1"/>
  <c r="BD311" i="1"/>
  <c r="BC311" i="1"/>
  <c r="BA311" i="1"/>
  <c r="AX311" i="1"/>
  <c r="AW311" i="1"/>
  <c r="AV311" i="1"/>
  <c r="AU311" i="1"/>
  <c r="AT311" i="1"/>
  <c r="AO311" i="1"/>
  <c r="AB311" i="1"/>
  <c r="AQ311" i="1" s="1"/>
  <c r="X311" i="1"/>
  <c r="F311" i="1"/>
  <c r="E311" i="1"/>
  <c r="D311" i="1"/>
  <c r="B311" i="1"/>
  <c r="BB311" i="1" s="1"/>
  <c r="A311" i="1"/>
  <c r="BM310" i="1"/>
  <c r="BK310" i="1"/>
  <c r="BL310" i="1" s="1"/>
  <c r="BE310" i="1"/>
  <c r="BD310" i="1"/>
  <c r="BC310" i="1"/>
  <c r="BA310" i="1"/>
  <c r="AX310" i="1"/>
  <c r="AW310" i="1"/>
  <c r="AV310" i="1"/>
  <c r="AU310" i="1"/>
  <c r="AT310" i="1"/>
  <c r="AQ310" i="1"/>
  <c r="AP310" i="1"/>
  <c r="AO310" i="1"/>
  <c r="AN310" i="1"/>
  <c r="AB310" i="1"/>
  <c r="AM310" i="1" s="1"/>
  <c r="X310" i="1"/>
  <c r="F310" i="1"/>
  <c r="E310" i="1"/>
  <c r="D310" i="1"/>
  <c r="B310" i="1"/>
  <c r="A310" i="1"/>
  <c r="BM309" i="1"/>
  <c r="BK309" i="1"/>
  <c r="BL309" i="1" s="1"/>
  <c r="BE309" i="1"/>
  <c r="BD309" i="1"/>
  <c r="BC309" i="1"/>
  <c r="BA309" i="1"/>
  <c r="AX309" i="1"/>
  <c r="AW309" i="1"/>
  <c r="AV309" i="1"/>
  <c r="AU309" i="1"/>
  <c r="AT309" i="1"/>
  <c r="AQ309" i="1"/>
  <c r="AP309" i="1"/>
  <c r="AO309" i="1"/>
  <c r="AB309" i="1"/>
  <c r="AM309" i="1" s="1"/>
  <c r="X309" i="1"/>
  <c r="F309" i="1"/>
  <c r="E309" i="1"/>
  <c r="D309" i="1"/>
  <c r="B309" i="1"/>
  <c r="BB309" i="1" s="1"/>
  <c r="A309" i="1"/>
  <c r="BM308" i="1"/>
  <c r="BK308" i="1"/>
  <c r="BL308" i="1" s="1"/>
  <c r="BE308" i="1"/>
  <c r="BD308" i="1"/>
  <c r="BC308" i="1"/>
  <c r="BA308" i="1"/>
  <c r="AX308" i="1"/>
  <c r="AW308" i="1"/>
  <c r="AV308" i="1"/>
  <c r="AU308" i="1"/>
  <c r="AT308" i="1"/>
  <c r="AQ308" i="1"/>
  <c r="AP308" i="1"/>
  <c r="AO308" i="1"/>
  <c r="AN308" i="1"/>
  <c r="AB308" i="1"/>
  <c r="AM308" i="1" s="1"/>
  <c r="X308" i="1"/>
  <c r="F308" i="1"/>
  <c r="E308" i="1"/>
  <c r="D308" i="1"/>
  <c r="B308" i="1"/>
  <c r="BB308" i="1" s="1"/>
  <c r="A308" i="1"/>
  <c r="BM307" i="1"/>
  <c r="BK307" i="1"/>
  <c r="BL307" i="1" s="1"/>
  <c r="BE307" i="1"/>
  <c r="BD307" i="1"/>
  <c r="BC307" i="1"/>
  <c r="BA307" i="1"/>
  <c r="AX307" i="1"/>
  <c r="AW307" i="1"/>
  <c r="AV307" i="1"/>
  <c r="AU307" i="1"/>
  <c r="AT307" i="1"/>
  <c r="AQ307" i="1"/>
  <c r="AP307" i="1"/>
  <c r="AO307" i="1"/>
  <c r="AB307" i="1"/>
  <c r="AM307" i="1" s="1"/>
  <c r="X307" i="1"/>
  <c r="F307" i="1"/>
  <c r="E307" i="1"/>
  <c r="D307" i="1"/>
  <c r="B307" i="1"/>
  <c r="A307" i="1"/>
  <c r="BM306" i="1"/>
  <c r="BK306" i="1"/>
  <c r="BL306" i="1" s="1"/>
  <c r="BE306" i="1"/>
  <c r="BD306" i="1"/>
  <c r="BC306" i="1"/>
  <c r="BA306" i="1"/>
  <c r="AX306" i="1"/>
  <c r="AW306" i="1"/>
  <c r="AV306" i="1"/>
  <c r="AU306" i="1"/>
  <c r="AT306" i="1"/>
  <c r="AO306" i="1"/>
  <c r="AN306" i="1"/>
  <c r="AB306" i="1"/>
  <c r="AQ306" i="1" s="1"/>
  <c r="AR306" i="1" s="1"/>
  <c r="X306" i="1"/>
  <c r="F306" i="1"/>
  <c r="E306" i="1"/>
  <c r="D306" i="1"/>
  <c r="B306" i="1"/>
  <c r="BB306" i="1" s="1"/>
  <c r="A306" i="1"/>
  <c r="BM305" i="1"/>
  <c r="BK305" i="1"/>
  <c r="BL305" i="1" s="1"/>
  <c r="BE305" i="1"/>
  <c r="BD305" i="1"/>
  <c r="BC305" i="1"/>
  <c r="BA305" i="1"/>
  <c r="AX305" i="1"/>
  <c r="AW305" i="1"/>
  <c r="AV305" i="1"/>
  <c r="AU305" i="1"/>
  <c r="AT305" i="1"/>
  <c r="AQ305" i="1"/>
  <c r="AP305" i="1"/>
  <c r="AO305" i="1"/>
  <c r="AB305" i="1"/>
  <c r="AM305" i="1" s="1"/>
  <c r="X305" i="1"/>
  <c r="F305" i="1"/>
  <c r="E305" i="1"/>
  <c r="D305" i="1"/>
  <c r="B305" i="1"/>
  <c r="BB305" i="1" s="1"/>
  <c r="A305" i="1"/>
  <c r="BM304" i="1"/>
  <c r="BK304" i="1"/>
  <c r="BL304" i="1" s="1"/>
  <c r="BE304" i="1"/>
  <c r="BD304" i="1"/>
  <c r="BC304" i="1"/>
  <c r="BA304" i="1"/>
  <c r="AX304" i="1"/>
  <c r="AW304" i="1"/>
  <c r="AV304" i="1"/>
  <c r="AU304" i="1"/>
  <c r="AT304" i="1"/>
  <c r="AO304" i="1"/>
  <c r="AN304" i="1"/>
  <c r="AB304" i="1"/>
  <c r="AQ304" i="1" s="1"/>
  <c r="AR304" i="1" s="1"/>
  <c r="X304" i="1"/>
  <c r="F304" i="1"/>
  <c r="E304" i="1"/>
  <c r="D304" i="1"/>
  <c r="B304" i="1"/>
  <c r="BB304" i="1" s="1"/>
  <c r="A304" i="1"/>
  <c r="BM303" i="1"/>
  <c r="BK303" i="1"/>
  <c r="BL303" i="1" s="1"/>
  <c r="BE303" i="1"/>
  <c r="BD303" i="1"/>
  <c r="BC303" i="1"/>
  <c r="BA303" i="1"/>
  <c r="AX303" i="1"/>
  <c r="AW303" i="1"/>
  <c r="AV303" i="1"/>
  <c r="AU303" i="1"/>
  <c r="AT303" i="1"/>
  <c r="AO303" i="1"/>
  <c r="AB303" i="1"/>
  <c r="AQ303" i="1" s="1"/>
  <c r="X303" i="1"/>
  <c r="F303" i="1"/>
  <c r="E303" i="1"/>
  <c r="D303" i="1"/>
  <c r="B303" i="1"/>
  <c r="BB303" i="1" s="1"/>
  <c r="A303" i="1"/>
  <c r="BM302" i="1"/>
  <c r="BK302" i="1"/>
  <c r="BL302" i="1" s="1"/>
  <c r="BE302" i="1"/>
  <c r="BD302" i="1"/>
  <c r="BC302" i="1"/>
  <c r="BA302" i="1"/>
  <c r="AX302" i="1"/>
  <c r="AW302" i="1"/>
  <c r="AV302" i="1"/>
  <c r="AU302" i="1"/>
  <c r="AT302" i="1"/>
  <c r="AQ302" i="1"/>
  <c r="AP302" i="1"/>
  <c r="AO302" i="1"/>
  <c r="AN302" i="1"/>
  <c r="AB302" i="1"/>
  <c r="AM302" i="1" s="1"/>
  <c r="X302" i="1"/>
  <c r="F302" i="1"/>
  <c r="E302" i="1"/>
  <c r="D302" i="1"/>
  <c r="B302" i="1"/>
  <c r="BB302" i="1" s="1"/>
  <c r="A302" i="1"/>
  <c r="BM301" i="1"/>
  <c r="BK301" i="1"/>
  <c r="BL301" i="1" s="1"/>
  <c r="BE301" i="1"/>
  <c r="BD301" i="1"/>
  <c r="BC301" i="1"/>
  <c r="BA301" i="1"/>
  <c r="AX301" i="1"/>
  <c r="AW301" i="1"/>
  <c r="AV301" i="1"/>
  <c r="AU301" i="1"/>
  <c r="AT301" i="1"/>
  <c r="AN301" i="1"/>
  <c r="AE301" i="1"/>
  <c r="AB301" i="1"/>
  <c r="AQ301" i="1" s="1"/>
  <c r="AR301" i="1" s="1"/>
  <c r="X301" i="1"/>
  <c r="F301" i="1"/>
  <c r="E301" i="1"/>
  <c r="D301" i="1"/>
  <c r="B301" i="1"/>
  <c r="A301" i="1"/>
  <c r="BM300" i="1"/>
  <c r="BK300" i="1"/>
  <c r="BL300" i="1" s="1"/>
  <c r="BE300" i="1"/>
  <c r="BD300" i="1"/>
  <c r="BC300" i="1"/>
  <c r="BA300" i="1"/>
  <c r="AX300" i="1"/>
  <c r="AW300" i="1"/>
  <c r="AV300" i="1"/>
  <c r="AU300" i="1"/>
  <c r="AT300" i="1"/>
  <c r="AN300" i="1"/>
  <c r="AE300" i="1"/>
  <c r="AB300" i="1"/>
  <c r="AQ300" i="1" s="1"/>
  <c r="AR300" i="1" s="1"/>
  <c r="X300" i="1"/>
  <c r="F300" i="1"/>
  <c r="E300" i="1"/>
  <c r="D300" i="1"/>
  <c r="B300" i="1"/>
  <c r="BB300" i="1" s="1"/>
  <c r="A300" i="1"/>
  <c r="BM299" i="1"/>
  <c r="BK299" i="1"/>
  <c r="BL299" i="1" s="1"/>
  <c r="BE299" i="1"/>
  <c r="BD299" i="1"/>
  <c r="BC299" i="1"/>
  <c r="BA299" i="1"/>
  <c r="AX299" i="1"/>
  <c r="AW299" i="1"/>
  <c r="AV299" i="1"/>
  <c r="AU299" i="1"/>
  <c r="AT299" i="1"/>
  <c r="AN299" i="1"/>
  <c r="AE299" i="1"/>
  <c r="AB299" i="1"/>
  <c r="AQ299" i="1" s="1"/>
  <c r="AR299" i="1" s="1"/>
  <c r="X299" i="1"/>
  <c r="F299" i="1"/>
  <c r="E299" i="1"/>
  <c r="D299" i="1"/>
  <c r="B299" i="1"/>
  <c r="BB299" i="1" s="1"/>
  <c r="A299" i="1"/>
  <c r="BM298" i="1"/>
  <c r="BK298" i="1"/>
  <c r="BL298" i="1" s="1"/>
  <c r="BE298" i="1"/>
  <c r="BD298" i="1"/>
  <c r="BC298" i="1"/>
  <c r="BA298" i="1"/>
  <c r="AX298" i="1"/>
  <c r="AW298" i="1"/>
  <c r="AV298" i="1"/>
  <c r="AU298" i="1"/>
  <c r="AT298" i="1"/>
  <c r="AN298" i="1"/>
  <c r="AE298" i="1"/>
  <c r="AB298" i="1"/>
  <c r="AQ298" i="1" s="1"/>
  <c r="AR298" i="1" s="1"/>
  <c r="X298" i="1"/>
  <c r="F298" i="1"/>
  <c r="E298" i="1"/>
  <c r="D298" i="1"/>
  <c r="B298" i="1"/>
  <c r="A298" i="1"/>
  <c r="BM297" i="1"/>
  <c r="BK297" i="1"/>
  <c r="BL297" i="1" s="1"/>
  <c r="BE297" i="1"/>
  <c r="BD297" i="1"/>
  <c r="BC297" i="1"/>
  <c r="BA297" i="1"/>
  <c r="AX297" i="1"/>
  <c r="AW297" i="1"/>
  <c r="AV297" i="1"/>
  <c r="AU297" i="1"/>
  <c r="AT297" i="1"/>
  <c r="AQ297" i="1"/>
  <c r="AP297" i="1"/>
  <c r="AO297" i="1"/>
  <c r="AN297" i="1"/>
  <c r="AB297" i="1"/>
  <c r="AM297" i="1" s="1"/>
  <c r="X297" i="1"/>
  <c r="F297" i="1"/>
  <c r="E297" i="1"/>
  <c r="D297" i="1"/>
  <c r="B297" i="1"/>
  <c r="BB297" i="1" s="1"/>
  <c r="A297" i="1"/>
  <c r="BM296" i="1"/>
  <c r="BK296" i="1"/>
  <c r="BL296" i="1" s="1"/>
  <c r="BE296" i="1"/>
  <c r="BD296" i="1"/>
  <c r="BC296" i="1"/>
  <c r="BA296" i="1"/>
  <c r="AX296" i="1"/>
  <c r="AW296" i="1"/>
  <c r="AV296" i="1"/>
  <c r="AU296" i="1"/>
  <c r="AT296" i="1"/>
  <c r="AQ296" i="1"/>
  <c r="AP296" i="1"/>
  <c r="AN296" i="1"/>
  <c r="AE296" i="1"/>
  <c r="AB296" i="1"/>
  <c r="AM296" i="1" s="1"/>
  <c r="X296" i="1"/>
  <c r="F296" i="1"/>
  <c r="E296" i="1"/>
  <c r="D296" i="1"/>
  <c r="B296" i="1"/>
  <c r="A296" i="1"/>
  <c r="BM295" i="1"/>
  <c r="BK295" i="1"/>
  <c r="BL295" i="1" s="1"/>
  <c r="BE295" i="1"/>
  <c r="BD295" i="1"/>
  <c r="BC295" i="1"/>
  <c r="BA295" i="1"/>
  <c r="AX295" i="1"/>
  <c r="AW295" i="1"/>
  <c r="AV295" i="1"/>
  <c r="AU295" i="1"/>
  <c r="AT295" i="1"/>
  <c r="AQ295" i="1"/>
  <c r="AP295" i="1"/>
  <c r="AN295" i="1"/>
  <c r="AE295" i="1"/>
  <c r="AB295" i="1"/>
  <c r="AM295" i="1" s="1"/>
  <c r="X295" i="1"/>
  <c r="F295" i="1"/>
  <c r="E295" i="1"/>
  <c r="D295" i="1"/>
  <c r="B295" i="1"/>
  <c r="BB295" i="1" s="1"/>
  <c r="A295" i="1"/>
  <c r="BM294" i="1"/>
  <c r="BK294" i="1"/>
  <c r="BL294" i="1" s="1"/>
  <c r="BE294" i="1"/>
  <c r="BD294" i="1"/>
  <c r="BC294" i="1"/>
  <c r="BA294" i="1"/>
  <c r="AX294" i="1"/>
  <c r="AW294" i="1"/>
  <c r="AV294" i="1"/>
  <c r="AU294" i="1"/>
  <c r="AT294" i="1"/>
  <c r="AQ294" i="1"/>
  <c r="AP294" i="1"/>
  <c r="AN294" i="1"/>
  <c r="AE294" i="1"/>
  <c r="AB294" i="1"/>
  <c r="AM294" i="1" s="1"/>
  <c r="X294" i="1"/>
  <c r="F294" i="1"/>
  <c r="E294" i="1"/>
  <c r="D294" i="1"/>
  <c r="B294" i="1"/>
  <c r="BB294" i="1" s="1"/>
  <c r="A294" i="1"/>
  <c r="BM293" i="1"/>
  <c r="BK293" i="1"/>
  <c r="BL293" i="1" s="1"/>
  <c r="BE293" i="1"/>
  <c r="BD293" i="1"/>
  <c r="BC293" i="1"/>
  <c r="BA293" i="1"/>
  <c r="AX293" i="1"/>
  <c r="AW293" i="1"/>
  <c r="AV293" i="1"/>
  <c r="AU293" i="1"/>
  <c r="AT293" i="1"/>
  <c r="AQ293" i="1"/>
  <c r="AP293" i="1"/>
  <c r="AN293" i="1"/>
  <c r="AE293" i="1"/>
  <c r="AB293" i="1"/>
  <c r="AM293" i="1" s="1"/>
  <c r="X293" i="1"/>
  <c r="F293" i="1"/>
  <c r="E293" i="1"/>
  <c r="D293" i="1"/>
  <c r="B293" i="1"/>
  <c r="BB293" i="1" s="1"/>
  <c r="A293" i="1"/>
  <c r="BM292" i="1"/>
  <c r="BK292" i="1"/>
  <c r="BL292" i="1" s="1"/>
  <c r="BE292" i="1"/>
  <c r="BD292" i="1"/>
  <c r="BC292" i="1"/>
  <c r="BA292" i="1"/>
  <c r="AX292" i="1"/>
  <c r="AW292" i="1"/>
  <c r="AV292" i="1"/>
  <c r="AU292" i="1"/>
  <c r="AT292" i="1"/>
  <c r="AO292" i="1"/>
  <c r="AN292" i="1"/>
  <c r="AB292" i="1"/>
  <c r="AQ292" i="1" s="1"/>
  <c r="AR292" i="1" s="1"/>
  <c r="X292" i="1"/>
  <c r="F292" i="1"/>
  <c r="E292" i="1"/>
  <c r="D292" i="1"/>
  <c r="B292" i="1"/>
  <c r="BB292" i="1" s="1"/>
  <c r="A292" i="1"/>
  <c r="BM291" i="1"/>
  <c r="BK291" i="1"/>
  <c r="BL291" i="1" s="1"/>
  <c r="BE291" i="1"/>
  <c r="BD291" i="1"/>
  <c r="BC291" i="1"/>
  <c r="BA291" i="1"/>
  <c r="AX291" i="1"/>
  <c r="AW291" i="1"/>
  <c r="AV291" i="1"/>
  <c r="AU291" i="1"/>
  <c r="AT291" i="1"/>
  <c r="AN291" i="1"/>
  <c r="AE291" i="1"/>
  <c r="AB291" i="1"/>
  <c r="AQ291" i="1" s="1"/>
  <c r="AR291" i="1" s="1"/>
  <c r="X291" i="1"/>
  <c r="F291" i="1"/>
  <c r="E291" i="1"/>
  <c r="D291" i="1"/>
  <c r="B291" i="1"/>
  <c r="A291" i="1"/>
  <c r="BM290" i="1"/>
  <c r="BK290" i="1"/>
  <c r="BL290" i="1" s="1"/>
  <c r="BE290" i="1"/>
  <c r="BD290" i="1"/>
  <c r="BC290" i="1"/>
  <c r="BA290" i="1"/>
  <c r="AX290" i="1"/>
  <c r="AW290" i="1"/>
  <c r="AV290" i="1"/>
  <c r="AU290" i="1"/>
  <c r="AT290" i="1"/>
  <c r="AN290" i="1"/>
  <c r="AE290" i="1"/>
  <c r="AB290" i="1"/>
  <c r="AQ290" i="1" s="1"/>
  <c r="AR290" i="1" s="1"/>
  <c r="X290" i="1"/>
  <c r="F290" i="1"/>
  <c r="E290" i="1"/>
  <c r="D290" i="1"/>
  <c r="B290" i="1"/>
  <c r="BB290" i="1" s="1"/>
  <c r="A290" i="1"/>
  <c r="BM289" i="1"/>
  <c r="BK289" i="1"/>
  <c r="BL289" i="1" s="1"/>
  <c r="BE289" i="1"/>
  <c r="BD289" i="1"/>
  <c r="BC289" i="1"/>
  <c r="BA289" i="1"/>
  <c r="AX289" i="1"/>
  <c r="AW289" i="1"/>
  <c r="AV289" i="1"/>
  <c r="AU289" i="1"/>
  <c r="AT289" i="1"/>
  <c r="AN289" i="1"/>
  <c r="AE289" i="1"/>
  <c r="AB289" i="1"/>
  <c r="AQ289" i="1" s="1"/>
  <c r="AR289" i="1" s="1"/>
  <c r="X289" i="1"/>
  <c r="F289" i="1"/>
  <c r="E289" i="1"/>
  <c r="D289" i="1"/>
  <c r="B289" i="1"/>
  <c r="A289" i="1"/>
  <c r="BM288" i="1"/>
  <c r="BK288" i="1"/>
  <c r="BL288" i="1" s="1"/>
  <c r="BE288" i="1"/>
  <c r="BD288" i="1"/>
  <c r="BC288" i="1"/>
  <c r="BA288" i="1"/>
  <c r="AX288" i="1"/>
  <c r="AW288" i="1"/>
  <c r="AV288" i="1"/>
  <c r="AU288" i="1"/>
  <c r="AT288" i="1"/>
  <c r="AN288" i="1"/>
  <c r="AE288" i="1"/>
  <c r="AB288" i="1"/>
  <c r="AQ288" i="1" s="1"/>
  <c r="AR288" i="1" s="1"/>
  <c r="X288" i="1"/>
  <c r="F288" i="1"/>
  <c r="E288" i="1"/>
  <c r="D288" i="1"/>
  <c r="B288" i="1"/>
  <c r="A288" i="1"/>
  <c r="BM287" i="1"/>
  <c r="BK287" i="1"/>
  <c r="BL287" i="1" s="1"/>
  <c r="BE287" i="1"/>
  <c r="BD287" i="1"/>
  <c r="BC287" i="1"/>
  <c r="BA287" i="1"/>
  <c r="AX287" i="1"/>
  <c r="AW287" i="1"/>
  <c r="AV287" i="1"/>
  <c r="AU287" i="1"/>
  <c r="AT287" i="1"/>
  <c r="AQ287" i="1"/>
  <c r="AP287" i="1"/>
  <c r="AO287" i="1"/>
  <c r="AN287" i="1"/>
  <c r="AB287" i="1"/>
  <c r="AM287" i="1" s="1"/>
  <c r="X287" i="1"/>
  <c r="F287" i="1"/>
  <c r="E287" i="1"/>
  <c r="D287" i="1"/>
  <c r="B287" i="1"/>
  <c r="BB287" i="1" s="1"/>
  <c r="A287" i="1"/>
  <c r="BM286" i="1"/>
  <c r="BK286" i="1"/>
  <c r="BL286" i="1" s="1"/>
  <c r="BE286" i="1"/>
  <c r="BD286" i="1"/>
  <c r="BC286" i="1"/>
  <c r="BA286" i="1"/>
  <c r="AX286" i="1"/>
  <c r="AW286" i="1"/>
  <c r="AV286" i="1"/>
  <c r="AU286" i="1"/>
  <c r="AT286" i="1"/>
  <c r="AQ286" i="1"/>
  <c r="AP286" i="1"/>
  <c r="AN286" i="1"/>
  <c r="AE286" i="1"/>
  <c r="AB286" i="1"/>
  <c r="AM286" i="1" s="1"/>
  <c r="X286" i="1"/>
  <c r="F286" i="1"/>
  <c r="E286" i="1"/>
  <c r="D286" i="1"/>
  <c r="B286" i="1"/>
  <c r="BB286" i="1" s="1"/>
  <c r="A286" i="1"/>
  <c r="BM285" i="1"/>
  <c r="BK285" i="1"/>
  <c r="BL285" i="1" s="1"/>
  <c r="BE285" i="1"/>
  <c r="BD285" i="1"/>
  <c r="BC285" i="1"/>
  <c r="BA285" i="1"/>
  <c r="AX285" i="1"/>
  <c r="AW285" i="1"/>
  <c r="AV285" i="1"/>
  <c r="AU285" i="1"/>
  <c r="AT285" i="1"/>
  <c r="AQ285" i="1"/>
  <c r="AP285" i="1"/>
  <c r="AN285" i="1"/>
  <c r="AE285" i="1"/>
  <c r="AB285" i="1"/>
  <c r="AM285" i="1" s="1"/>
  <c r="X285" i="1"/>
  <c r="F285" i="1"/>
  <c r="E285" i="1"/>
  <c r="D285" i="1"/>
  <c r="B285" i="1"/>
  <c r="BB285" i="1" s="1"/>
  <c r="A285" i="1"/>
  <c r="BM284" i="1"/>
  <c r="BK284" i="1"/>
  <c r="BL284" i="1" s="1"/>
  <c r="BE284" i="1"/>
  <c r="BD284" i="1"/>
  <c r="BC284" i="1"/>
  <c r="BA284" i="1"/>
  <c r="AX284" i="1"/>
  <c r="AW284" i="1"/>
  <c r="AV284" i="1"/>
  <c r="AU284" i="1"/>
  <c r="AT284" i="1"/>
  <c r="AQ284" i="1"/>
  <c r="AP284" i="1"/>
  <c r="AN284" i="1"/>
  <c r="AE284" i="1"/>
  <c r="AB284" i="1"/>
  <c r="AM284" i="1" s="1"/>
  <c r="X284" i="1"/>
  <c r="F284" i="1"/>
  <c r="E284" i="1"/>
  <c r="D284" i="1"/>
  <c r="B284" i="1"/>
  <c r="BB284" i="1" s="1"/>
  <c r="A284" i="1"/>
  <c r="BM283" i="1"/>
  <c r="BK283" i="1"/>
  <c r="BL283" i="1" s="1"/>
  <c r="BE283" i="1"/>
  <c r="BD283" i="1"/>
  <c r="BC283" i="1"/>
  <c r="BA283" i="1"/>
  <c r="AX283" i="1"/>
  <c r="AW283" i="1"/>
  <c r="AV283" i="1"/>
  <c r="AU283" i="1"/>
  <c r="AT283" i="1"/>
  <c r="AQ283" i="1"/>
  <c r="AP283" i="1"/>
  <c r="AN283" i="1"/>
  <c r="AE283" i="1"/>
  <c r="AB283" i="1"/>
  <c r="AM283" i="1" s="1"/>
  <c r="X283" i="1"/>
  <c r="F283" i="1"/>
  <c r="E283" i="1"/>
  <c r="D283" i="1"/>
  <c r="B283" i="1"/>
  <c r="BB283" i="1" s="1"/>
  <c r="A283" i="1"/>
  <c r="BM282" i="1"/>
  <c r="BK282" i="1"/>
  <c r="BL282" i="1" s="1"/>
  <c r="BE282" i="1"/>
  <c r="BD282" i="1"/>
  <c r="BC282" i="1"/>
  <c r="BA282" i="1"/>
  <c r="AX282" i="1"/>
  <c r="AW282" i="1"/>
  <c r="AV282" i="1"/>
  <c r="AU282" i="1"/>
  <c r="AT282" i="1"/>
  <c r="AO282" i="1"/>
  <c r="AN282" i="1"/>
  <c r="AB282" i="1"/>
  <c r="AQ282" i="1" s="1"/>
  <c r="AR282" i="1" s="1"/>
  <c r="X282" i="1"/>
  <c r="F282" i="1"/>
  <c r="E282" i="1"/>
  <c r="D282" i="1"/>
  <c r="B282" i="1"/>
  <c r="A282" i="1"/>
  <c r="BM281" i="1"/>
  <c r="BK281" i="1"/>
  <c r="BL281" i="1" s="1"/>
  <c r="BE281" i="1"/>
  <c r="BD281" i="1"/>
  <c r="BC281" i="1"/>
  <c r="BA281" i="1"/>
  <c r="AX281" i="1"/>
  <c r="AW281" i="1"/>
  <c r="AV281" i="1"/>
  <c r="AU281" i="1"/>
  <c r="AT281" i="1"/>
  <c r="AQ281" i="1"/>
  <c r="AP281" i="1"/>
  <c r="AN281" i="1"/>
  <c r="AE281" i="1"/>
  <c r="AB281" i="1"/>
  <c r="AM281" i="1" s="1"/>
  <c r="X281" i="1"/>
  <c r="F281" i="1"/>
  <c r="E281" i="1"/>
  <c r="D281" i="1"/>
  <c r="B281" i="1"/>
  <c r="BB281" i="1" s="1"/>
  <c r="A281" i="1"/>
  <c r="BM280" i="1"/>
  <c r="BK280" i="1"/>
  <c r="BL280" i="1" s="1"/>
  <c r="BE280" i="1"/>
  <c r="BD280" i="1"/>
  <c r="BC280" i="1"/>
  <c r="BA280" i="1"/>
  <c r="AX280" i="1"/>
  <c r="AW280" i="1"/>
  <c r="AV280" i="1"/>
  <c r="AU280" i="1"/>
  <c r="AT280" i="1"/>
  <c r="AQ280" i="1"/>
  <c r="AP280" i="1"/>
  <c r="AN280" i="1"/>
  <c r="AE280" i="1"/>
  <c r="AB280" i="1"/>
  <c r="AM280" i="1" s="1"/>
  <c r="X280" i="1"/>
  <c r="F280" i="1"/>
  <c r="E280" i="1"/>
  <c r="D280" i="1"/>
  <c r="B280" i="1"/>
  <c r="A280" i="1"/>
  <c r="BM279" i="1"/>
  <c r="BK279" i="1"/>
  <c r="BL279" i="1" s="1"/>
  <c r="BE279" i="1"/>
  <c r="BD279" i="1"/>
  <c r="BC279" i="1"/>
  <c r="BA279" i="1"/>
  <c r="AX279" i="1"/>
  <c r="AW279" i="1"/>
  <c r="AV279" i="1"/>
  <c r="AU279" i="1"/>
  <c r="AT279" i="1"/>
  <c r="AQ279" i="1"/>
  <c r="AP279" i="1"/>
  <c r="AN279" i="1"/>
  <c r="AE279" i="1"/>
  <c r="AB279" i="1"/>
  <c r="AM279" i="1" s="1"/>
  <c r="X279" i="1"/>
  <c r="F279" i="1"/>
  <c r="E279" i="1"/>
  <c r="D279" i="1"/>
  <c r="B279" i="1"/>
  <c r="AY279" i="1" s="1"/>
  <c r="A279" i="1"/>
  <c r="BM278" i="1"/>
  <c r="BK278" i="1"/>
  <c r="BL278" i="1" s="1"/>
  <c r="BE278" i="1"/>
  <c r="BD278" i="1"/>
  <c r="BC278" i="1"/>
  <c r="BA278" i="1"/>
  <c r="AX278" i="1"/>
  <c r="AW278" i="1"/>
  <c r="AV278" i="1"/>
  <c r="AU278" i="1"/>
  <c r="AT278" i="1"/>
  <c r="AQ278" i="1"/>
  <c r="AR278" i="1" s="1"/>
  <c r="AP278" i="1"/>
  <c r="AN278" i="1"/>
  <c r="AE278" i="1"/>
  <c r="AB278" i="1"/>
  <c r="AM278" i="1" s="1"/>
  <c r="X278" i="1"/>
  <c r="F278" i="1"/>
  <c r="E278" i="1"/>
  <c r="D278" i="1"/>
  <c r="B278" i="1"/>
  <c r="AY278" i="1" s="1"/>
  <c r="A278" i="1"/>
  <c r="BM277" i="1"/>
  <c r="BK277" i="1"/>
  <c r="BL277" i="1" s="1"/>
  <c r="BE277" i="1"/>
  <c r="BD277" i="1"/>
  <c r="BC277" i="1"/>
  <c r="BA277" i="1"/>
  <c r="AX277" i="1"/>
  <c r="AW277" i="1"/>
  <c r="AV277" i="1"/>
  <c r="AU277" i="1"/>
  <c r="AT277" i="1"/>
  <c r="AO277" i="1"/>
  <c r="AN277" i="1"/>
  <c r="AB277" i="1"/>
  <c r="AQ277" i="1" s="1"/>
  <c r="AR277" i="1" s="1"/>
  <c r="X277" i="1"/>
  <c r="F277" i="1"/>
  <c r="E277" i="1"/>
  <c r="D277" i="1"/>
  <c r="B277" i="1"/>
  <c r="AY277" i="1" s="1"/>
  <c r="A277" i="1"/>
  <c r="BJ276" i="1"/>
  <c r="BH276" i="1"/>
  <c r="BI276" i="1" s="1"/>
  <c r="BD276" i="1"/>
  <c r="BC276" i="1"/>
  <c r="BA276" i="1"/>
  <c r="AX276" i="1"/>
  <c r="AW276" i="1"/>
  <c r="AV276" i="1"/>
  <c r="AU276" i="1"/>
  <c r="AT276" i="1"/>
  <c r="AQ276" i="1"/>
  <c r="AR276" i="1" s="1"/>
  <c r="AP276" i="1"/>
  <c r="AO276" i="1"/>
  <c r="AN276" i="1"/>
  <c r="AE276" i="1"/>
  <c r="AB276" i="1"/>
  <c r="BE276" i="1" s="1"/>
  <c r="X276" i="1"/>
  <c r="F276" i="1"/>
  <c r="E276" i="1"/>
  <c r="D276" i="1"/>
  <c r="B276" i="1"/>
  <c r="AY276" i="1" s="1"/>
  <c r="A276" i="1"/>
  <c r="BJ275" i="1"/>
  <c r="BH275" i="1"/>
  <c r="BI275" i="1" s="1"/>
  <c r="BD275" i="1"/>
  <c r="BC275" i="1"/>
  <c r="BA275" i="1"/>
  <c r="AX275" i="1"/>
  <c r="AW275" i="1"/>
  <c r="AV275" i="1"/>
  <c r="AU275" i="1"/>
  <c r="AT275" i="1"/>
  <c r="AQ275" i="1"/>
  <c r="AR275" i="1" s="1"/>
  <c r="AP275" i="1"/>
  <c r="AO275" i="1"/>
  <c r="AN275" i="1"/>
  <c r="AB275" i="1"/>
  <c r="AM275" i="1" s="1"/>
  <c r="X275" i="1"/>
  <c r="F275" i="1"/>
  <c r="E275" i="1"/>
  <c r="D275" i="1"/>
  <c r="B275" i="1"/>
  <c r="AY275" i="1" s="1"/>
  <c r="A275" i="1"/>
  <c r="BJ274" i="1"/>
  <c r="BH274" i="1"/>
  <c r="BI274" i="1" s="1"/>
  <c r="BE274" i="1"/>
  <c r="BC274" i="1"/>
  <c r="BA274" i="1"/>
  <c r="AX274" i="1"/>
  <c r="AW274" i="1"/>
  <c r="AV274" i="1"/>
  <c r="AU274" i="1"/>
  <c r="AT274" i="1"/>
  <c r="AQ274" i="1"/>
  <c r="AR274" i="1" s="1"/>
  <c r="AP274" i="1"/>
  <c r="AO274" i="1"/>
  <c r="AN274" i="1"/>
  <c r="AE274" i="1"/>
  <c r="AB274" i="1"/>
  <c r="AM274" i="1" s="1"/>
  <c r="X274" i="1"/>
  <c r="F274" i="1"/>
  <c r="E274" i="1"/>
  <c r="D274" i="1"/>
  <c r="B274" i="1"/>
  <c r="AY274" i="1" s="1"/>
  <c r="A274" i="1"/>
  <c r="BJ273" i="1"/>
  <c r="BH273" i="1"/>
  <c r="BI273" i="1" s="1"/>
  <c r="BE273" i="1"/>
  <c r="BD273" i="1"/>
  <c r="BA273" i="1"/>
  <c r="AX273" i="1"/>
  <c r="AW273" i="1"/>
  <c r="AV273" i="1"/>
  <c r="AU273" i="1"/>
  <c r="AT273" i="1"/>
  <c r="AQ273" i="1"/>
  <c r="AR273" i="1" s="1"/>
  <c r="AP273" i="1"/>
  <c r="AO273" i="1"/>
  <c r="AN273" i="1"/>
  <c r="AE273" i="1"/>
  <c r="AB273" i="1"/>
  <c r="X273" i="1"/>
  <c r="F273" i="1"/>
  <c r="E273" i="1"/>
  <c r="D273" i="1"/>
  <c r="B273" i="1"/>
  <c r="A273" i="1"/>
  <c r="BJ272" i="1"/>
  <c r="BH272" i="1"/>
  <c r="BI272" i="1" s="1"/>
  <c r="BE272" i="1"/>
  <c r="BD272" i="1"/>
  <c r="BC272" i="1"/>
  <c r="BA272" i="1"/>
  <c r="AX272" i="1"/>
  <c r="AV272" i="1"/>
  <c r="AU272" i="1"/>
  <c r="AT272" i="1"/>
  <c r="AQ272" i="1"/>
  <c r="AR272" i="1" s="1"/>
  <c r="AP272" i="1"/>
  <c r="AO272" i="1"/>
  <c r="AN272" i="1"/>
  <c r="AE272" i="1"/>
  <c r="AB272" i="1"/>
  <c r="X272" i="1"/>
  <c r="F272" i="1"/>
  <c r="E272" i="1"/>
  <c r="D272" i="1"/>
  <c r="B272" i="1"/>
  <c r="AY272" i="1" s="1"/>
  <c r="A272" i="1"/>
  <c r="BJ271" i="1"/>
  <c r="BH271" i="1"/>
  <c r="BI271" i="1" s="1"/>
  <c r="BE271" i="1"/>
  <c r="BD271" i="1"/>
  <c r="BC271" i="1"/>
  <c r="BA271" i="1"/>
  <c r="AX271" i="1"/>
  <c r="AV271" i="1"/>
  <c r="AU271" i="1"/>
  <c r="AT271" i="1"/>
  <c r="AQ271" i="1"/>
  <c r="AR271" i="1" s="1"/>
  <c r="AP271" i="1"/>
  <c r="AO271" i="1"/>
  <c r="AN271" i="1"/>
  <c r="AB271" i="1"/>
  <c r="X271" i="1"/>
  <c r="F271" i="1"/>
  <c r="E271" i="1"/>
  <c r="D271" i="1"/>
  <c r="B271" i="1"/>
  <c r="AY271" i="1" s="1"/>
  <c r="A271" i="1"/>
  <c r="BJ270" i="1"/>
  <c r="BH270" i="1"/>
  <c r="BI270" i="1" s="1"/>
  <c r="BE270" i="1"/>
  <c r="BD270" i="1"/>
  <c r="BC270" i="1"/>
  <c r="BA270" i="1"/>
  <c r="AX270" i="1"/>
  <c r="AV270" i="1"/>
  <c r="AU270" i="1"/>
  <c r="AT270" i="1"/>
  <c r="AQ270" i="1"/>
  <c r="AR270" i="1" s="1"/>
  <c r="AP270" i="1"/>
  <c r="AO270" i="1"/>
  <c r="AN270" i="1"/>
  <c r="AE270" i="1"/>
  <c r="AB270" i="1"/>
  <c r="AW270" i="1" s="1"/>
  <c r="X270" i="1"/>
  <c r="F270" i="1"/>
  <c r="E270" i="1"/>
  <c r="D270" i="1"/>
  <c r="B270" i="1"/>
  <c r="AY270" i="1" s="1"/>
  <c r="A270" i="1"/>
  <c r="BM269" i="1"/>
  <c r="BK269" i="1"/>
  <c r="BL269" i="1" s="1"/>
  <c r="BE269" i="1"/>
  <c r="BD269" i="1"/>
  <c r="BC269" i="1"/>
  <c r="BA269" i="1"/>
  <c r="AX269" i="1"/>
  <c r="AW269" i="1"/>
  <c r="AV269" i="1"/>
  <c r="AU269" i="1"/>
  <c r="AT269" i="1"/>
  <c r="AN269" i="1"/>
  <c r="AE269" i="1"/>
  <c r="AB269" i="1"/>
  <c r="AQ269" i="1" s="1"/>
  <c r="AR269" i="1" s="1"/>
  <c r="X269" i="1"/>
  <c r="F269" i="1"/>
  <c r="E269" i="1"/>
  <c r="D269" i="1"/>
  <c r="B269" i="1"/>
  <c r="AY269" i="1" s="1"/>
  <c r="A269" i="1"/>
  <c r="BM268" i="1"/>
  <c r="BK268" i="1"/>
  <c r="BL268" i="1" s="1"/>
  <c r="BE268" i="1"/>
  <c r="BD268" i="1"/>
  <c r="BC268" i="1"/>
  <c r="BA268" i="1"/>
  <c r="AX268" i="1"/>
  <c r="AW268" i="1"/>
  <c r="AV268" i="1"/>
  <c r="AU268" i="1"/>
  <c r="AT268" i="1"/>
  <c r="AQ268" i="1"/>
  <c r="AR268" i="1" s="1"/>
  <c r="AP268" i="1"/>
  <c r="AN268" i="1"/>
  <c r="AE268" i="1"/>
  <c r="AB268" i="1"/>
  <c r="AM268" i="1" s="1"/>
  <c r="X268" i="1"/>
  <c r="F268" i="1"/>
  <c r="E268" i="1"/>
  <c r="D268" i="1"/>
  <c r="B268" i="1"/>
  <c r="AY268" i="1" s="1"/>
  <c r="A268" i="1"/>
  <c r="BM267" i="1"/>
  <c r="BK267" i="1"/>
  <c r="BL267" i="1" s="1"/>
  <c r="BE267" i="1"/>
  <c r="BD267" i="1"/>
  <c r="BC267" i="1"/>
  <c r="BA267" i="1"/>
  <c r="AX267" i="1"/>
  <c r="AW267" i="1"/>
  <c r="AV267" i="1"/>
  <c r="AU267" i="1"/>
  <c r="AT267" i="1"/>
  <c r="AO267" i="1"/>
  <c r="AN267" i="1"/>
  <c r="AB267" i="1"/>
  <c r="X267" i="1"/>
  <c r="F267" i="1"/>
  <c r="E267" i="1"/>
  <c r="D267" i="1"/>
  <c r="B267" i="1"/>
  <c r="AY267" i="1" s="1"/>
  <c r="A267" i="1"/>
  <c r="BM266" i="1"/>
  <c r="BK266" i="1"/>
  <c r="BL266" i="1" s="1"/>
  <c r="BE266" i="1"/>
  <c r="BD266" i="1"/>
  <c r="BC266" i="1"/>
  <c r="BA266" i="1"/>
  <c r="AX266" i="1"/>
  <c r="AW266" i="1"/>
  <c r="AV266" i="1"/>
  <c r="AU266" i="1"/>
  <c r="AT266" i="1"/>
  <c r="AO266" i="1"/>
  <c r="AB266" i="1"/>
  <c r="AQ266" i="1" s="1"/>
  <c r="X266" i="1"/>
  <c r="F266" i="1"/>
  <c r="E266" i="1"/>
  <c r="D266" i="1"/>
  <c r="B266" i="1"/>
  <c r="AY266" i="1" s="1"/>
  <c r="A266" i="1"/>
  <c r="BM265" i="1"/>
  <c r="BK265" i="1"/>
  <c r="BL265" i="1" s="1"/>
  <c r="BE265" i="1"/>
  <c r="BD265" i="1"/>
  <c r="BC265" i="1"/>
  <c r="BA265" i="1"/>
  <c r="AX265" i="1"/>
  <c r="AW265" i="1"/>
  <c r="AV265" i="1"/>
  <c r="AU265" i="1"/>
  <c r="AT265" i="1"/>
  <c r="AQ265" i="1"/>
  <c r="AR265" i="1" s="1"/>
  <c r="AP265" i="1"/>
  <c r="AO265" i="1"/>
  <c r="AN265" i="1"/>
  <c r="AB265" i="1"/>
  <c r="AM265" i="1" s="1"/>
  <c r="X265" i="1"/>
  <c r="F265" i="1"/>
  <c r="E265" i="1"/>
  <c r="D265" i="1"/>
  <c r="B265" i="1"/>
  <c r="AY265" i="1" s="1"/>
  <c r="A265" i="1"/>
  <c r="BM264" i="1"/>
  <c r="BK264" i="1"/>
  <c r="BL264" i="1" s="1"/>
  <c r="BE264" i="1"/>
  <c r="BD264" i="1"/>
  <c r="BC264" i="1"/>
  <c r="BA264" i="1"/>
  <c r="AX264" i="1"/>
  <c r="AW264" i="1"/>
  <c r="AV264" i="1"/>
  <c r="AU264" i="1"/>
  <c r="AT264" i="1"/>
  <c r="AN264" i="1"/>
  <c r="AE264" i="1"/>
  <c r="AB264" i="1"/>
  <c r="AQ264" i="1" s="1"/>
  <c r="AR264" i="1" s="1"/>
  <c r="X264" i="1"/>
  <c r="F264" i="1"/>
  <c r="E264" i="1"/>
  <c r="D264" i="1"/>
  <c r="B264" i="1"/>
  <c r="AY264" i="1" s="1"/>
  <c r="A264" i="1"/>
  <c r="BM263" i="1"/>
  <c r="BK263" i="1"/>
  <c r="BL263" i="1" s="1"/>
  <c r="BE263" i="1"/>
  <c r="BD263" i="1"/>
  <c r="BC263" i="1"/>
  <c r="BA263" i="1"/>
  <c r="AX263" i="1"/>
  <c r="AW263" i="1"/>
  <c r="AV263" i="1"/>
  <c r="AU263" i="1"/>
  <c r="AT263" i="1"/>
  <c r="AQ263" i="1"/>
  <c r="AR263" i="1" s="1"/>
  <c r="AP263" i="1"/>
  <c r="AO263" i="1"/>
  <c r="AN263" i="1"/>
  <c r="AB263" i="1"/>
  <c r="AM263" i="1" s="1"/>
  <c r="X263" i="1"/>
  <c r="F263" i="1"/>
  <c r="E263" i="1"/>
  <c r="D263" i="1"/>
  <c r="B263" i="1"/>
  <c r="AY263" i="1" s="1"/>
  <c r="A263" i="1"/>
  <c r="BM262" i="1"/>
  <c r="BK262" i="1"/>
  <c r="BL262" i="1" s="1"/>
  <c r="BE262" i="1"/>
  <c r="BD262" i="1"/>
  <c r="BC262" i="1"/>
  <c r="BA262" i="1"/>
  <c r="AX262" i="1"/>
  <c r="AW262" i="1"/>
  <c r="AV262" i="1"/>
  <c r="AU262" i="1"/>
  <c r="AT262" i="1"/>
  <c r="AQ262" i="1"/>
  <c r="AR262" i="1" s="1"/>
  <c r="AP262" i="1"/>
  <c r="AO262" i="1"/>
  <c r="AB262" i="1"/>
  <c r="AM262" i="1" s="1"/>
  <c r="X262" i="1"/>
  <c r="F262" i="1"/>
  <c r="E262" i="1"/>
  <c r="D262" i="1"/>
  <c r="B262" i="1"/>
  <c r="AY262" i="1" s="1"/>
  <c r="A262" i="1"/>
  <c r="BM261" i="1"/>
  <c r="BK261" i="1"/>
  <c r="BL261" i="1" s="1"/>
  <c r="BE261" i="1"/>
  <c r="BD261" i="1"/>
  <c r="BC261" i="1"/>
  <c r="BA261" i="1"/>
  <c r="AX261" i="1"/>
  <c r="AW261" i="1"/>
  <c r="AV261" i="1"/>
  <c r="AU261" i="1"/>
  <c r="AT261" i="1"/>
  <c r="AO261" i="1"/>
  <c r="AN261" i="1"/>
  <c r="AB261" i="1"/>
  <c r="AQ261" i="1" s="1"/>
  <c r="AR261" i="1" s="1"/>
  <c r="X261" i="1"/>
  <c r="F261" i="1"/>
  <c r="E261" i="1"/>
  <c r="D261" i="1"/>
  <c r="B261" i="1"/>
  <c r="AY261" i="1" s="1"/>
  <c r="A261" i="1"/>
  <c r="BJ260" i="1"/>
  <c r="BH260" i="1"/>
  <c r="BI260" i="1" s="1"/>
  <c r="BE260" i="1"/>
  <c r="BD260" i="1"/>
  <c r="BC260" i="1"/>
  <c r="BA260" i="1"/>
  <c r="AX260" i="1"/>
  <c r="AW260" i="1"/>
  <c r="AU260" i="1"/>
  <c r="AT260" i="1"/>
  <c r="AQ260" i="1"/>
  <c r="AR260" i="1" s="1"/>
  <c r="AP260" i="1"/>
  <c r="AO260" i="1"/>
  <c r="AN260" i="1"/>
  <c r="AE260" i="1"/>
  <c r="AB260" i="1"/>
  <c r="X260" i="1"/>
  <c r="F260" i="1"/>
  <c r="E260" i="1"/>
  <c r="D260" i="1"/>
  <c r="B260" i="1"/>
  <c r="AY260" i="1" s="1"/>
  <c r="A260" i="1"/>
  <c r="BJ259" i="1"/>
  <c r="BH259" i="1"/>
  <c r="BI259" i="1" s="1"/>
  <c r="BE259" i="1"/>
  <c r="BD259" i="1"/>
  <c r="BC259" i="1"/>
  <c r="BA259" i="1"/>
  <c r="AX259" i="1"/>
  <c r="AW259" i="1"/>
  <c r="AV259" i="1"/>
  <c r="AU259" i="1"/>
  <c r="AT259" i="1"/>
  <c r="AN259" i="1"/>
  <c r="AE259" i="1"/>
  <c r="AB259" i="1"/>
  <c r="X259" i="1"/>
  <c r="F259" i="1"/>
  <c r="E259" i="1"/>
  <c r="D259" i="1"/>
  <c r="B259" i="1"/>
  <c r="AY259" i="1" s="1"/>
  <c r="A259" i="1"/>
  <c r="BJ258" i="1"/>
  <c r="BH258" i="1"/>
  <c r="BI258" i="1" s="1"/>
  <c r="BE258" i="1"/>
  <c r="BD258" i="1"/>
  <c r="BC258" i="1"/>
  <c r="BA258" i="1"/>
  <c r="AX258" i="1"/>
  <c r="AW258" i="1"/>
  <c r="AV258" i="1"/>
  <c r="AU258" i="1"/>
  <c r="AT258" i="1"/>
  <c r="AO258" i="1"/>
  <c r="AB258" i="1"/>
  <c r="AQ258" i="1" s="1"/>
  <c r="X258" i="1"/>
  <c r="F258" i="1"/>
  <c r="E258" i="1"/>
  <c r="D258" i="1"/>
  <c r="B258" i="1"/>
  <c r="AY258" i="1" s="1"/>
  <c r="A258" i="1"/>
  <c r="BJ257" i="1"/>
  <c r="BH257" i="1"/>
  <c r="BI257" i="1" s="1"/>
  <c r="BE257" i="1"/>
  <c r="BD257" i="1"/>
  <c r="BC257" i="1"/>
  <c r="BA257" i="1"/>
  <c r="AX257" i="1"/>
  <c r="AW257" i="1"/>
  <c r="AV257" i="1"/>
  <c r="AU257" i="1"/>
  <c r="AT257" i="1"/>
  <c r="AQ257" i="1"/>
  <c r="AR257" i="1" s="1"/>
  <c r="AP257" i="1"/>
  <c r="AO257" i="1"/>
  <c r="AN257" i="1"/>
  <c r="AB257" i="1"/>
  <c r="X257" i="1"/>
  <c r="F257" i="1"/>
  <c r="E257" i="1"/>
  <c r="D257" i="1"/>
  <c r="B257" i="1"/>
  <c r="AY257" i="1" s="1"/>
  <c r="A257" i="1"/>
  <c r="BJ256" i="1"/>
  <c r="BH256" i="1"/>
  <c r="BI256" i="1" s="1"/>
  <c r="BE256" i="1"/>
  <c r="BD256" i="1"/>
  <c r="BC256" i="1"/>
  <c r="BA256" i="1"/>
  <c r="AX256" i="1"/>
  <c r="AW256" i="1"/>
  <c r="AV256" i="1"/>
  <c r="AU256" i="1"/>
  <c r="AT256" i="1"/>
  <c r="AO256" i="1"/>
  <c r="AB256" i="1"/>
  <c r="AQ256" i="1" s="1"/>
  <c r="X256" i="1"/>
  <c r="F256" i="1"/>
  <c r="E256" i="1"/>
  <c r="D256" i="1"/>
  <c r="B256" i="1"/>
  <c r="AY256" i="1" s="1"/>
  <c r="A256" i="1"/>
  <c r="BJ255" i="1"/>
  <c r="BH255" i="1"/>
  <c r="BI255" i="1" s="1"/>
  <c r="BE255" i="1"/>
  <c r="BD255" i="1"/>
  <c r="BC255" i="1"/>
  <c r="BA255" i="1"/>
  <c r="AX255" i="1"/>
  <c r="AW255" i="1"/>
  <c r="AV255" i="1"/>
  <c r="AU255" i="1"/>
  <c r="AT255" i="1"/>
  <c r="AQ255" i="1"/>
  <c r="AR255" i="1" s="1"/>
  <c r="AP255" i="1"/>
  <c r="AO255" i="1"/>
  <c r="AN255" i="1"/>
  <c r="AB255" i="1"/>
  <c r="AM255" i="1" s="1"/>
  <c r="X255" i="1"/>
  <c r="F255" i="1"/>
  <c r="E255" i="1"/>
  <c r="D255" i="1"/>
  <c r="B255" i="1"/>
  <c r="AY255" i="1" s="1"/>
  <c r="A255" i="1"/>
  <c r="BJ254" i="1"/>
  <c r="BH254" i="1"/>
  <c r="BI254" i="1" s="1"/>
  <c r="BE254" i="1"/>
  <c r="BD254" i="1"/>
  <c r="BC254" i="1"/>
  <c r="BA254" i="1"/>
  <c r="AX254" i="1"/>
  <c r="AW254" i="1"/>
  <c r="AV254" i="1"/>
  <c r="AU254" i="1"/>
  <c r="AT254" i="1"/>
  <c r="AO254" i="1"/>
  <c r="AB254" i="1"/>
  <c r="AQ254" i="1" s="1"/>
  <c r="X254" i="1"/>
  <c r="F254" i="1"/>
  <c r="E254" i="1"/>
  <c r="D254" i="1"/>
  <c r="B254" i="1"/>
  <c r="AY254" i="1" s="1"/>
  <c r="A254" i="1"/>
  <c r="BJ253" i="1"/>
  <c r="BH253" i="1"/>
  <c r="BI253" i="1" s="1"/>
  <c r="BE253" i="1"/>
  <c r="BD253" i="1"/>
  <c r="BC253" i="1"/>
  <c r="BA253" i="1"/>
  <c r="AX253" i="1"/>
  <c r="AW253" i="1"/>
  <c r="AV253" i="1"/>
  <c r="AU253" i="1"/>
  <c r="AT253" i="1"/>
  <c r="AQ253" i="1"/>
  <c r="AR253" i="1" s="1"/>
  <c r="AP253" i="1"/>
  <c r="AO253" i="1"/>
  <c r="AN253" i="1"/>
  <c r="AB253" i="1"/>
  <c r="X253" i="1"/>
  <c r="F253" i="1"/>
  <c r="E253" i="1"/>
  <c r="D253" i="1"/>
  <c r="B253" i="1"/>
  <c r="AY253" i="1" s="1"/>
  <c r="A253" i="1"/>
  <c r="BM252" i="1"/>
  <c r="BK252" i="1"/>
  <c r="BL252" i="1" s="1"/>
  <c r="BE252" i="1"/>
  <c r="BD252" i="1"/>
  <c r="BC252" i="1"/>
  <c r="BA252" i="1"/>
  <c r="AX252" i="1"/>
  <c r="AW252" i="1"/>
  <c r="AV252" i="1"/>
  <c r="AU252" i="1"/>
  <c r="AT252" i="1"/>
  <c r="AO252" i="1"/>
  <c r="AB252" i="1"/>
  <c r="AQ252" i="1" s="1"/>
  <c r="X252" i="1"/>
  <c r="F252" i="1"/>
  <c r="E252" i="1"/>
  <c r="D252" i="1"/>
  <c r="B252" i="1"/>
  <c r="A252" i="1"/>
  <c r="BM251" i="1"/>
  <c r="BK251" i="1"/>
  <c r="BL251" i="1" s="1"/>
  <c r="BE251" i="1"/>
  <c r="BD251" i="1"/>
  <c r="BC251" i="1"/>
  <c r="BA251" i="1"/>
  <c r="AX251" i="1"/>
  <c r="AW251" i="1"/>
  <c r="AV251" i="1"/>
  <c r="AU251" i="1"/>
  <c r="AT251" i="1"/>
  <c r="AQ251" i="1"/>
  <c r="AR251" i="1" s="1"/>
  <c r="AP251" i="1"/>
  <c r="AO251" i="1"/>
  <c r="AN251" i="1"/>
  <c r="AB251" i="1"/>
  <c r="X251" i="1"/>
  <c r="F251" i="1"/>
  <c r="E251" i="1"/>
  <c r="D251" i="1"/>
  <c r="B251" i="1"/>
  <c r="AY251" i="1" s="1"/>
  <c r="A251" i="1"/>
  <c r="BM250" i="1"/>
  <c r="BK250" i="1"/>
  <c r="BL250" i="1" s="1"/>
  <c r="BE250" i="1"/>
  <c r="BD250" i="1"/>
  <c r="BC250" i="1"/>
  <c r="BA250" i="1"/>
  <c r="AX250" i="1"/>
  <c r="AW250" i="1"/>
  <c r="AV250" i="1"/>
  <c r="AU250" i="1"/>
  <c r="AT250" i="1"/>
  <c r="AO250" i="1"/>
  <c r="AB250" i="1"/>
  <c r="AQ250" i="1" s="1"/>
  <c r="X250" i="1"/>
  <c r="F250" i="1"/>
  <c r="E250" i="1"/>
  <c r="D250" i="1"/>
  <c r="B250" i="1"/>
  <c r="AY250" i="1" s="1"/>
  <c r="A250" i="1"/>
  <c r="BM249" i="1"/>
  <c r="BK249" i="1"/>
  <c r="BL249" i="1" s="1"/>
  <c r="BE249" i="1"/>
  <c r="BD249" i="1"/>
  <c r="BC249" i="1"/>
  <c r="BA249" i="1"/>
  <c r="AX249" i="1"/>
  <c r="AW249" i="1"/>
  <c r="AV249" i="1"/>
  <c r="AU249" i="1"/>
  <c r="AT249" i="1"/>
  <c r="AQ249" i="1"/>
  <c r="AR249" i="1" s="1"/>
  <c r="AP249" i="1"/>
  <c r="AO249" i="1"/>
  <c r="AN249" i="1"/>
  <c r="AB249" i="1"/>
  <c r="AM249" i="1" s="1"/>
  <c r="X249" i="1"/>
  <c r="F249" i="1"/>
  <c r="E249" i="1"/>
  <c r="D249" i="1"/>
  <c r="B249" i="1"/>
  <c r="AY249" i="1" s="1"/>
  <c r="A249" i="1"/>
  <c r="BM248" i="1"/>
  <c r="BK248" i="1"/>
  <c r="BL248" i="1" s="1"/>
  <c r="BE248" i="1"/>
  <c r="BD248" i="1"/>
  <c r="BC248" i="1"/>
  <c r="BA248" i="1"/>
  <c r="AX248" i="1"/>
  <c r="AW248" i="1"/>
  <c r="AV248" i="1"/>
  <c r="AU248" i="1"/>
  <c r="AT248" i="1"/>
  <c r="AO248" i="1"/>
  <c r="AB248" i="1"/>
  <c r="X248" i="1"/>
  <c r="F248" i="1"/>
  <c r="E248" i="1"/>
  <c r="D248" i="1"/>
  <c r="B248" i="1"/>
  <c r="AY248" i="1" s="1"/>
  <c r="A248" i="1"/>
  <c r="BM247" i="1"/>
  <c r="BK247" i="1"/>
  <c r="BL247" i="1" s="1"/>
  <c r="BE247" i="1"/>
  <c r="BD247" i="1"/>
  <c r="BC247" i="1"/>
  <c r="BA247" i="1"/>
  <c r="AX247" i="1"/>
  <c r="AW247" i="1"/>
  <c r="AV247" i="1"/>
  <c r="AU247" i="1"/>
  <c r="AT247" i="1"/>
  <c r="AQ247" i="1"/>
  <c r="AR247" i="1" s="1"/>
  <c r="AP247" i="1"/>
  <c r="AO247" i="1"/>
  <c r="AN247" i="1"/>
  <c r="AB247" i="1"/>
  <c r="AM247" i="1" s="1"/>
  <c r="X247" i="1"/>
  <c r="F247" i="1"/>
  <c r="E247" i="1"/>
  <c r="D247" i="1"/>
  <c r="B247" i="1"/>
  <c r="AY247" i="1" s="1"/>
  <c r="A247" i="1"/>
  <c r="BM246" i="1"/>
  <c r="BK246" i="1"/>
  <c r="BL246" i="1" s="1"/>
  <c r="BE246" i="1"/>
  <c r="BD246" i="1"/>
  <c r="BC246" i="1"/>
  <c r="BA246" i="1"/>
  <c r="AX246" i="1"/>
  <c r="AW246" i="1"/>
  <c r="AV246" i="1"/>
  <c r="AU246" i="1"/>
  <c r="AT246" i="1"/>
  <c r="AQ246" i="1"/>
  <c r="AR246" i="1" s="1"/>
  <c r="AP246" i="1"/>
  <c r="AO246" i="1"/>
  <c r="AB246" i="1"/>
  <c r="AM246" i="1" s="1"/>
  <c r="X246" i="1"/>
  <c r="F246" i="1"/>
  <c r="E246" i="1"/>
  <c r="D246" i="1"/>
  <c r="B246" i="1"/>
  <c r="AY246" i="1" s="1"/>
  <c r="A246" i="1"/>
  <c r="BM245" i="1"/>
  <c r="BK245" i="1"/>
  <c r="BL245" i="1" s="1"/>
  <c r="BE245" i="1"/>
  <c r="BD245" i="1"/>
  <c r="BC245" i="1"/>
  <c r="BA245" i="1"/>
  <c r="AX245" i="1"/>
  <c r="AW245" i="1"/>
  <c r="AV245" i="1"/>
  <c r="AU245" i="1"/>
  <c r="AT245" i="1"/>
  <c r="AO245" i="1"/>
  <c r="AB245" i="1"/>
  <c r="AQ245" i="1" s="1"/>
  <c r="AR245" i="1" s="1"/>
  <c r="X245" i="1"/>
  <c r="F245" i="1"/>
  <c r="E245" i="1"/>
  <c r="D245" i="1"/>
  <c r="B245" i="1"/>
  <c r="AY245" i="1" s="1"/>
  <c r="A245" i="1"/>
  <c r="BM244" i="1"/>
  <c r="BK244" i="1"/>
  <c r="BL244" i="1" s="1"/>
  <c r="BE244" i="1"/>
  <c r="BD244" i="1"/>
  <c r="BC244" i="1"/>
  <c r="BA244" i="1"/>
  <c r="AX244" i="1"/>
  <c r="AW244" i="1"/>
  <c r="AV244" i="1"/>
  <c r="AU244" i="1"/>
  <c r="AT244" i="1"/>
  <c r="AO244" i="1"/>
  <c r="AB244" i="1"/>
  <c r="AQ244" i="1" s="1"/>
  <c r="X244" i="1"/>
  <c r="F244" i="1"/>
  <c r="E244" i="1"/>
  <c r="D244" i="1"/>
  <c r="B244" i="1"/>
  <c r="A244" i="1"/>
  <c r="BM243" i="1"/>
  <c r="BK243" i="1"/>
  <c r="BL243" i="1" s="1"/>
  <c r="BE243" i="1"/>
  <c r="BD243" i="1"/>
  <c r="BC243" i="1"/>
  <c r="BA243" i="1"/>
  <c r="AX243" i="1"/>
  <c r="AW243" i="1"/>
  <c r="AV243" i="1"/>
  <c r="AU243" i="1"/>
  <c r="AT243" i="1"/>
  <c r="AQ243" i="1"/>
  <c r="AR243" i="1" s="1"/>
  <c r="AP243" i="1"/>
  <c r="AO243" i="1"/>
  <c r="AN243" i="1"/>
  <c r="AB243" i="1"/>
  <c r="AM243" i="1" s="1"/>
  <c r="X243" i="1"/>
  <c r="F243" i="1"/>
  <c r="E243" i="1"/>
  <c r="D243" i="1"/>
  <c r="B243" i="1"/>
  <c r="AY243" i="1" s="1"/>
  <c r="A243" i="1"/>
  <c r="BM242" i="1"/>
  <c r="BK242" i="1"/>
  <c r="BL242" i="1" s="1"/>
  <c r="BE242" i="1"/>
  <c r="BD242" i="1"/>
  <c r="BC242" i="1"/>
  <c r="BA242" i="1"/>
  <c r="AX242" i="1"/>
  <c r="AW242" i="1"/>
  <c r="AV242" i="1"/>
  <c r="AU242" i="1"/>
  <c r="AT242" i="1"/>
  <c r="AQ242" i="1"/>
  <c r="AR242" i="1" s="1"/>
  <c r="AP242" i="1"/>
  <c r="AN242" i="1"/>
  <c r="AE242" i="1"/>
  <c r="AB242" i="1"/>
  <c r="AM242" i="1" s="1"/>
  <c r="X242" i="1"/>
  <c r="F242" i="1"/>
  <c r="E242" i="1"/>
  <c r="D242" i="1"/>
  <c r="B242" i="1"/>
  <c r="AY242" i="1" s="1"/>
  <c r="A242" i="1"/>
  <c r="BM241" i="1"/>
  <c r="BK241" i="1"/>
  <c r="BL241" i="1" s="1"/>
  <c r="BE241" i="1"/>
  <c r="BD241" i="1"/>
  <c r="BC241" i="1"/>
  <c r="BA241" i="1"/>
  <c r="AX241" i="1"/>
  <c r="AW241" i="1"/>
  <c r="AV241" i="1"/>
  <c r="AU241" i="1"/>
  <c r="AT241" i="1"/>
  <c r="AQ241" i="1"/>
  <c r="AR241" i="1" s="1"/>
  <c r="AP241" i="1"/>
  <c r="AN241" i="1"/>
  <c r="AE241" i="1"/>
  <c r="AB241" i="1"/>
  <c r="AM241" i="1" s="1"/>
  <c r="X241" i="1"/>
  <c r="F241" i="1"/>
  <c r="E241" i="1"/>
  <c r="D241" i="1"/>
  <c r="B241" i="1"/>
  <c r="AY241" i="1" s="1"/>
  <c r="A241" i="1"/>
  <c r="BM240" i="1"/>
  <c r="BK240" i="1"/>
  <c r="BL240" i="1" s="1"/>
  <c r="BE240" i="1"/>
  <c r="BD240" i="1"/>
  <c r="BC240" i="1"/>
  <c r="BA240" i="1"/>
  <c r="AX240" i="1"/>
  <c r="AW240" i="1"/>
  <c r="AV240" i="1"/>
  <c r="AU240" i="1"/>
  <c r="AT240" i="1"/>
  <c r="AO240" i="1"/>
  <c r="AN240" i="1"/>
  <c r="AB240" i="1"/>
  <c r="X240" i="1"/>
  <c r="F240" i="1"/>
  <c r="E240" i="1"/>
  <c r="D240" i="1"/>
  <c r="B240" i="1"/>
  <c r="AY240" i="1" s="1"/>
  <c r="A240" i="1"/>
  <c r="BM239" i="1"/>
  <c r="BK239" i="1"/>
  <c r="BL239" i="1" s="1"/>
  <c r="BE239" i="1"/>
  <c r="BD239" i="1"/>
  <c r="BC239" i="1"/>
  <c r="BA239" i="1"/>
  <c r="AX239" i="1"/>
  <c r="AW239" i="1"/>
  <c r="AV239" i="1"/>
  <c r="AU239" i="1"/>
  <c r="AT239" i="1"/>
  <c r="AQ239" i="1"/>
  <c r="AR239" i="1" s="1"/>
  <c r="AP239" i="1"/>
  <c r="AN239" i="1"/>
  <c r="AE239" i="1"/>
  <c r="AB239" i="1"/>
  <c r="AM239" i="1" s="1"/>
  <c r="X239" i="1"/>
  <c r="F239" i="1"/>
  <c r="E239" i="1"/>
  <c r="D239" i="1"/>
  <c r="B239" i="1"/>
  <c r="AY239" i="1" s="1"/>
  <c r="A239" i="1"/>
  <c r="BM238" i="1"/>
  <c r="BK238" i="1"/>
  <c r="BL238" i="1" s="1"/>
  <c r="BE238" i="1"/>
  <c r="BD238" i="1"/>
  <c r="BC238" i="1"/>
  <c r="BA238" i="1"/>
  <c r="AX238" i="1"/>
  <c r="AW238" i="1"/>
  <c r="AV238" i="1"/>
  <c r="AU238" i="1"/>
  <c r="AT238" i="1"/>
  <c r="AQ238" i="1"/>
  <c r="AR238" i="1" s="1"/>
  <c r="AP238" i="1"/>
  <c r="AN238" i="1"/>
  <c r="AE238" i="1"/>
  <c r="AB238" i="1"/>
  <c r="AM238" i="1" s="1"/>
  <c r="X238" i="1"/>
  <c r="F238" i="1"/>
  <c r="E238" i="1"/>
  <c r="D238" i="1"/>
  <c r="B238" i="1"/>
  <c r="AY238" i="1" s="1"/>
  <c r="A238" i="1"/>
  <c r="BM237" i="1"/>
  <c r="BK237" i="1"/>
  <c r="BL237" i="1" s="1"/>
  <c r="BE237" i="1"/>
  <c r="BD237" i="1"/>
  <c r="BC237" i="1"/>
  <c r="BA237" i="1"/>
  <c r="AX237" i="1"/>
  <c r="AW237" i="1"/>
  <c r="AV237" i="1"/>
  <c r="AU237" i="1"/>
  <c r="AT237" i="1"/>
  <c r="AO237" i="1"/>
  <c r="AN237" i="1"/>
  <c r="AB237" i="1"/>
  <c r="AP237" i="1" s="1"/>
  <c r="X237" i="1"/>
  <c r="F237" i="1"/>
  <c r="E237" i="1"/>
  <c r="D237" i="1"/>
  <c r="B237" i="1"/>
  <c r="AY237" i="1" s="1"/>
  <c r="A237" i="1"/>
  <c r="BM236" i="1"/>
  <c r="BK236" i="1"/>
  <c r="BL236" i="1" s="1"/>
  <c r="BE236" i="1"/>
  <c r="BD236" i="1"/>
  <c r="BC236" i="1"/>
  <c r="BA236" i="1"/>
  <c r="AX236" i="1"/>
  <c r="AW236" i="1"/>
  <c r="AV236" i="1"/>
  <c r="AU236" i="1"/>
  <c r="AT236" i="1"/>
  <c r="AQ236" i="1"/>
  <c r="AR236" i="1" s="1"/>
  <c r="AP236" i="1"/>
  <c r="AN236" i="1"/>
  <c r="AE236" i="1"/>
  <c r="AB236" i="1"/>
  <c r="AM236" i="1" s="1"/>
  <c r="X236" i="1"/>
  <c r="F236" i="1"/>
  <c r="E236" i="1"/>
  <c r="D236" i="1"/>
  <c r="B236" i="1"/>
  <c r="AY236" i="1" s="1"/>
  <c r="A236" i="1"/>
  <c r="BM235" i="1"/>
  <c r="BK235" i="1"/>
  <c r="BL235" i="1" s="1"/>
  <c r="BE235" i="1"/>
  <c r="BD235" i="1"/>
  <c r="BC235" i="1"/>
  <c r="BA235" i="1"/>
  <c r="AX235" i="1"/>
  <c r="AW235" i="1"/>
  <c r="AV235" i="1"/>
  <c r="AU235" i="1"/>
  <c r="AT235" i="1"/>
  <c r="AQ235" i="1"/>
  <c r="AR235" i="1" s="1"/>
  <c r="AP235" i="1"/>
  <c r="AN235" i="1"/>
  <c r="AE235" i="1"/>
  <c r="AB235" i="1"/>
  <c r="AM235" i="1" s="1"/>
  <c r="X235" i="1"/>
  <c r="F235" i="1"/>
  <c r="E235" i="1"/>
  <c r="D235" i="1"/>
  <c r="B235" i="1"/>
  <c r="AY235" i="1" s="1"/>
  <c r="A235" i="1"/>
  <c r="BM234" i="1"/>
  <c r="BK234" i="1"/>
  <c r="BL234" i="1" s="1"/>
  <c r="BE234" i="1"/>
  <c r="BD234" i="1"/>
  <c r="BC234" i="1"/>
  <c r="BA234" i="1"/>
  <c r="AX234" i="1"/>
  <c r="AW234" i="1"/>
  <c r="AV234" i="1"/>
  <c r="AU234" i="1"/>
  <c r="AT234" i="1"/>
  <c r="AO234" i="1"/>
  <c r="AN234" i="1"/>
  <c r="AB234" i="1"/>
  <c r="AQ234" i="1" s="1"/>
  <c r="AR234" i="1" s="1"/>
  <c r="X234" i="1"/>
  <c r="F234" i="1"/>
  <c r="E234" i="1"/>
  <c r="D234" i="1"/>
  <c r="B234" i="1"/>
  <c r="AY234" i="1" s="1"/>
  <c r="A234" i="1"/>
  <c r="BJ233" i="1"/>
  <c r="BH233" i="1"/>
  <c r="BI233" i="1" s="1"/>
  <c r="BE233" i="1"/>
  <c r="BD233" i="1"/>
  <c r="BC233" i="1"/>
  <c r="BA233" i="1"/>
  <c r="AX233" i="1"/>
  <c r="AW233" i="1"/>
  <c r="AV233" i="1"/>
  <c r="AU233" i="1"/>
  <c r="AT233" i="1"/>
  <c r="AQ233" i="1"/>
  <c r="AR233" i="1" s="1"/>
  <c r="AP233" i="1"/>
  <c r="AN233" i="1"/>
  <c r="AE233" i="1"/>
  <c r="AB233" i="1"/>
  <c r="AM233" i="1" s="1"/>
  <c r="X233" i="1"/>
  <c r="F233" i="1"/>
  <c r="E233" i="1"/>
  <c r="D233" i="1"/>
  <c r="B233" i="1"/>
  <c r="AY233" i="1" s="1"/>
  <c r="A233" i="1"/>
  <c r="BJ232" i="1"/>
  <c r="BH232" i="1"/>
  <c r="BI232" i="1" s="1"/>
  <c r="BE232" i="1"/>
  <c r="BD232" i="1"/>
  <c r="BC232" i="1"/>
  <c r="BA232" i="1"/>
  <c r="AX232" i="1"/>
  <c r="AW232" i="1"/>
  <c r="AV232" i="1"/>
  <c r="AU232" i="1"/>
  <c r="AT232" i="1"/>
  <c r="AQ232" i="1"/>
  <c r="AR232" i="1" s="1"/>
  <c r="AP232" i="1"/>
  <c r="AN232" i="1"/>
  <c r="AE232" i="1"/>
  <c r="AB232" i="1"/>
  <c r="AM232" i="1" s="1"/>
  <c r="X232" i="1"/>
  <c r="F232" i="1"/>
  <c r="E232" i="1"/>
  <c r="D232" i="1"/>
  <c r="B232" i="1"/>
  <c r="AY232" i="1" s="1"/>
  <c r="A232" i="1"/>
  <c r="BJ231" i="1"/>
  <c r="BH231" i="1"/>
  <c r="BI231" i="1" s="1"/>
  <c r="BE231" i="1"/>
  <c r="BD231" i="1"/>
  <c r="BC231" i="1"/>
  <c r="BA231" i="1"/>
  <c r="AX231" i="1"/>
  <c r="AW231" i="1"/>
  <c r="AV231" i="1"/>
  <c r="AU231" i="1"/>
  <c r="AT231" i="1"/>
  <c r="AQ231" i="1"/>
  <c r="AR231" i="1" s="1"/>
  <c r="AP231" i="1"/>
  <c r="AN231" i="1"/>
  <c r="AE231" i="1"/>
  <c r="AB231" i="1"/>
  <c r="AM231" i="1" s="1"/>
  <c r="X231" i="1"/>
  <c r="F231" i="1"/>
  <c r="E231" i="1"/>
  <c r="D231" i="1"/>
  <c r="B231" i="1"/>
  <c r="AY231" i="1" s="1"/>
  <c r="A231" i="1"/>
  <c r="BJ230" i="1"/>
  <c r="BH230" i="1"/>
  <c r="BI230" i="1" s="1"/>
  <c r="BE230" i="1"/>
  <c r="BD230" i="1"/>
  <c r="BC230" i="1"/>
  <c r="BA230" i="1"/>
  <c r="AX230" i="1"/>
  <c r="AW230" i="1"/>
  <c r="AV230" i="1"/>
  <c r="AU230" i="1"/>
  <c r="AT230" i="1"/>
  <c r="AQ230" i="1"/>
  <c r="AR230" i="1" s="1"/>
  <c r="AP230" i="1"/>
  <c r="AN230" i="1"/>
  <c r="AE230" i="1"/>
  <c r="AB230" i="1"/>
  <c r="AM230" i="1" s="1"/>
  <c r="X230" i="1"/>
  <c r="F230" i="1"/>
  <c r="E230" i="1"/>
  <c r="D230" i="1"/>
  <c r="B230" i="1"/>
  <c r="AY230" i="1" s="1"/>
  <c r="A230" i="1"/>
  <c r="BJ229" i="1"/>
  <c r="BH229" i="1"/>
  <c r="BI229" i="1" s="1"/>
  <c r="BE229" i="1"/>
  <c r="BD229" i="1"/>
  <c r="BC229" i="1"/>
  <c r="BA229" i="1"/>
  <c r="AX229" i="1"/>
  <c r="AW229" i="1"/>
  <c r="AV229" i="1"/>
  <c r="AU229" i="1"/>
  <c r="AT229" i="1"/>
  <c r="AQ229" i="1"/>
  <c r="AR229" i="1" s="1"/>
  <c r="AP229" i="1"/>
  <c r="AN229" i="1"/>
  <c r="AE229" i="1"/>
  <c r="AB229" i="1"/>
  <c r="AM229" i="1" s="1"/>
  <c r="X229" i="1"/>
  <c r="F229" i="1"/>
  <c r="E229" i="1"/>
  <c r="D229" i="1"/>
  <c r="B229" i="1"/>
  <c r="AY229" i="1" s="1"/>
  <c r="A229" i="1"/>
  <c r="BJ228" i="1"/>
  <c r="BH228" i="1"/>
  <c r="BI228" i="1" s="1"/>
  <c r="BE228" i="1"/>
  <c r="BD228" i="1"/>
  <c r="BC228" i="1"/>
  <c r="BA228" i="1"/>
  <c r="AX228" i="1"/>
  <c r="AW228" i="1"/>
  <c r="AV228" i="1"/>
  <c r="AU228" i="1"/>
  <c r="AT228" i="1"/>
  <c r="AQ228" i="1"/>
  <c r="AR228" i="1" s="1"/>
  <c r="AP228" i="1"/>
  <c r="AN228" i="1"/>
  <c r="AE228" i="1"/>
  <c r="AB228" i="1"/>
  <c r="AM228" i="1" s="1"/>
  <c r="X228" i="1"/>
  <c r="F228" i="1"/>
  <c r="E228" i="1"/>
  <c r="D228" i="1"/>
  <c r="B228" i="1"/>
  <c r="AY228" i="1" s="1"/>
  <c r="A228" i="1"/>
  <c r="BJ227" i="1"/>
  <c r="BH227" i="1"/>
  <c r="BI227" i="1" s="1"/>
  <c r="BE227" i="1"/>
  <c r="BD227" i="1"/>
  <c r="BC227" i="1"/>
  <c r="BA227" i="1"/>
  <c r="AX227" i="1"/>
  <c r="AW227" i="1"/>
  <c r="AV227" i="1"/>
  <c r="AU227" i="1"/>
  <c r="AT227" i="1"/>
  <c r="AQ227" i="1"/>
  <c r="AR227" i="1" s="1"/>
  <c r="AP227" i="1"/>
  <c r="AN227" i="1"/>
  <c r="AE227" i="1"/>
  <c r="AB227" i="1"/>
  <c r="AM227" i="1" s="1"/>
  <c r="X227" i="1"/>
  <c r="F227" i="1"/>
  <c r="E227" i="1"/>
  <c r="D227" i="1"/>
  <c r="B227" i="1"/>
  <c r="AY227" i="1" s="1"/>
  <c r="A227" i="1"/>
  <c r="BJ226" i="1"/>
  <c r="BH226" i="1"/>
  <c r="BI226" i="1" s="1"/>
  <c r="BE226" i="1"/>
  <c r="BD226" i="1"/>
  <c r="BC226" i="1"/>
  <c r="BA226" i="1"/>
  <c r="AX226" i="1"/>
  <c r="AW226" i="1"/>
  <c r="AV226" i="1"/>
  <c r="AU226" i="1"/>
  <c r="AT226" i="1"/>
  <c r="AQ226" i="1"/>
  <c r="AR226" i="1" s="1"/>
  <c r="AP226" i="1"/>
  <c r="AN226" i="1"/>
  <c r="AE226" i="1"/>
  <c r="AB226" i="1"/>
  <c r="AM226" i="1" s="1"/>
  <c r="X226" i="1"/>
  <c r="F226" i="1"/>
  <c r="E226" i="1"/>
  <c r="D226" i="1"/>
  <c r="B226" i="1"/>
  <c r="AY226" i="1" s="1"/>
  <c r="A226" i="1"/>
  <c r="BJ225" i="1"/>
  <c r="BH225" i="1"/>
  <c r="BI225" i="1" s="1"/>
  <c r="BE225" i="1"/>
  <c r="BD225" i="1"/>
  <c r="BC225" i="1"/>
  <c r="BA225" i="1"/>
  <c r="AX225" i="1"/>
  <c r="AW225" i="1"/>
  <c r="AV225" i="1"/>
  <c r="AU225" i="1"/>
  <c r="AT225" i="1"/>
  <c r="AQ225" i="1"/>
  <c r="AR225" i="1" s="1"/>
  <c r="AP225" i="1"/>
  <c r="AN225" i="1"/>
  <c r="AE225" i="1"/>
  <c r="AB225" i="1"/>
  <c r="AM225" i="1" s="1"/>
  <c r="X225" i="1"/>
  <c r="F225" i="1"/>
  <c r="E225" i="1"/>
  <c r="D225" i="1"/>
  <c r="B225" i="1"/>
  <c r="AY225" i="1" s="1"/>
  <c r="A225" i="1"/>
  <c r="BJ224" i="1"/>
  <c r="BH224" i="1"/>
  <c r="BI224" i="1" s="1"/>
  <c r="BE224" i="1"/>
  <c r="BD224" i="1"/>
  <c r="BC224" i="1"/>
  <c r="BA224" i="1"/>
  <c r="AX224" i="1"/>
  <c r="AW224" i="1"/>
  <c r="AV224" i="1"/>
  <c r="AU224" i="1"/>
  <c r="AT224" i="1"/>
  <c r="AQ224" i="1"/>
  <c r="AR224" i="1" s="1"/>
  <c r="AP224" i="1"/>
  <c r="AN224" i="1"/>
  <c r="AE224" i="1"/>
  <c r="AB224" i="1"/>
  <c r="AM224" i="1" s="1"/>
  <c r="X224" i="1"/>
  <c r="F224" i="1"/>
  <c r="E224" i="1"/>
  <c r="D224" i="1"/>
  <c r="B224" i="1"/>
  <c r="AY224" i="1" s="1"/>
  <c r="A224" i="1"/>
  <c r="BJ223" i="1"/>
  <c r="BH223" i="1"/>
  <c r="BI223" i="1" s="1"/>
  <c r="BE223" i="1"/>
  <c r="BD223" i="1"/>
  <c r="BC223" i="1"/>
  <c r="BA223" i="1"/>
  <c r="AX223" i="1"/>
  <c r="AW223" i="1"/>
  <c r="AV223" i="1"/>
  <c r="AU223" i="1"/>
  <c r="AT223" i="1"/>
  <c r="AO223" i="1"/>
  <c r="AN223" i="1"/>
  <c r="AB223" i="1"/>
  <c r="X223" i="1"/>
  <c r="F223" i="1"/>
  <c r="E223" i="1"/>
  <c r="D223" i="1"/>
  <c r="B223" i="1"/>
  <c r="AY223" i="1" s="1"/>
  <c r="A223" i="1"/>
  <c r="BM222" i="1"/>
  <c r="BK222" i="1"/>
  <c r="BL222" i="1" s="1"/>
  <c r="BE222" i="1"/>
  <c r="BD222" i="1"/>
  <c r="BC222" i="1"/>
  <c r="BA222" i="1"/>
  <c r="AX222" i="1"/>
  <c r="AW222" i="1"/>
  <c r="AV222" i="1"/>
  <c r="AU222" i="1"/>
  <c r="AT222" i="1"/>
  <c r="AQ222" i="1"/>
  <c r="AR222" i="1" s="1"/>
  <c r="AP222" i="1"/>
  <c r="AN222" i="1"/>
  <c r="AE222" i="1"/>
  <c r="AB222" i="1"/>
  <c r="AM222" i="1" s="1"/>
  <c r="X222" i="1"/>
  <c r="F222" i="1"/>
  <c r="E222" i="1"/>
  <c r="D222" i="1"/>
  <c r="B222" i="1"/>
  <c r="AY222" i="1" s="1"/>
  <c r="A222" i="1"/>
  <c r="BM221" i="1"/>
  <c r="BK221" i="1"/>
  <c r="BL221" i="1" s="1"/>
  <c r="BE221" i="1"/>
  <c r="BD221" i="1"/>
  <c r="BC221" i="1"/>
  <c r="BA221" i="1"/>
  <c r="AX221" i="1"/>
  <c r="AW221" i="1"/>
  <c r="AV221" i="1"/>
  <c r="AU221" i="1"/>
  <c r="AT221" i="1"/>
  <c r="AQ221" i="1"/>
  <c r="AR221" i="1" s="1"/>
  <c r="AP221" i="1"/>
  <c r="AN221" i="1"/>
  <c r="AE221" i="1"/>
  <c r="AB221" i="1"/>
  <c r="AM221" i="1" s="1"/>
  <c r="X221" i="1"/>
  <c r="F221" i="1"/>
  <c r="E221" i="1"/>
  <c r="D221" i="1"/>
  <c r="B221" i="1"/>
  <c r="AY221" i="1" s="1"/>
  <c r="A221" i="1"/>
  <c r="BM220" i="1"/>
  <c r="BK220" i="1"/>
  <c r="BL220" i="1" s="1"/>
  <c r="BE220" i="1"/>
  <c r="BD220" i="1"/>
  <c r="BC220" i="1"/>
  <c r="BA220" i="1"/>
  <c r="AX220" i="1"/>
  <c r="AW220" i="1"/>
  <c r="AV220" i="1"/>
  <c r="AU220" i="1"/>
  <c r="AT220" i="1"/>
  <c r="AQ220" i="1"/>
  <c r="AR220" i="1" s="1"/>
  <c r="AP220" i="1"/>
  <c r="AN220" i="1"/>
  <c r="AE220" i="1"/>
  <c r="AB220" i="1"/>
  <c r="AM220" i="1" s="1"/>
  <c r="X220" i="1"/>
  <c r="F220" i="1"/>
  <c r="E220" i="1"/>
  <c r="D220" i="1"/>
  <c r="B220" i="1"/>
  <c r="AY220" i="1" s="1"/>
  <c r="A220" i="1"/>
  <c r="BM219" i="1"/>
  <c r="BK219" i="1"/>
  <c r="BL219" i="1" s="1"/>
  <c r="BE219" i="1"/>
  <c r="BD219" i="1"/>
  <c r="BC219" i="1"/>
  <c r="BA219" i="1"/>
  <c r="AX219" i="1"/>
  <c r="AW219" i="1"/>
  <c r="AV219" i="1"/>
  <c r="AU219" i="1"/>
  <c r="AT219" i="1"/>
  <c r="AQ219" i="1"/>
  <c r="AR219" i="1" s="1"/>
  <c r="AP219" i="1"/>
  <c r="AN219" i="1"/>
  <c r="AE219" i="1"/>
  <c r="AB219" i="1"/>
  <c r="AM219" i="1" s="1"/>
  <c r="X219" i="1"/>
  <c r="F219" i="1"/>
  <c r="E219" i="1"/>
  <c r="D219" i="1"/>
  <c r="B219" i="1"/>
  <c r="AY219" i="1" s="1"/>
  <c r="A219" i="1"/>
  <c r="BM218" i="1"/>
  <c r="BK218" i="1"/>
  <c r="BL218" i="1" s="1"/>
  <c r="BE218" i="1"/>
  <c r="BD218" i="1"/>
  <c r="BC218" i="1"/>
  <c r="BA218" i="1"/>
  <c r="AX218" i="1"/>
  <c r="AW218" i="1"/>
  <c r="AV218" i="1"/>
  <c r="AU218" i="1"/>
  <c r="AT218" i="1"/>
  <c r="AQ218" i="1"/>
  <c r="AR218" i="1" s="1"/>
  <c r="AP218" i="1"/>
  <c r="AN218" i="1"/>
  <c r="AE218" i="1"/>
  <c r="AB218" i="1"/>
  <c r="AM218" i="1" s="1"/>
  <c r="X218" i="1"/>
  <c r="F218" i="1"/>
  <c r="E218" i="1"/>
  <c r="D218" i="1"/>
  <c r="B218" i="1"/>
  <c r="AY218" i="1" s="1"/>
  <c r="A218" i="1"/>
  <c r="BM217" i="1"/>
  <c r="BK217" i="1"/>
  <c r="BL217" i="1" s="1"/>
  <c r="BE217" i="1"/>
  <c r="BD217" i="1"/>
  <c r="BC217" i="1"/>
  <c r="BA217" i="1"/>
  <c r="AX217" i="1"/>
  <c r="AW217" i="1"/>
  <c r="AV217" i="1"/>
  <c r="AU217" i="1"/>
  <c r="AT217" i="1"/>
  <c r="AQ217" i="1"/>
  <c r="AR217" i="1" s="1"/>
  <c r="AP217" i="1"/>
  <c r="AN217" i="1"/>
  <c r="AE217" i="1"/>
  <c r="AB217" i="1"/>
  <c r="AM217" i="1" s="1"/>
  <c r="X217" i="1"/>
  <c r="F217" i="1"/>
  <c r="E217" i="1"/>
  <c r="D217" i="1"/>
  <c r="B217" i="1"/>
  <c r="AY217" i="1" s="1"/>
  <c r="A217" i="1"/>
  <c r="BM216" i="1"/>
  <c r="BK216" i="1"/>
  <c r="BL216" i="1" s="1"/>
  <c r="BE216" i="1"/>
  <c r="BD216" i="1"/>
  <c r="BC216" i="1"/>
  <c r="BA216" i="1"/>
  <c r="AX216" i="1"/>
  <c r="AW216" i="1"/>
  <c r="AV216" i="1"/>
  <c r="AU216" i="1"/>
  <c r="AT216" i="1"/>
  <c r="AQ216" i="1"/>
  <c r="AR216" i="1" s="1"/>
  <c r="AP216" i="1"/>
  <c r="AN216" i="1"/>
  <c r="AE216" i="1"/>
  <c r="AB216" i="1"/>
  <c r="AM216" i="1" s="1"/>
  <c r="X216" i="1"/>
  <c r="F216" i="1"/>
  <c r="E216" i="1"/>
  <c r="D216" i="1"/>
  <c r="B216" i="1"/>
  <c r="AY216" i="1" s="1"/>
  <c r="A216" i="1"/>
  <c r="BM215" i="1"/>
  <c r="BK215" i="1"/>
  <c r="BL215" i="1" s="1"/>
  <c r="BE215" i="1"/>
  <c r="BD215" i="1"/>
  <c r="BC215" i="1"/>
  <c r="BA215" i="1"/>
  <c r="AX215" i="1"/>
  <c r="AW215" i="1"/>
  <c r="AV215" i="1"/>
  <c r="AU215" i="1"/>
  <c r="AT215" i="1"/>
  <c r="AQ215" i="1"/>
  <c r="AR215" i="1" s="1"/>
  <c r="AP215" i="1"/>
  <c r="AN215" i="1"/>
  <c r="AE215" i="1"/>
  <c r="AB215" i="1"/>
  <c r="AM215" i="1" s="1"/>
  <c r="X215" i="1"/>
  <c r="F215" i="1"/>
  <c r="E215" i="1"/>
  <c r="D215" i="1"/>
  <c r="B215" i="1"/>
  <c r="AY215" i="1" s="1"/>
  <c r="A215" i="1"/>
  <c r="BM214" i="1"/>
  <c r="BK214" i="1"/>
  <c r="BL214" i="1" s="1"/>
  <c r="BE214" i="1"/>
  <c r="BD214" i="1"/>
  <c r="BC214" i="1"/>
  <c r="BA214" i="1"/>
  <c r="AX214" i="1"/>
  <c r="AW214" i="1"/>
  <c r="AV214" i="1"/>
  <c r="AU214" i="1"/>
  <c r="AT214" i="1"/>
  <c r="AQ214" i="1"/>
  <c r="AR214" i="1" s="1"/>
  <c r="AP214" i="1"/>
  <c r="AN214" i="1"/>
  <c r="AE214" i="1"/>
  <c r="AB214" i="1"/>
  <c r="AM214" i="1" s="1"/>
  <c r="X214" i="1"/>
  <c r="F214" i="1"/>
  <c r="E214" i="1"/>
  <c r="D214" i="1"/>
  <c r="B214" i="1"/>
  <c r="AY214" i="1" s="1"/>
  <c r="A214" i="1"/>
  <c r="BM213" i="1"/>
  <c r="BK213" i="1"/>
  <c r="BL213" i="1" s="1"/>
  <c r="BE213" i="1"/>
  <c r="BD213" i="1"/>
  <c r="BC213" i="1"/>
  <c r="BA213" i="1"/>
  <c r="AX213" i="1"/>
  <c r="AW213" i="1"/>
  <c r="AV213" i="1"/>
  <c r="AU213" i="1"/>
  <c r="AT213" i="1"/>
  <c r="AQ213" i="1"/>
  <c r="AR213" i="1" s="1"/>
  <c r="AP213" i="1"/>
  <c r="AN213" i="1"/>
  <c r="AE213" i="1"/>
  <c r="AB213" i="1"/>
  <c r="AM213" i="1" s="1"/>
  <c r="X213" i="1"/>
  <c r="F213" i="1"/>
  <c r="E213" i="1"/>
  <c r="D213" i="1"/>
  <c r="B213" i="1"/>
  <c r="AY213" i="1" s="1"/>
  <c r="A213" i="1"/>
  <c r="BM212" i="1"/>
  <c r="BK212" i="1"/>
  <c r="BL212" i="1" s="1"/>
  <c r="BE212" i="1"/>
  <c r="BD212" i="1"/>
  <c r="BC212" i="1"/>
  <c r="BA212" i="1"/>
  <c r="AX212" i="1"/>
  <c r="AW212" i="1"/>
  <c r="AV212" i="1"/>
  <c r="AU212" i="1"/>
  <c r="AT212" i="1"/>
  <c r="AO212" i="1"/>
  <c r="AN212" i="1"/>
  <c r="AB212" i="1"/>
  <c r="AQ212" i="1" s="1"/>
  <c r="AR212" i="1" s="1"/>
  <c r="X212" i="1"/>
  <c r="F212" i="1"/>
  <c r="E212" i="1"/>
  <c r="D212" i="1"/>
  <c r="B212" i="1"/>
  <c r="AY212" i="1" s="1"/>
  <c r="A212" i="1"/>
  <c r="BJ211" i="1"/>
  <c r="BH211" i="1"/>
  <c r="BI211" i="1" s="1"/>
  <c r="BE211" i="1"/>
  <c r="BD211" i="1"/>
  <c r="BC211" i="1"/>
  <c r="BA211" i="1"/>
  <c r="AX211" i="1"/>
  <c r="AW211" i="1"/>
  <c r="AV211" i="1"/>
  <c r="AU211" i="1"/>
  <c r="AT211" i="1"/>
  <c r="AQ211" i="1"/>
  <c r="AR211" i="1" s="1"/>
  <c r="AP211" i="1"/>
  <c r="AN211" i="1"/>
  <c r="AE211" i="1"/>
  <c r="AB211" i="1"/>
  <c r="AM211" i="1" s="1"/>
  <c r="X211" i="1"/>
  <c r="F211" i="1"/>
  <c r="E211" i="1"/>
  <c r="D211" i="1"/>
  <c r="B211" i="1"/>
  <c r="AY211" i="1" s="1"/>
  <c r="A211" i="1"/>
  <c r="BJ210" i="1"/>
  <c r="BH210" i="1"/>
  <c r="BI210" i="1" s="1"/>
  <c r="BE210" i="1"/>
  <c r="BD210" i="1"/>
  <c r="BC210" i="1"/>
  <c r="BA210" i="1"/>
  <c r="AX210" i="1"/>
  <c r="AW210" i="1"/>
  <c r="AV210" i="1"/>
  <c r="AU210" i="1"/>
  <c r="AT210" i="1"/>
  <c r="AQ210" i="1"/>
  <c r="AR210" i="1" s="1"/>
  <c r="AP210" i="1"/>
  <c r="AN210" i="1"/>
  <c r="AE210" i="1"/>
  <c r="AB210" i="1"/>
  <c r="AM210" i="1" s="1"/>
  <c r="X210" i="1"/>
  <c r="F210" i="1"/>
  <c r="E210" i="1"/>
  <c r="D210" i="1"/>
  <c r="B210" i="1"/>
  <c r="AY210" i="1" s="1"/>
  <c r="A210" i="1"/>
  <c r="BJ209" i="1"/>
  <c r="BH209" i="1"/>
  <c r="BI209" i="1" s="1"/>
  <c r="BE209" i="1"/>
  <c r="BD209" i="1"/>
  <c r="BC209" i="1"/>
  <c r="BA209" i="1"/>
  <c r="AX209" i="1"/>
  <c r="AW209" i="1"/>
  <c r="AV209" i="1"/>
  <c r="AU209" i="1"/>
  <c r="AT209" i="1"/>
  <c r="AQ209" i="1"/>
  <c r="AR209" i="1" s="1"/>
  <c r="AP209" i="1"/>
  <c r="AN209" i="1"/>
  <c r="AE209" i="1"/>
  <c r="AB209" i="1"/>
  <c r="AM209" i="1" s="1"/>
  <c r="X209" i="1"/>
  <c r="F209" i="1"/>
  <c r="E209" i="1"/>
  <c r="D209" i="1"/>
  <c r="B209" i="1"/>
  <c r="AY209" i="1" s="1"/>
  <c r="A209" i="1"/>
  <c r="BJ208" i="1"/>
  <c r="BH208" i="1"/>
  <c r="BI208" i="1" s="1"/>
  <c r="BE208" i="1"/>
  <c r="BD208" i="1"/>
  <c r="BC208" i="1"/>
  <c r="BA208" i="1"/>
  <c r="AX208" i="1"/>
  <c r="AW208" i="1"/>
  <c r="AV208" i="1"/>
  <c r="AU208" i="1"/>
  <c r="AT208" i="1"/>
  <c r="AQ208" i="1"/>
  <c r="AR208" i="1" s="1"/>
  <c r="AP208" i="1"/>
  <c r="AN208" i="1"/>
  <c r="AE208" i="1"/>
  <c r="AB208" i="1"/>
  <c r="AM208" i="1" s="1"/>
  <c r="X208" i="1"/>
  <c r="F208" i="1"/>
  <c r="E208" i="1"/>
  <c r="D208" i="1"/>
  <c r="B208" i="1"/>
  <c r="AY208" i="1" s="1"/>
  <c r="A208" i="1"/>
  <c r="BJ207" i="1"/>
  <c r="BH207" i="1"/>
  <c r="BI207" i="1" s="1"/>
  <c r="BE207" i="1"/>
  <c r="BD207" i="1"/>
  <c r="BC207" i="1"/>
  <c r="BA207" i="1"/>
  <c r="AX207" i="1"/>
  <c r="AW207" i="1"/>
  <c r="AV207" i="1"/>
  <c r="AU207" i="1"/>
  <c r="AT207" i="1"/>
  <c r="AQ207" i="1"/>
  <c r="AR207" i="1" s="1"/>
  <c r="AP207" i="1"/>
  <c r="AN207" i="1"/>
  <c r="AE207" i="1"/>
  <c r="AB207" i="1"/>
  <c r="AM207" i="1" s="1"/>
  <c r="X207" i="1"/>
  <c r="F207" i="1"/>
  <c r="E207" i="1"/>
  <c r="D207" i="1"/>
  <c r="B207" i="1"/>
  <c r="AY207" i="1" s="1"/>
  <c r="A207" i="1"/>
  <c r="BJ206" i="1"/>
  <c r="BH206" i="1"/>
  <c r="BI206" i="1" s="1"/>
  <c r="BE206" i="1"/>
  <c r="BD206" i="1"/>
  <c r="BC206" i="1"/>
  <c r="BA206" i="1"/>
  <c r="AX206" i="1"/>
  <c r="AW206" i="1"/>
  <c r="AV206" i="1"/>
  <c r="AU206" i="1"/>
  <c r="AT206" i="1"/>
  <c r="AQ206" i="1"/>
  <c r="AR206" i="1" s="1"/>
  <c r="AP206" i="1"/>
  <c r="AN206" i="1"/>
  <c r="AE206" i="1"/>
  <c r="AB206" i="1"/>
  <c r="AM206" i="1" s="1"/>
  <c r="X206" i="1"/>
  <c r="F206" i="1"/>
  <c r="E206" i="1"/>
  <c r="D206" i="1"/>
  <c r="B206" i="1"/>
  <c r="AY206" i="1" s="1"/>
  <c r="A206" i="1"/>
  <c r="BJ205" i="1"/>
  <c r="BH205" i="1"/>
  <c r="BI205" i="1" s="1"/>
  <c r="BE205" i="1"/>
  <c r="BD205" i="1"/>
  <c r="BC205" i="1"/>
  <c r="BA205" i="1"/>
  <c r="AX205" i="1"/>
  <c r="AW205" i="1"/>
  <c r="AV205" i="1"/>
  <c r="AU205" i="1"/>
  <c r="AT205" i="1"/>
  <c r="AQ205" i="1"/>
  <c r="AR205" i="1" s="1"/>
  <c r="AP205" i="1"/>
  <c r="AN205" i="1"/>
  <c r="AE205" i="1"/>
  <c r="AB205" i="1"/>
  <c r="AM205" i="1" s="1"/>
  <c r="X205" i="1"/>
  <c r="F205" i="1"/>
  <c r="E205" i="1"/>
  <c r="D205" i="1"/>
  <c r="B205" i="1"/>
  <c r="AY205" i="1" s="1"/>
  <c r="A205" i="1"/>
  <c r="BJ204" i="1"/>
  <c r="BH204" i="1"/>
  <c r="BI204" i="1" s="1"/>
  <c r="BE204" i="1"/>
  <c r="BD204" i="1"/>
  <c r="BC204" i="1"/>
  <c r="BA204" i="1"/>
  <c r="AX204" i="1"/>
  <c r="AW204" i="1"/>
  <c r="AV204" i="1"/>
  <c r="AU204" i="1"/>
  <c r="AT204" i="1"/>
  <c r="AQ204" i="1"/>
  <c r="AR204" i="1" s="1"/>
  <c r="AP204" i="1"/>
  <c r="AN204" i="1"/>
  <c r="AE204" i="1"/>
  <c r="AB204" i="1"/>
  <c r="AM204" i="1" s="1"/>
  <c r="X204" i="1"/>
  <c r="F204" i="1"/>
  <c r="E204" i="1"/>
  <c r="D204" i="1"/>
  <c r="B204" i="1"/>
  <c r="AY204" i="1" s="1"/>
  <c r="A204" i="1"/>
  <c r="BJ203" i="1"/>
  <c r="BH203" i="1"/>
  <c r="BI203" i="1" s="1"/>
  <c r="BE203" i="1"/>
  <c r="BD203" i="1"/>
  <c r="BC203" i="1"/>
  <c r="BA203" i="1"/>
  <c r="AX203" i="1"/>
  <c r="AW203" i="1"/>
  <c r="AV203" i="1"/>
  <c r="AU203" i="1"/>
  <c r="AT203" i="1"/>
  <c r="AQ203" i="1"/>
  <c r="AR203" i="1" s="1"/>
  <c r="AP203" i="1"/>
  <c r="AN203" i="1"/>
  <c r="AE203" i="1"/>
  <c r="AB203" i="1"/>
  <c r="AM203" i="1" s="1"/>
  <c r="X203" i="1"/>
  <c r="F203" i="1"/>
  <c r="E203" i="1"/>
  <c r="D203" i="1"/>
  <c r="B203" i="1"/>
  <c r="AY203" i="1" s="1"/>
  <c r="A203" i="1"/>
  <c r="BJ202" i="1"/>
  <c r="BH202" i="1"/>
  <c r="BI202" i="1" s="1"/>
  <c r="BE202" i="1"/>
  <c r="BD202" i="1"/>
  <c r="BC202" i="1"/>
  <c r="BA202" i="1"/>
  <c r="AX202" i="1"/>
  <c r="AW202" i="1"/>
  <c r="AV202" i="1"/>
  <c r="AU202" i="1"/>
  <c r="AT202" i="1"/>
  <c r="AQ202" i="1"/>
  <c r="AR202" i="1" s="1"/>
  <c r="AP202" i="1"/>
  <c r="AN202" i="1"/>
  <c r="AE202" i="1"/>
  <c r="AB202" i="1"/>
  <c r="AM202" i="1" s="1"/>
  <c r="X202" i="1"/>
  <c r="F202" i="1"/>
  <c r="E202" i="1"/>
  <c r="D202" i="1"/>
  <c r="B202" i="1"/>
  <c r="AY202" i="1" s="1"/>
  <c r="A202" i="1"/>
  <c r="BJ201" i="1"/>
  <c r="BH201" i="1"/>
  <c r="BI201" i="1" s="1"/>
  <c r="BE201" i="1"/>
  <c r="BD201" i="1"/>
  <c r="BC201" i="1"/>
  <c r="BA201" i="1"/>
  <c r="AX201" i="1"/>
  <c r="AW201" i="1"/>
  <c r="AV201" i="1"/>
  <c r="AU201" i="1"/>
  <c r="AT201" i="1"/>
  <c r="AQ201" i="1"/>
  <c r="AR201" i="1" s="1"/>
  <c r="AP201" i="1"/>
  <c r="AN201" i="1"/>
  <c r="AE201" i="1"/>
  <c r="AB201" i="1"/>
  <c r="AM201" i="1" s="1"/>
  <c r="X201" i="1"/>
  <c r="F201" i="1"/>
  <c r="E201" i="1"/>
  <c r="D201" i="1"/>
  <c r="B201" i="1"/>
  <c r="AY201" i="1" s="1"/>
  <c r="A201" i="1"/>
  <c r="BJ200" i="1"/>
  <c r="BH200" i="1"/>
  <c r="BI200" i="1" s="1"/>
  <c r="BE200" i="1"/>
  <c r="BD200" i="1"/>
  <c r="BC200" i="1"/>
  <c r="BA200" i="1"/>
  <c r="AX200" i="1"/>
  <c r="AW200" i="1"/>
  <c r="AV200" i="1"/>
  <c r="AU200" i="1"/>
  <c r="AT200" i="1"/>
  <c r="AQ200" i="1"/>
  <c r="AR200" i="1" s="1"/>
  <c r="AP200" i="1"/>
  <c r="AN200" i="1"/>
  <c r="AE200" i="1"/>
  <c r="AB200" i="1"/>
  <c r="AM200" i="1" s="1"/>
  <c r="X200" i="1"/>
  <c r="F200" i="1"/>
  <c r="E200" i="1"/>
  <c r="D200" i="1"/>
  <c r="B200" i="1"/>
  <c r="AY200" i="1" s="1"/>
  <c r="A200" i="1"/>
  <c r="BJ199" i="1"/>
  <c r="BH199" i="1"/>
  <c r="BI199" i="1" s="1"/>
  <c r="BE199" i="1"/>
  <c r="BD199" i="1"/>
  <c r="BC199" i="1"/>
  <c r="BA199" i="1"/>
  <c r="AX199" i="1"/>
  <c r="AW199" i="1"/>
  <c r="AV199" i="1"/>
  <c r="AU199" i="1"/>
  <c r="AT199" i="1"/>
  <c r="AQ199" i="1"/>
  <c r="AR199" i="1" s="1"/>
  <c r="AP199" i="1"/>
  <c r="AN199" i="1"/>
  <c r="AE199" i="1"/>
  <c r="AB199" i="1"/>
  <c r="AM199" i="1" s="1"/>
  <c r="X199" i="1"/>
  <c r="F199" i="1"/>
  <c r="E199" i="1"/>
  <c r="D199" i="1"/>
  <c r="B199" i="1"/>
  <c r="AY199" i="1" s="1"/>
  <c r="A199" i="1"/>
  <c r="BJ198" i="1"/>
  <c r="BH198" i="1"/>
  <c r="BI198" i="1" s="1"/>
  <c r="BE198" i="1"/>
  <c r="BD198" i="1"/>
  <c r="BC198" i="1"/>
  <c r="BA198" i="1"/>
  <c r="AX198" i="1"/>
  <c r="AW198" i="1"/>
  <c r="AV198" i="1"/>
  <c r="AU198" i="1"/>
  <c r="AT198" i="1"/>
  <c r="AQ198" i="1"/>
  <c r="AR198" i="1" s="1"/>
  <c r="AP198" i="1"/>
  <c r="AN198" i="1"/>
  <c r="AE198" i="1"/>
  <c r="AB198" i="1"/>
  <c r="AM198" i="1" s="1"/>
  <c r="X198" i="1"/>
  <c r="F198" i="1"/>
  <c r="E198" i="1"/>
  <c r="D198" i="1"/>
  <c r="B198" i="1"/>
  <c r="AY198" i="1" s="1"/>
  <c r="A198" i="1"/>
  <c r="BJ197" i="1"/>
  <c r="BH197" i="1"/>
  <c r="BI197" i="1" s="1"/>
  <c r="BE197" i="1"/>
  <c r="BD197" i="1"/>
  <c r="BC197" i="1"/>
  <c r="BA197" i="1"/>
  <c r="AX197" i="1"/>
  <c r="AW197" i="1"/>
  <c r="AV197" i="1"/>
  <c r="AU197" i="1"/>
  <c r="AT197" i="1"/>
  <c r="AO197" i="1"/>
  <c r="AN197" i="1"/>
  <c r="AB197" i="1"/>
  <c r="AQ197" i="1" s="1"/>
  <c r="AR197" i="1" s="1"/>
  <c r="X197" i="1"/>
  <c r="F197" i="1"/>
  <c r="E197" i="1"/>
  <c r="D197" i="1"/>
  <c r="B197" i="1"/>
  <c r="AY197" i="1" s="1"/>
  <c r="A197" i="1"/>
  <c r="BJ196" i="1"/>
  <c r="BH196" i="1"/>
  <c r="BI196" i="1" s="1"/>
  <c r="BE196" i="1"/>
  <c r="BD196" i="1"/>
  <c r="BC196" i="1"/>
  <c r="BA196" i="1"/>
  <c r="AX196" i="1"/>
  <c r="AW196" i="1"/>
  <c r="AV196" i="1"/>
  <c r="AU196" i="1"/>
  <c r="AT196" i="1"/>
  <c r="AQ196" i="1"/>
  <c r="AR196" i="1" s="1"/>
  <c r="AP196" i="1"/>
  <c r="AO196" i="1"/>
  <c r="AB196" i="1"/>
  <c r="AM196" i="1" s="1"/>
  <c r="X196" i="1"/>
  <c r="F196" i="1"/>
  <c r="E196" i="1"/>
  <c r="D196" i="1"/>
  <c r="B196" i="1"/>
  <c r="AY196" i="1" s="1"/>
  <c r="A196" i="1"/>
  <c r="BJ195" i="1"/>
  <c r="BH195" i="1"/>
  <c r="BI195" i="1" s="1"/>
  <c r="BE195" i="1"/>
  <c r="BD195" i="1"/>
  <c r="BC195" i="1"/>
  <c r="BA195" i="1"/>
  <c r="AX195" i="1"/>
  <c r="AW195" i="1"/>
  <c r="AV195" i="1"/>
  <c r="AU195" i="1"/>
  <c r="AT195" i="1"/>
  <c r="AQ195" i="1"/>
  <c r="AR195" i="1" s="1"/>
  <c r="AP195" i="1"/>
  <c r="AO195" i="1"/>
  <c r="AB195" i="1"/>
  <c r="AM195" i="1" s="1"/>
  <c r="X195" i="1"/>
  <c r="F195" i="1"/>
  <c r="E195" i="1"/>
  <c r="D195" i="1"/>
  <c r="B195" i="1"/>
  <c r="AY195" i="1" s="1"/>
  <c r="A195" i="1"/>
  <c r="BJ194" i="1"/>
  <c r="BH194" i="1"/>
  <c r="BI194" i="1" s="1"/>
  <c r="BE194" i="1"/>
  <c r="BD194" i="1"/>
  <c r="BC194" i="1"/>
  <c r="BA194" i="1"/>
  <c r="AX194" i="1"/>
  <c r="AW194" i="1"/>
  <c r="AV194" i="1"/>
  <c r="AU194" i="1"/>
  <c r="AT194" i="1"/>
  <c r="AQ194" i="1"/>
  <c r="AR194" i="1" s="1"/>
  <c r="AP194" i="1"/>
  <c r="AO194" i="1"/>
  <c r="AB194" i="1"/>
  <c r="AM194" i="1" s="1"/>
  <c r="X194" i="1"/>
  <c r="F194" i="1"/>
  <c r="E194" i="1"/>
  <c r="D194" i="1"/>
  <c r="B194" i="1"/>
  <c r="AY194" i="1" s="1"/>
  <c r="A194" i="1"/>
  <c r="BJ193" i="1"/>
  <c r="BH193" i="1"/>
  <c r="BI193" i="1" s="1"/>
  <c r="BE193" i="1"/>
  <c r="BD193" i="1"/>
  <c r="BC193" i="1"/>
  <c r="BA193" i="1"/>
  <c r="AX193" i="1"/>
  <c r="AW193" i="1"/>
  <c r="AV193" i="1"/>
  <c r="AU193" i="1"/>
  <c r="AT193" i="1"/>
  <c r="AQ193" i="1"/>
  <c r="AR193" i="1" s="1"/>
  <c r="AP193" i="1"/>
  <c r="AO193" i="1"/>
  <c r="AB193" i="1"/>
  <c r="AM193" i="1" s="1"/>
  <c r="X193" i="1"/>
  <c r="F193" i="1"/>
  <c r="E193" i="1"/>
  <c r="D193" i="1"/>
  <c r="B193" i="1"/>
  <c r="AY193" i="1" s="1"/>
  <c r="A193" i="1"/>
  <c r="BJ192" i="1"/>
  <c r="BH192" i="1"/>
  <c r="BI192" i="1" s="1"/>
  <c r="BE192" i="1"/>
  <c r="BD192" i="1"/>
  <c r="BC192" i="1"/>
  <c r="BA192" i="1"/>
  <c r="AX192" i="1"/>
  <c r="AW192" i="1"/>
  <c r="AV192" i="1"/>
  <c r="AU192" i="1"/>
  <c r="AT192" i="1"/>
  <c r="AQ192" i="1"/>
  <c r="AR192" i="1" s="1"/>
  <c r="AP192" i="1"/>
  <c r="AO192" i="1"/>
  <c r="AB192" i="1"/>
  <c r="AM192" i="1" s="1"/>
  <c r="X192" i="1"/>
  <c r="F192" i="1"/>
  <c r="E192" i="1"/>
  <c r="D192" i="1"/>
  <c r="B192" i="1"/>
  <c r="AY192" i="1" s="1"/>
  <c r="A192" i="1"/>
  <c r="BJ191" i="1"/>
  <c r="BH191" i="1"/>
  <c r="BI191" i="1" s="1"/>
  <c r="BE191" i="1"/>
  <c r="BD191" i="1"/>
  <c r="BC191" i="1"/>
  <c r="BA191" i="1"/>
  <c r="AX191" i="1"/>
  <c r="AW191" i="1"/>
  <c r="AV191" i="1"/>
  <c r="AU191" i="1"/>
  <c r="AT191" i="1"/>
  <c r="AQ191" i="1"/>
  <c r="AR191" i="1" s="1"/>
  <c r="AP191" i="1"/>
  <c r="AO191" i="1"/>
  <c r="AB191" i="1"/>
  <c r="AM191" i="1" s="1"/>
  <c r="X191" i="1"/>
  <c r="F191" i="1"/>
  <c r="E191" i="1"/>
  <c r="D191" i="1"/>
  <c r="B191" i="1"/>
  <c r="AY191" i="1" s="1"/>
  <c r="A191" i="1"/>
  <c r="BJ190" i="1"/>
  <c r="BH190" i="1"/>
  <c r="BI190" i="1" s="1"/>
  <c r="BE190" i="1"/>
  <c r="BD190" i="1"/>
  <c r="BC190" i="1"/>
  <c r="BA190" i="1"/>
  <c r="AX190" i="1"/>
  <c r="AW190" i="1"/>
  <c r="AV190" i="1"/>
  <c r="AU190" i="1"/>
  <c r="AT190" i="1"/>
  <c r="AQ190" i="1"/>
  <c r="AR190" i="1" s="1"/>
  <c r="AP190" i="1"/>
  <c r="AO190" i="1"/>
  <c r="AB190" i="1"/>
  <c r="AM190" i="1" s="1"/>
  <c r="X190" i="1"/>
  <c r="F190" i="1"/>
  <c r="E190" i="1"/>
  <c r="D190" i="1"/>
  <c r="B190" i="1"/>
  <c r="AY190" i="1" s="1"/>
  <c r="A190" i="1"/>
  <c r="BJ189" i="1"/>
  <c r="BH189" i="1"/>
  <c r="BI189" i="1" s="1"/>
  <c r="BE189" i="1"/>
  <c r="BD189" i="1"/>
  <c r="BC189" i="1"/>
  <c r="BA189" i="1"/>
  <c r="AX189" i="1"/>
  <c r="AW189" i="1"/>
  <c r="AV189" i="1"/>
  <c r="AU189" i="1"/>
  <c r="AT189" i="1"/>
  <c r="AO189" i="1"/>
  <c r="AN189" i="1"/>
  <c r="AB189" i="1"/>
  <c r="AQ189" i="1" s="1"/>
  <c r="AR189" i="1" s="1"/>
  <c r="X189" i="1"/>
  <c r="F189" i="1"/>
  <c r="E189" i="1"/>
  <c r="D189" i="1"/>
  <c r="B189" i="1"/>
  <c r="AY189" i="1" s="1"/>
  <c r="A189" i="1"/>
  <c r="BM188" i="1"/>
  <c r="BK188" i="1"/>
  <c r="BL188" i="1" s="1"/>
  <c r="BE188" i="1"/>
  <c r="BD188" i="1"/>
  <c r="BC188" i="1"/>
  <c r="BA188" i="1"/>
  <c r="AX188" i="1"/>
  <c r="AW188" i="1"/>
  <c r="AV188" i="1"/>
  <c r="AU188" i="1"/>
  <c r="AT188" i="1"/>
  <c r="AQ188" i="1"/>
  <c r="AR188" i="1" s="1"/>
  <c r="AP188" i="1"/>
  <c r="AN188" i="1"/>
  <c r="AE188" i="1"/>
  <c r="AB188" i="1"/>
  <c r="X188" i="1"/>
  <c r="F188" i="1"/>
  <c r="E188" i="1"/>
  <c r="D188" i="1"/>
  <c r="B188" i="1"/>
  <c r="AY188" i="1" s="1"/>
  <c r="A188" i="1"/>
  <c r="BM187" i="1"/>
  <c r="BK187" i="1"/>
  <c r="BL187" i="1" s="1"/>
  <c r="BE187" i="1"/>
  <c r="BD187" i="1"/>
  <c r="BC187" i="1"/>
  <c r="BA187" i="1"/>
  <c r="AX187" i="1"/>
  <c r="AW187" i="1"/>
  <c r="AV187" i="1"/>
  <c r="AU187" i="1"/>
  <c r="AT187" i="1"/>
  <c r="AQ187" i="1"/>
  <c r="AR187" i="1" s="1"/>
  <c r="AP187" i="1"/>
  <c r="AN187" i="1"/>
  <c r="AE187" i="1"/>
  <c r="AB187" i="1"/>
  <c r="AM187" i="1" s="1"/>
  <c r="X187" i="1"/>
  <c r="F187" i="1"/>
  <c r="E187" i="1"/>
  <c r="D187" i="1"/>
  <c r="B187" i="1"/>
  <c r="A187" i="1"/>
  <c r="BM186" i="1"/>
  <c r="BK186" i="1"/>
  <c r="BL186" i="1" s="1"/>
  <c r="BE186" i="1"/>
  <c r="BD186" i="1"/>
  <c r="BC186" i="1"/>
  <c r="BA186" i="1"/>
  <c r="AX186" i="1"/>
  <c r="AW186" i="1"/>
  <c r="AV186" i="1"/>
  <c r="AU186" i="1"/>
  <c r="AT186" i="1"/>
  <c r="AQ186" i="1"/>
  <c r="AR186" i="1" s="1"/>
  <c r="AP186" i="1"/>
  <c r="AN186" i="1"/>
  <c r="AE186" i="1"/>
  <c r="AB186" i="1"/>
  <c r="X186" i="1"/>
  <c r="F186" i="1"/>
  <c r="E186" i="1"/>
  <c r="D186" i="1"/>
  <c r="B186" i="1"/>
  <c r="AY186" i="1" s="1"/>
  <c r="A186" i="1"/>
  <c r="BM185" i="1"/>
  <c r="BK185" i="1"/>
  <c r="BL185" i="1" s="1"/>
  <c r="BE185" i="1"/>
  <c r="BD185" i="1"/>
  <c r="BC185" i="1"/>
  <c r="BA185" i="1"/>
  <c r="AX185" i="1"/>
  <c r="AW185" i="1"/>
  <c r="AV185" i="1"/>
  <c r="AU185" i="1"/>
  <c r="AT185" i="1"/>
  <c r="AQ185" i="1"/>
  <c r="AR185" i="1" s="1"/>
  <c r="AP185" i="1"/>
  <c r="AN185" i="1"/>
  <c r="AE185" i="1"/>
  <c r="AB185" i="1"/>
  <c r="X185" i="1"/>
  <c r="F185" i="1"/>
  <c r="E185" i="1"/>
  <c r="D185" i="1"/>
  <c r="B185" i="1"/>
  <c r="AY185" i="1" s="1"/>
  <c r="A185" i="1"/>
  <c r="BM184" i="1"/>
  <c r="BK184" i="1"/>
  <c r="BL184" i="1" s="1"/>
  <c r="BE184" i="1"/>
  <c r="BD184" i="1"/>
  <c r="BC184" i="1"/>
  <c r="BA184" i="1"/>
  <c r="AX184" i="1"/>
  <c r="AW184" i="1"/>
  <c r="AV184" i="1"/>
  <c r="AU184" i="1"/>
  <c r="AT184" i="1"/>
  <c r="AQ184" i="1"/>
  <c r="AR184" i="1" s="1"/>
  <c r="AP184" i="1"/>
  <c r="AN184" i="1"/>
  <c r="AE184" i="1"/>
  <c r="AB184" i="1"/>
  <c r="AM184" i="1" s="1"/>
  <c r="X184" i="1"/>
  <c r="F184" i="1"/>
  <c r="E184" i="1"/>
  <c r="D184" i="1"/>
  <c r="B184" i="1"/>
  <c r="AY184" i="1" s="1"/>
  <c r="A184" i="1"/>
  <c r="BM183" i="1"/>
  <c r="BK183" i="1"/>
  <c r="BL183" i="1" s="1"/>
  <c r="BE183" i="1"/>
  <c r="BD183" i="1"/>
  <c r="BC183" i="1"/>
  <c r="BA183" i="1"/>
  <c r="AX183" i="1"/>
  <c r="AW183" i="1"/>
  <c r="AV183" i="1"/>
  <c r="AU183" i="1"/>
  <c r="AT183" i="1"/>
  <c r="AQ183" i="1"/>
  <c r="AR183" i="1" s="1"/>
  <c r="AP183" i="1"/>
  <c r="AN183" i="1"/>
  <c r="AE183" i="1"/>
  <c r="AB183" i="1"/>
  <c r="AM183" i="1" s="1"/>
  <c r="X183" i="1"/>
  <c r="F183" i="1"/>
  <c r="E183" i="1"/>
  <c r="D183" i="1"/>
  <c r="B183" i="1"/>
  <c r="AY183" i="1" s="1"/>
  <c r="A183" i="1"/>
  <c r="BM182" i="1"/>
  <c r="BK182" i="1"/>
  <c r="BL182" i="1" s="1"/>
  <c r="BE182" i="1"/>
  <c r="BD182" i="1"/>
  <c r="BC182" i="1"/>
  <c r="BA182" i="1"/>
  <c r="AX182" i="1"/>
  <c r="AW182" i="1"/>
  <c r="AV182" i="1"/>
  <c r="AU182" i="1"/>
  <c r="AT182" i="1"/>
  <c r="AQ182" i="1"/>
  <c r="AR182" i="1" s="1"/>
  <c r="AP182" i="1"/>
  <c r="AN182" i="1"/>
  <c r="AE182" i="1"/>
  <c r="AB182" i="1"/>
  <c r="AM182" i="1" s="1"/>
  <c r="X182" i="1"/>
  <c r="F182" i="1"/>
  <c r="E182" i="1"/>
  <c r="D182" i="1"/>
  <c r="B182" i="1"/>
  <c r="AY182" i="1" s="1"/>
  <c r="A182" i="1"/>
  <c r="BM181" i="1"/>
  <c r="BK181" i="1"/>
  <c r="BL181" i="1" s="1"/>
  <c r="BE181" i="1"/>
  <c r="BD181" i="1"/>
  <c r="BC181" i="1"/>
  <c r="BA181" i="1"/>
  <c r="AX181" i="1"/>
  <c r="AW181" i="1"/>
  <c r="AV181" i="1"/>
  <c r="AU181" i="1"/>
  <c r="AT181" i="1"/>
  <c r="AQ181" i="1"/>
  <c r="AR181" i="1" s="1"/>
  <c r="AP181" i="1"/>
  <c r="AN181" i="1"/>
  <c r="AE181" i="1"/>
  <c r="AB181" i="1"/>
  <c r="AM181" i="1" s="1"/>
  <c r="X181" i="1"/>
  <c r="F181" i="1"/>
  <c r="E181" i="1"/>
  <c r="D181" i="1"/>
  <c r="B181" i="1"/>
  <c r="AY181" i="1" s="1"/>
  <c r="A181" i="1"/>
  <c r="BM180" i="1"/>
  <c r="BK180" i="1"/>
  <c r="BL180" i="1" s="1"/>
  <c r="BE180" i="1"/>
  <c r="BD180" i="1"/>
  <c r="BC180" i="1"/>
  <c r="BA180" i="1"/>
  <c r="AX180" i="1"/>
  <c r="AW180" i="1"/>
  <c r="AV180" i="1"/>
  <c r="AU180" i="1"/>
  <c r="AT180" i="1"/>
  <c r="AQ180" i="1"/>
  <c r="AR180" i="1" s="1"/>
  <c r="AP180" i="1"/>
  <c r="AN180" i="1"/>
  <c r="AE180" i="1"/>
  <c r="AB180" i="1"/>
  <c r="AM180" i="1" s="1"/>
  <c r="X180" i="1"/>
  <c r="F180" i="1"/>
  <c r="E180" i="1"/>
  <c r="D180" i="1"/>
  <c r="B180" i="1"/>
  <c r="AY180" i="1" s="1"/>
  <c r="A180" i="1"/>
  <c r="BM179" i="1"/>
  <c r="BK179" i="1"/>
  <c r="BL179" i="1" s="1"/>
  <c r="BE179" i="1"/>
  <c r="BD179" i="1"/>
  <c r="BC179" i="1"/>
  <c r="BA179" i="1"/>
  <c r="AX179" i="1"/>
  <c r="AW179" i="1"/>
  <c r="AV179" i="1"/>
  <c r="AU179" i="1"/>
  <c r="AT179" i="1"/>
  <c r="AQ179" i="1"/>
  <c r="AR179" i="1" s="1"/>
  <c r="AP179" i="1"/>
  <c r="AN179" i="1"/>
  <c r="AE179" i="1"/>
  <c r="AB179" i="1"/>
  <c r="AM179" i="1" s="1"/>
  <c r="X179" i="1"/>
  <c r="F179" i="1"/>
  <c r="E179" i="1"/>
  <c r="D179" i="1"/>
  <c r="B179" i="1"/>
  <c r="AZ179" i="1" s="1"/>
  <c r="A179" i="1"/>
  <c r="BM178" i="1"/>
  <c r="BK178" i="1"/>
  <c r="BL178" i="1" s="1"/>
  <c r="BE178" i="1"/>
  <c r="BD178" i="1"/>
  <c r="BC178" i="1"/>
  <c r="BA178" i="1"/>
  <c r="AX178" i="1"/>
  <c r="AW178" i="1"/>
  <c r="AV178" i="1"/>
  <c r="AU178" i="1"/>
  <c r="AT178" i="1"/>
  <c r="AQ178" i="1"/>
  <c r="AR178" i="1" s="1"/>
  <c r="AP178" i="1"/>
  <c r="AN178" i="1"/>
  <c r="AE178" i="1"/>
  <c r="AB178" i="1"/>
  <c r="AM178" i="1" s="1"/>
  <c r="X178" i="1"/>
  <c r="F178" i="1"/>
  <c r="E178" i="1"/>
  <c r="D178" i="1"/>
  <c r="B178" i="1"/>
  <c r="AY178" i="1" s="1"/>
  <c r="A178" i="1"/>
  <c r="BM177" i="1"/>
  <c r="BK177" i="1"/>
  <c r="BL177" i="1" s="1"/>
  <c r="BE177" i="1"/>
  <c r="BD177" i="1"/>
  <c r="BC177" i="1"/>
  <c r="BA177" i="1"/>
  <c r="AX177" i="1"/>
  <c r="AW177" i="1"/>
  <c r="AV177" i="1"/>
  <c r="AU177" i="1"/>
  <c r="AT177" i="1"/>
  <c r="AQ177" i="1"/>
  <c r="AR177" i="1" s="1"/>
  <c r="AP177" i="1"/>
  <c r="AN177" i="1"/>
  <c r="AE177" i="1"/>
  <c r="AB177" i="1"/>
  <c r="X177" i="1"/>
  <c r="F177" i="1"/>
  <c r="E177" i="1"/>
  <c r="D177" i="1"/>
  <c r="B177" i="1"/>
  <c r="AY177" i="1" s="1"/>
  <c r="A177" i="1"/>
  <c r="BM176" i="1"/>
  <c r="BK176" i="1"/>
  <c r="BL176" i="1" s="1"/>
  <c r="BE176" i="1"/>
  <c r="BD176" i="1"/>
  <c r="BC176" i="1"/>
  <c r="BA176" i="1"/>
  <c r="AX176" i="1"/>
  <c r="AW176" i="1"/>
  <c r="AV176" i="1"/>
  <c r="AU176" i="1"/>
  <c r="AT176" i="1"/>
  <c r="AQ176" i="1"/>
  <c r="AR176" i="1" s="1"/>
  <c r="AP176" i="1"/>
  <c r="AN176" i="1"/>
  <c r="AE176" i="1"/>
  <c r="AB176" i="1"/>
  <c r="AM176" i="1" s="1"/>
  <c r="X176" i="1"/>
  <c r="F176" i="1"/>
  <c r="E176" i="1"/>
  <c r="D176" i="1"/>
  <c r="B176" i="1"/>
  <c r="AZ176" i="1" s="1"/>
  <c r="A176" i="1"/>
  <c r="BM175" i="1"/>
  <c r="BK175" i="1"/>
  <c r="BL175" i="1" s="1"/>
  <c r="BE175" i="1"/>
  <c r="BD175" i="1"/>
  <c r="BC175" i="1"/>
  <c r="BA175" i="1"/>
  <c r="AX175" i="1"/>
  <c r="AW175" i="1"/>
  <c r="AV175" i="1"/>
  <c r="AU175" i="1"/>
  <c r="AT175" i="1"/>
  <c r="AQ175" i="1"/>
  <c r="AR175" i="1" s="1"/>
  <c r="AP175" i="1"/>
  <c r="AN175" i="1"/>
  <c r="AE175" i="1"/>
  <c r="AB175" i="1"/>
  <c r="AM175" i="1" s="1"/>
  <c r="X175" i="1"/>
  <c r="F175" i="1"/>
  <c r="E175" i="1"/>
  <c r="D175" i="1"/>
  <c r="B175" i="1"/>
  <c r="AY175" i="1" s="1"/>
  <c r="A175" i="1"/>
  <c r="BM174" i="1"/>
  <c r="BK174" i="1"/>
  <c r="BL174" i="1" s="1"/>
  <c r="BE174" i="1"/>
  <c r="BD174" i="1"/>
  <c r="BC174" i="1"/>
  <c r="BA174" i="1"/>
  <c r="AX174" i="1"/>
  <c r="AW174" i="1"/>
  <c r="AV174" i="1"/>
  <c r="AU174" i="1"/>
  <c r="AT174" i="1"/>
  <c r="AO174" i="1"/>
  <c r="AN174" i="1"/>
  <c r="AB174" i="1"/>
  <c r="AQ174" i="1" s="1"/>
  <c r="AR174" i="1" s="1"/>
  <c r="X174" i="1"/>
  <c r="F174" i="1"/>
  <c r="E174" i="1"/>
  <c r="D174" i="1"/>
  <c r="B174" i="1"/>
  <c r="AY174" i="1" s="1"/>
  <c r="A174" i="1"/>
  <c r="BM173" i="1"/>
  <c r="BK173" i="1"/>
  <c r="BL173" i="1" s="1"/>
  <c r="BE173" i="1"/>
  <c r="BD173" i="1"/>
  <c r="BC173" i="1"/>
  <c r="BA173" i="1"/>
  <c r="AX173" i="1"/>
  <c r="AW173" i="1"/>
  <c r="AV173" i="1"/>
  <c r="AU173" i="1"/>
  <c r="AT173" i="1"/>
  <c r="AN173" i="1"/>
  <c r="AE173" i="1"/>
  <c r="AB173" i="1"/>
  <c r="AQ173" i="1" s="1"/>
  <c r="AR173" i="1" s="1"/>
  <c r="X173" i="1"/>
  <c r="F173" i="1"/>
  <c r="E173" i="1"/>
  <c r="D173" i="1"/>
  <c r="B173" i="1"/>
  <c r="AY173" i="1" s="1"/>
  <c r="A173" i="1"/>
  <c r="BM172" i="1"/>
  <c r="BK172" i="1"/>
  <c r="BL172" i="1" s="1"/>
  <c r="BE172" i="1"/>
  <c r="BD172" i="1"/>
  <c r="BC172" i="1"/>
  <c r="BA172" i="1"/>
  <c r="AX172" i="1"/>
  <c r="AW172" i="1"/>
  <c r="AV172" i="1"/>
  <c r="AU172" i="1"/>
  <c r="AT172" i="1"/>
  <c r="AN172" i="1"/>
  <c r="AE172" i="1"/>
  <c r="AB172" i="1"/>
  <c r="AQ172" i="1" s="1"/>
  <c r="AR172" i="1" s="1"/>
  <c r="X172" i="1"/>
  <c r="F172" i="1"/>
  <c r="E172" i="1"/>
  <c r="D172" i="1"/>
  <c r="B172" i="1"/>
  <c r="AY172" i="1" s="1"/>
  <c r="A172" i="1"/>
  <c r="BM171" i="1"/>
  <c r="BK171" i="1"/>
  <c r="BL171" i="1" s="1"/>
  <c r="BE171" i="1"/>
  <c r="BD171" i="1"/>
  <c r="BC171" i="1"/>
  <c r="BA171" i="1"/>
  <c r="AX171" i="1"/>
  <c r="AW171" i="1"/>
  <c r="AV171" i="1"/>
  <c r="AU171" i="1"/>
  <c r="AT171" i="1"/>
  <c r="AN171" i="1"/>
  <c r="AE171" i="1"/>
  <c r="AB171" i="1"/>
  <c r="AQ171" i="1" s="1"/>
  <c r="AR171" i="1" s="1"/>
  <c r="X171" i="1"/>
  <c r="F171" i="1"/>
  <c r="E171" i="1"/>
  <c r="D171" i="1"/>
  <c r="B171" i="1"/>
  <c r="AY171" i="1" s="1"/>
  <c r="A171" i="1"/>
  <c r="BM170" i="1"/>
  <c r="BK170" i="1"/>
  <c r="BL170" i="1" s="1"/>
  <c r="BE170" i="1"/>
  <c r="BD170" i="1"/>
  <c r="BC170" i="1"/>
  <c r="BA170" i="1"/>
  <c r="AX170" i="1"/>
  <c r="AW170" i="1"/>
  <c r="AV170" i="1"/>
  <c r="AU170" i="1"/>
  <c r="AT170" i="1"/>
  <c r="AN170" i="1"/>
  <c r="AE170" i="1"/>
  <c r="AB170" i="1"/>
  <c r="AQ170" i="1" s="1"/>
  <c r="AR170" i="1" s="1"/>
  <c r="X170" i="1"/>
  <c r="F170" i="1"/>
  <c r="E170" i="1"/>
  <c r="D170" i="1"/>
  <c r="B170" i="1"/>
  <c r="AY170" i="1" s="1"/>
  <c r="A170" i="1"/>
  <c r="BM169" i="1"/>
  <c r="BK169" i="1"/>
  <c r="BL169" i="1" s="1"/>
  <c r="BE169" i="1"/>
  <c r="BD169" i="1"/>
  <c r="BC169" i="1"/>
  <c r="BA169" i="1"/>
  <c r="AX169" i="1"/>
  <c r="AW169" i="1"/>
  <c r="AV169" i="1"/>
  <c r="AU169" i="1"/>
  <c r="AT169" i="1"/>
  <c r="AN169" i="1"/>
  <c r="AE169" i="1"/>
  <c r="AB169" i="1"/>
  <c r="AQ169" i="1" s="1"/>
  <c r="AR169" i="1" s="1"/>
  <c r="X169" i="1"/>
  <c r="F169" i="1"/>
  <c r="E169" i="1"/>
  <c r="D169" i="1"/>
  <c r="B169" i="1"/>
  <c r="AY169" i="1" s="1"/>
  <c r="A169" i="1"/>
  <c r="BM168" i="1"/>
  <c r="BK168" i="1"/>
  <c r="BL168" i="1" s="1"/>
  <c r="BE168" i="1"/>
  <c r="BD168" i="1"/>
  <c r="BC168" i="1"/>
  <c r="BA168" i="1"/>
  <c r="AX168" i="1"/>
  <c r="AW168" i="1"/>
  <c r="AV168" i="1"/>
  <c r="AU168" i="1"/>
  <c r="AT168" i="1"/>
  <c r="AN168" i="1"/>
  <c r="AE168" i="1"/>
  <c r="AB168" i="1"/>
  <c r="X168" i="1"/>
  <c r="F168" i="1"/>
  <c r="E168" i="1"/>
  <c r="D168" i="1"/>
  <c r="B168" i="1"/>
  <c r="AY168" i="1" s="1"/>
  <c r="A168" i="1"/>
  <c r="BM167" i="1"/>
  <c r="BK167" i="1"/>
  <c r="BL167" i="1" s="1"/>
  <c r="BE167" i="1"/>
  <c r="BD167" i="1"/>
  <c r="BC167" i="1"/>
  <c r="BA167" i="1"/>
  <c r="AX167" i="1"/>
  <c r="AW167" i="1"/>
  <c r="AV167" i="1"/>
  <c r="AU167" i="1"/>
  <c r="AT167" i="1"/>
  <c r="AN167" i="1"/>
  <c r="AE167" i="1"/>
  <c r="AB167" i="1"/>
  <c r="AQ167" i="1" s="1"/>
  <c r="AR167" i="1" s="1"/>
  <c r="X167" i="1"/>
  <c r="F167" i="1"/>
  <c r="E167" i="1"/>
  <c r="D167" i="1"/>
  <c r="B167" i="1"/>
  <c r="AY167" i="1" s="1"/>
  <c r="A167" i="1"/>
  <c r="BM166" i="1"/>
  <c r="BK166" i="1"/>
  <c r="BL166" i="1" s="1"/>
  <c r="BE166" i="1"/>
  <c r="BD166" i="1"/>
  <c r="BC166" i="1"/>
  <c r="BA166" i="1"/>
  <c r="AX166" i="1"/>
  <c r="AW166" i="1"/>
  <c r="AV166" i="1"/>
  <c r="AU166" i="1"/>
  <c r="AT166" i="1"/>
  <c r="AN166" i="1"/>
  <c r="AE166" i="1"/>
  <c r="AB166" i="1"/>
  <c r="AQ166" i="1" s="1"/>
  <c r="AR166" i="1" s="1"/>
  <c r="X166" i="1"/>
  <c r="F166" i="1"/>
  <c r="E166" i="1"/>
  <c r="D166" i="1"/>
  <c r="B166" i="1"/>
  <c r="AY166" i="1" s="1"/>
  <c r="A166" i="1"/>
  <c r="BM165" i="1"/>
  <c r="BK165" i="1"/>
  <c r="BL165" i="1" s="1"/>
  <c r="BE165" i="1"/>
  <c r="BD165" i="1"/>
  <c r="BC165" i="1"/>
  <c r="BA165" i="1"/>
  <c r="AX165" i="1"/>
  <c r="AW165" i="1"/>
  <c r="AV165" i="1"/>
  <c r="AU165" i="1"/>
  <c r="AT165" i="1"/>
  <c r="AN165" i="1"/>
  <c r="AE165" i="1"/>
  <c r="AB165" i="1"/>
  <c r="AQ165" i="1" s="1"/>
  <c r="AR165" i="1" s="1"/>
  <c r="X165" i="1"/>
  <c r="F165" i="1"/>
  <c r="E165" i="1"/>
  <c r="D165" i="1"/>
  <c r="B165" i="1"/>
  <c r="AY165" i="1" s="1"/>
  <c r="A165" i="1"/>
  <c r="BM164" i="1"/>
  <c r="BK164" i="1"/>
  <c r="BL164" i="1" s="1"/>
  <c r="BE164" i="1"/>
  <c r="BD164" i="1"/>
  <c r="BC164" i="1"/>
  <c r="BA164" i="1"/>
  <c r="AX164" i="1"/>
  <c r="AW164" i="1"/>
  <c r="AV164" i="1"/>
  <c r="AU164" i="1"/>
  <c r="AT164" i="1"/>
  <c r="AN164" i="1"/>
  <c r="AE164" i="1"/>
  <c r="AB164" i="1"/>
  <c r="AQ164" i="1" s="1"/>
  <c r="AR164" i="1" s="1"/>
  <c r="X164" i="1"/>
  <c r="F164" i="1"/>
  <c r="E164" i="1"/>
  <c r="D164" i="1"/>
  <c r="B164" i="1"/>
  <c r="AY164" i="1" s="1"/>
  <c r="A164" i="1"/>
  <c r="BM163" i="1"/>
  <c r="BK163" i="1"/>
  <c r="BL163" i="1" s="1"/>
  <c r="BE163" i="1"/>
  <c r="BD163" i="1"/>
  <c r="BC163" i="1"/>
  <c r="BA163" i="1"/>
  <c r="AX163" i="1"/>
  <c r="AW163" i="1"/>
  <c r="AV163" i="1"/>
  <c r="AU163" i="1"/>
  <c r="AT163" i="1"/>
  <c r="AN163" i="1"/>
  <c r="AE163" i="1"/>
  <c r="AB163" i="1"/>
  <c r="AQ163" i="1" s="1"/>
  <c r="AR163" i="1" s="1"/>
  <c r="X163" i="1"/>
  <c r="F163" i="1"/>
  <c r="E163" i="1"/>
  <c r="D163" i="1"/>
  <c r="B163" i="1"/>
  <c r="AY163" i="1" s="1"/>
  <c r="A163" i="1"/>
  <c r="BM162" i="1"/>
  <c r="BK162" i="1"/>
  <c r="BL162" i="1" s="1"/>
  <c r="BE162" i="1"/>
  <c r="BD162" i="1"/>
  <c r="BC162" i="1"/>
  <c r="BA162" i="1"/>
  <c r="AX162" i="1"/>
  <c r="AW162" i="1"/>
  <c r="AV162" i="1"/>
  <c r="AU162" i="1"/>
  <c r="AT162" i="1"/>
  <c r="AN162" i="1"/>
  <c r="AE162" i="1"/>
  <c r="AB162" i="1"/>
  <c r="AQ162" i="1" s="1"/>
  <c r="AR162" i="1" s="1"/>
  <c r="X162" i="1"/>
  <c r="F162" i="1"/>
  <c r="E162" i="1"/>
  <c r="D162" i="1"/>
  <c r="B162" i="1"/>
  <c r="AY162" i="1" s="1"/>
  <c r="A162" i="1"/>
  <c r="BM161" i="1"/>
  <c r="BK161" i="1"/>
  <c r="BL161" i="1" s="1"/>
  <c r="BE161" i="1"/>
  <c r="BD161" i="1"/>
  <c r="BC161" i="1"/>
  <c r="BA161" i="1"/>
  <c r="AX161" i="1"/>
  <c r="AW161" i="1"/>
  <c r="AV161" i="1"/>
  <c r="AU161" i="1"/>
  <c r="AT161" i="1"/>
  <c r="AN161" i="1"/>
  <c r="AE161" i="1"/>
  <c r="AB161" i="1"/>
  <c r="AQ161" i="1" s="1"/>
  <c r="AR161" i="1" s="1"/>
  <c r="X161" i="1"/>
  <c r="F161" i="1"/>
  <c r="E161" i="1"/>
  <c r="D161" i="1"/>
  <c r="B161" i="1"/>
  <c r="AY161" i="1" s="1"/>
  <c r="A161" i="1"/>
  <c r="BM160" i="1"/>
  <c r="BK160" i="1"/>
  <c r="BL160" i="1" s="1"/>
  <c r="BE160" i="1"/>
  <c r="BD160" i="1"/>
  <c r="BC160" i="1"/>
  <c r="BA160" i="1"/>
  <c r="AX160" i="1"/>
  <c r="AW160" i="1"/>
  <c r="AV160" i="1"/>
  <c r="AU160" i="1"/>
  <c r="AT160" i="1"/>
  <c r="AN160" i="1"/>
  <c r="AE160" i="1"/>
  <c r="AB160" i="1"/>
  <c r="X160" i="1"/>
  <c r="F160" i="1"/>
  <c r="E160" i="1"/>
  <c r="D160" i="1"/>
  <c r="B160" i="1"/>
  <c r="AY160" i="1" s="1"/>
  <c r="A160" i="1"/>
  <c r="BM159" i="1"/>
  <c r="BK159" i="1"/>
  <c r="BL159" i="1" s="1"/>
  <c r="BE159" i="1"/>
  <c r="BD159" i="1"/>
  <c r="BC159" i="1"/>
  <c r="BA159" i="1"/>
  <c r="AX159" i="1"/>
  <c r="AW159" i="1"/>
  <c r="AV159" i="1"/>
  <c r="AU159" i="1"/>
  <c r="AT159" i="1"/>
  <c r="AQ159" i="1"/>
  <c r="AR159" i="1" s="1"/>
  <c r="AO159" i="1"/>
  <c r="AN159" i="1"/>
  <c r="AB159" i="1"/>
  <c r="AM159" i="1" s="1"/>
  <c r="X159" i="1"/>
  <c r="F159" i="1"/>
  <c r="E159" i="1"/>
  <c r="D159" i="1"/>
  <c r="B159" i="1"/>
  <c r="AY159" i="1" s="1"/>
  <c r="A159" i="1"/>
  <c r="BM158" i="1"/>
  <c r="BK158" i="1"/>
  <c r="BL158" i="1" s="1"/>
  <c r="BE158" i="1"/>
  <c r="BD158" i="1"/>
  <c r="BC158" i="1"/>
  <c r="BA158" i="1"/>
  <c r="AX158" i="1"/>
  <c r="AW158" i="1"/>
  <c r="AV158" i="1"/>
  <c r="AU158" i="1"/>
  <c r="AT158" i="1"/>
  <c r="AQ158" i="1"/>
  <c r="AR158" i="1" s="1"/>
  <c r="AP158" i="1"/>
  <c r="AO158" i="1"/>
  <c r="AB158" i="1"/>
  <c r="AM158" i="1" s="1"/>
  <c r="X158" i="1"/>
  <c r="F158" i="1"/>
  <c r="E158" i="1"/>
  <c r="D158" i="1"/>
  <c r="B158" i="1"/>
  <c r="AY158" i="1" s="1"/>
  <c r="A158" i="1"/>
  <c r="BM157" i="1"/>
  <c r="BK157" i="1"/>
  <c r="BL157" i="1" s="1"/>
  <c r="BE157" i="1"/>
  <c r="BD157" i="1"/>
  <c r="BC157" i="1"/>
  <c r="BA157" i="1"/>
  <c r="AX157" i="1"/>
  <c r="AW157" i="1"/>
  <c r="AV157" i="1"/>
  <c r="AU157" i="1"/>
  <c r="AT157" i="1"/>
  <c r="AQ157" i="1"/>
  <c r="AR157" i="1" s="1"/>
  <c r="AP157" i="1"/>
  <c r="AO157" i="1"/>
  <c r="AB157" i="1"/>
  <c r="AM157" i="1" s="1"/>
  <c r="X157" i="1"/>
  <c r="F157" i="1"/>
  <c r="E157" i="1"/>
  <c r="D157" i="1"/>
  <c r="B157" i="1"/>
  <c r="AY157" i="1" s="1"/>
  <c r="A157" i="1"/>
  <c r="BM156" i="1"/>
  <c r="BK156" i="1"/>
  <c r="BL156" i="1" s="1"/>
  <c r="BE156" i="1"/>
  <c r="BD156" i="1"/>
  <c r="BC156" i="1"/>
  <c r="BA156" i="1"/>
  <c r="AX156" i="1"/>
  <c r="AW156" i="1"/>
  <c r="AV156" i="1"/>
  <c r="AU156" i="1"/>
  <c r="AT156" i="1"/>
  <c r="AQ156" i="1"/>
  <c r="AR156" i="1" s="1"/>
  <c r="AP156" i="1"/>
  <c r="AO156" i="1"/>
  <c r="AB156" i="1"/>
  <c r="AM156" i="1" s="1"/>
  <c r="X156" i="1"/>
  <c r="F156" i="1"/>
  <c r="E156" i="1"/>
  <c r="D156" i="1"/>
  <c r="B156" i="1"/>
  <c r="AY156" i="1" s="1"/>
  <c r="A156" i="1"/>
  <c r="BM155" i="1"/>
  <c r="BK155" i="1"/>
  <c r="BL155" i="1" s="1"/>
  <c r="BE155" i="1"/>
  <c r="BD155" i="1"/>
  <c r="BC155" i="1"/>
  <c r="BA155" i="1"/>
  <c r="AX155" i="1"/>
  <c r="AW155" i="1"/>
  <c r="AV155" i="1"/>
  <c r="AU155" i="1"/>
  <c r="AT155" i="1"/>
  <c r="AQ155" i="1"/>
  <c r="AR155" i="1" s="1"/>
  <c r="AP155" i="1"/>
  <c r="AO155" i="1"/>
  <c r="AB155" i="1"/>
  <c r="AM155" i="1" s="1"/>
  <c r="X155" i="1"/>
  <c r="F155" i="1"/>
  <c r="E155" i="1"/>
  <c r="D155" i="1"/>
  <c r="B155" i="1"/>
  <c r="AY155" i="1" s="1"/>
  <c r="A155" i="1"/>
  <c r="BM154" i="1"/>
  <c r="BK154" i="1"/>
  <c r="BL154" i="1" s="1"/>
  <c r="BE154" i="1"/>
  <c r="BD154" i="1"/>
  <c r="BC154" i="1"/>
  <c r="BA154" i="1"/>
  <c r="AX154" i="1"/>
  <c r="AW154" i="1"/>
  <c r="AV154" i="1"/>
  <c r="AU154" i="1"/>
  <c r="AT154" i="1"/>
  <c r="AQ154" i="1"/>
  <c r="AR154" i="1" s="1"/>
  <c r="AP154" i="1"/>
  <c r="AO154" i="1"/>
  <c r="AB154" i="1"/>
  <c r="AM154" i="1" s="1"/>
  <c r="X154" i="1"/>
  <c r="F154" i="1"/>
  <c r="E154" i="1"/>
  <c r="D154" i="1"/>
  <c r="B154" i="1"/>
  <c r="AY154" i="1" s="1"/>
  <c r="A154" i="1"/>
  <c r="BM153" i="1"/>
  <c r="BK153" i="1"/>
  <c r="BL153" i="1" s="1"/>
  <c r="BE153" i="1"/>
  <c r="BD153" i="1"/>
  <c r="BC153" i="1"/>
  <c r="BA153" i="1"/>
  <c r="AX153" i="1"/>
  <c r="AW153" i="1"/>
  <c r="AV153" i="1"/>
  <c r="AU153" i="1"/>
  <c r="AT153" i="1"/>
  <c r="AQ153" i="1"/>
  <c r="AR153" i="1" s="1"/>
  <c r="AP153" i="1"/>
  <c r="AO153" i="1"/>
  <c r="AB153" i="1"/>
  <c r="AM153" i="1" s="1"/>
  <c r="X153" i="1"/>
  <c r="F153" i="1"/>
  <c r="E153" i="1"/>
  <c r="D153" i="1"/>
  <c r="B153" i="1"/>
  <c r="AY153" i="1" s="1"/>
  <c r="A153" i="1"/>
  <c r="BM152" i="1"/>
  <c r="BK152" i="1"/>
  <c r="BL152" i="1" s="1"/>
  <c r="BE152" i="1"/>
  <c r="BD152" i="1"/>
  <c r="BC152" i="1"/>
  <c r="BA152" i="1"/>
  <c r="AX152" i="1"/>
  <c r="AW152" i="1"/>
  <c r="AV152" i="1"/>
  <c r="AU152" i="1"/>
  <c r="AT152" i="1"/>
  <c r="AQ152" i="1"/>
  <c r="AR152" i="1" s="1"/>
  <c r="AP152" i="1"/>
  <c r="AO152" i="1"/>
  <c r="AB152" i="1"/>
  <c r="AM152" i="1" s="1"/>
  <c r="X152" i="1"/>
  <c r="F152" i="1"/>
  <c r="E152" i="1"/>
  <c r="D152" i="1"/>
  <c r="B152" i="1"/>
  <c r="AY152" i="1" s="1"/>
  <c r="A152" i="1"/>
  <c r="BM151" i="1"/>
  <c r="BK151" i="1"/>
  <c r="BL151" i="1" s="1"/>
  <c r="BE151" i="1"/>
  <c r="BD151" i="1"/>
  <c r="BC151" i="1"/>
  <c r="BA151" i="1"/>
  <c r="AX151" i="1"/>
  <c r="AW151" i="1"/>
  <c r="AV151" i="1"/>
  <c r="AU151" i="1"/>
  <c r="AT151" i="1"/>
  <c r="AO151" i="1"/>
  <c r="AN151" i="1"/>
  <c r="AB151" i="1"/>
  <c r="AQ151" i="1" s="1"/>
  <c r="AR151" i="1" s="1"/>
  <c r="X151" i="1"/>
  <c r="F151" i="1"/>
  <c r="E151" i="1"/>
  <c r="D151" i="1"/>
  <c r="B151" i="1"/>
  <c r="A151" i="1"/>
  <c r="BM150" i="1"/>
  <c r="BK150" i="1"/>
  <c r="BL150" i="1" s="1"/>
  <c r="BE150" i="1"/>
  <c r="BD150" i="1"/>
  <c r="BC150" i="1"/>
  <c r="BA150" i="1"/>
  <c r="AX150" i="1"/>
  <c r="AW150" i="1"/>
  <c r="AV150" i="1"/>
  <c r="AU150" i="1"/>
  <c r="AT150" i="1"/>
  <c r="AO150" i="1"/>
  <c r="AB150" i="1"/>
  <c r="AQ150" i="1" s="1"/>
  <c r="X150" i="1"/>
  <c r="F150" i="1"/>
  <c r="E150" i="1"/>
  <c r="D150" i="1"/>
  <c r="B150" i="1"/>
  <c r="AY150" i="1" s="1"/>
  <c r="A150" i="1"/>
  <c r="BM149" i="1"/>
  <c r="BK149" i="1"/>
  <c r="BL149" i="1" s="1"/>
  <c r="BE149" i="1"/>
  <c r="BD149" i="1"/>
  <c r="BC149" i="1"/>
  <c r="BA149" i="1"/>
  <c r="AX149" i="1"/>
  <c r="AW149" i="1"/>
  <c r="AV149" i="1"/>
  <c r="AU149" i="1"/>
  <c r="AT149" i="1"/>
  <c r="AQ149" i="1"/>
  <c r="AR149" i="1" s="1"/>
  <c r="AP149" i="1"/>
  <c r="AO149" i="1"/>
  <c r="AN149" i="1"/>
  <c r="AB149" i="1"/>
  <c r="AM149" i="1" s="1"/>
  <c r="X149" i="1"/>
  <c r="F149" i="1"/>
  <c r="E149" i="1"/>
  <c r="D149" i="1"/>
  <c r="B149" i="1"/>
  <c r="AY149" i="1" s="1"/>
  <c r="A149" i="1"/>
  <c r="BJ148" i="1"/>
  <c r="BH148" i="1"/>
  <c r="BI148" i="1" s="1"/>
  <c r="BE148" i="1"/>
  <c r="BD148" i="1"/>
  <c r="BC148" i="1"/>
  <c r="BA148" i="1"/>
  <c r="AX148" i="1"/>
  <c r="AW148" i="1"/>
  <c r="AV148" i="1"/>
  <c r="AU148" i="1"/>
  <c r="AT148" i="1"/>
  <c r="AO148" i="1"/>
  <c r="AB148" i="1"/>
  <c r="AQ148" i="1" s="1"/>
  <c r="X148" i="1"/>
  <c r="F148" i="1"/>
  <c r="E148" i="1"/>
  <c r="D148" i="1"/>
  <c r="B148" i="1"/>
  <c r="AY148" i="1" s="1"/>
  <c r="A148" i="1"/>
  <c r="BJ147" i="1"/>
  <c r="BH147" i="1"/>
  <c r="BI147" i="1" s="1"/>
  <c r="BE147" i="1"/>
  <c r="BD147" i="1"/>
  <c r="BC147" i="1"/>
  <c r="BA147" i="1"/>
  <c r="AX147" i="1"/>
  <c r="AW147" i="1"/>
  <c r="AV147" i="1"/>
  <c r="AU147" i="1"/>
  <c r="AT147" i="1"/>
  <c r="AO147" i="1"/>
  <c r="AB147" i="1"/>
  <c r="X147" i="1"/>
  <c r="F147" i="1"/>
  <c r="E147" i="1"/>
  <c r="D147" i="1"/>
  <c r="B147" i="1"/>
  <c r="AY147" i="1" s="1"/>
  <c r="A147" i="1"/>
  <c r="BJ146" i="1"/>
  <c r="BH146" i="1"/>
  <c r="BI146" i="1" s="1"/>
  <c r="BE146" i="1"/>
  <c r="BD146" i="1"/>
  <c r="BC146" i="1"/>
  <c r="BA146" i="1"/>
  <c r="AX146" i="1"/>
  <c r="AW146" i="1"/>
  <c r="AV146" i="1"/>
  <c r="AU146" i="1"/>
  <c r="AT146" i="1"/>
  <c r="AQ146" i="1"/>
  <c r="AR146" i="1" s="1"/>
  <c r="AP146" i="1"/>
  <c r="AO146" i="1"/>
  <c r="AN146" i="1"/>
  <c r="AB146" i="1"/>
  <c r="AM146" i="1" s="1"/>
  <c r="X146" i="1"/>
  <c r="F146" i="1"/>
  <c r="E146" i="1"/>
  <c r="D146" i="1"/>
  <c r="B146" i="1"/>
  <c r="AY146" i="1" s="1"/>
  <c r="A146" i="1"/>
  <c r="BM145" i="1"/>
  <c r="BK145" i="1"/>
  <c r="BL145" i="1" s="1"/>
  <c r="BE145" i="1"/>
  <c r="BD145" i="1"/>
  <c r="BC145" i="1"/>
  <c r="BA145" i="1"/>
  <c r="AX145" i="1"/>
  <c r="AW145" i="1"/>
  <c r="AV145" i="1"/>
  <c r="AU145" i="1"/>
  <c r="AT145" i="1"/>
  <c r="AO145" i="1"/>
  <c r="AB145" i="1"/>
  <c r="AQ145" i="1" s="1"/>
  <c r="X145" i="1"/>
  <c r="F145" i="1"/>
  <c r="E145" i="1"/>
  <c r="D145" i="1"/>
  <c r="B145" i="1"/>
  <c r="A145" i="1"/>
  <c r="BM144" i="1"/>
  <c r="BK144" i="1"/>
  <c r="BL144" i="1" s="1"/>
  <c r="BE144" i="1"/>
  <c r="BD144" i="1"/>
  <c r="BC144" i="1"/>
  <c r="BA144" i="1"/>
  <c r="AX144" i="1"/>
  <c r="AW144" i="1"/>
  <c r="AV144" i="1"/>
  <c r="AU144" i="1"/>
  <c r="AT144" i="1"/>
  <c r="AO144" i="1"/>
  <c r="AB144" i="1"/>
  <c r="AQ144" i="1" s="1"/>
  <c r="X144" i="1"/>
  <c r="F144" i="1"/>
  <c r="E144" i="1"/>
  <c r="D144" i="1"/>
  <c r="B144" i="1"/>
  <c r="AY144" i="1" s="1"/>
  <c r="A144" i="1"/>
  <c r="BM143" i="1"/>
  <c r="BK143" i="1"/>
  <c r="BL143" i="1" s="1"/>
  <c r="BE143" i="1"/>
  <c r="BD143" i="1"/>
  <c r="BC143" i="1"/>
  <c r="BA143" i="1"/>
  <c r="AX143" i="1"/>
  <c r="AW143" i="1"/>
  <c r="AV143" i="1"/>
  <c r="AU143" i="1"/>
  <c r="AT143" i="1"/>
  <c r="AQ143" i="1"/>
  <c r="AR143" i="1" s="1"/>
  <c r="AP143" i="1"/>
  <c r="AO143" i="1"/>
  <c r="AN143" i="1"/>
  <c r="AB143" i="1"/>
  <c r="AM143" i="1" s="1"/>
  <c r="X143" i="1"/>
  <c r="F143" i="1"/>
  <c r="E143" i="1"/>
  <c r="D143" i="1"/>
  <c r="B143" i="1"/>
  <c r="AY143" i="1" s="1"/>
  <c r="A143" i="1"/>
  <c r="BJ142" i="1"/>
  <c r="BH142" i="1"/>
  <c r="BI142" i="1" s="1"/>
  <c r="BD142" i="1"/>
  <c r="BC142" i="1"/>
  <c r="BA142" i="1"/>
  <c r="AX142" i="1"/>
  <c r="AW142" i="1"/>
  <c r="AV142" i="1"/>
  <c r="AU142" i="1"/>
  <c r="AT142" i="1"/>
  <c r="AQ142" i="1"/>
  <c r="AR142" i="1" s="1"/>
  <c r="AP142" i="1"/>
  <c r="AO142" i="1"/>
  <c r="AN142" i="1"/>
  <c r="AE142" i="1"/>
  <c r="AB142" i="1"/>
  <c r="BE142" i="1" s="1"/>
  <c r="X142" i="1"/>
  <c r="F142" i="1"/>
  <c r="E142" i="1"/>
  <c r="D142" i="1"/>
  <c r="B142" i="1"/>
  <c r="AY142" i="1" s="1"/>
  <c r="A142" i="1"/>
  <c r="BJ141" i="1"/>
  <c r="BH141" i="1"/>
  <c r="BI141" i="1" s="1"/>
  <c r="BD141" i="1"/>
  <c r="BC141" i="1"/>
  <c r="BA141" i="1"/>
  <c r="AX141" i="1"/>
  <c r="AW141" i="1"/>
  <c r="AV141" i="1"/>
  <c r="AU141" i="1"/>
  <c r="AT141" i="1"/>
  <c r="AQ141" i="1"/>
  <c r="AR141" i="1" s="1"/>
  <c r="AP141" i="1"/>
  <c r="AO141" i="1"/>
  <c r="AN141" i="1"/>
  <c r="AB141" i="1"/>
  <c r="AM141" i="1" s="1"/>
  <c r="X141" i="1"/>
  <c r="F141" i="1"/>
  <c r="E141" i="1"/>
  <c r="D141" i="1"/>
  <c r="B141" i="1"/>
  <c r="AY141" i="1" s="1"/>
  <c r="A141" i="1"/>
  <c r="BJ140" i="1"/>
  <c r="BH140" i="1"/>
  <c r="BI140" i="1" s="1"/>
  <c r="BE140" i="1"/>
  <c r="BC140" i="1"/>
  <c r="BA140" i="1"/>
  <c r="AX140" i="1"/>
  <c r="AW140" i="1"/>
  <c r="AV140" i="1"/>
  <c r="AU140" i="1"/>
  <c r="AT140" i="1"/>
  <c r="AQ140" i="1"/>
  <c r="AR140" i="1" s="1"/>
  <c r="AP140" i="1"/>
  <c r="AO140" i="1"/>
  <c r="AN140" i="1"/>
  <c r="AE140" i="1"/>
  <c r="AB140" i="1"/>
  <c r="AM140" i="1" s="1"/>
  <c r="X140" i="1"/>
  <c r="F140" i="1"/>
  <c r="E140" i="1"/>
  <c r="D140" i="1"/>
  <c r="B140" i="1"/>
  <c r="AY140" i="1" s="1"/>
  <c r="A140" i="1"/>
  <c r="BJ139" i="1"/>
  <c r="BH139" i="1"/>
  <c r="BI139" i="1" s="1"/>
  <c r="BE139" i="1"/>
  <c r="BD139" i="1"/>
  <c r="BA139" i="1"/>
  <c r="AX139" i="1"/>
  <c r="AW139" i="1"/>
  <c r="AV139" i="1"/>
  <c r="AU139" i="1"/>
  <c r="AT139" i="1"/>
  <c r="AQ139" i="1"/>
  <c r="AR139" i="1" s="1"/>
  <c r="AP139" i="1"/>
  <c r="AO139" i="1"/>
  <c r="AN139" i="1"/>
  <c r="AE139" i="1"/>
  <c r="AB139" i="1"/>
  <c r="AM139" i="1" s="1"/>
  <c r="X139" i="1"/>
  <c r="F139" i="1"/>
  <c r="E139" i="1"/>
  <c r="D139" i="1"/>
  <c r="B139" i="1"/>
  <c r="A139" i="1"/>
  <c r="BJ138" i="1"/>
  <c r="BH138" i="1"/>
  <c r="BI138" i="1" s="1"/>
  <c r="BE138" i="1"/>
  <c r="BD138" i="1"/>
  <c r="BC138" i="1"/>
  <c r="BA138" i="1"/>
  <c r="AX138" i="1"/>
  <c r="AV138" i="1"/>
  <c r="AU138" i="1"/>
  <c r="AT138" i="1"/>
  <c r="AQ138" i="1"/>
  <c r="AR138" i="1" s="1"/>
  <c r="AP138" i="1"/>
  <c r="AO138" i="1"/>
  <c r="AN138" i="1"/>
  <c r="AE138" i="1"/>
  <c r="AB138" i="1"/>
  <c r="AW138" i="1" s="1"/>
  <c r="X138" i="1"/>
  <c r="F138" i="1"/>
  <c r="E138" i="1"/>
  <c r="D138" i="1"/>
  <c r="B138" i="1"/>
  <c r="AY138" i="1" s="1"/>
  <c r="A138" i="1"/>
  <c r="BJ137" i="1"/>
  <c r="BH137" i="1"/>
  <c r="BI137" i="1" s="1"/>
  <c r="BE137" i="1"/>
  <c r="BD137" i="1"/>
  <c r="BC137" i="1"/>
  <c r="BA137" i="1"/>
  <c r="AX137" i="1"/>
  <c r="AV137" i="1"/>
  <c r="AU137" i="1"/>
  <c r="AT137" i="1"/>
  <c r="AQ137" i="1"/>
  <c r="AR137" i="1" s="1"/>
  <c r="AP137" i="1"/>
  <c r="AO137" i="1"/>
  <c r="AN137" i="1"/>
  <c r="AE137" i="1"/>
  <c r="AB137" i="1"/>
  <c r="X137" i="1"/>
  <c r="F137" i="1"/>
  <c r="E137" i="1"/>
  <c r="D137" i="1"/>
  <c r="B137" i="1"/>
  <c r="AY137" i="1" s="1"/>
  <c r="A137" i="1"/>
  <c r="BJ136" i="1"/>
  <c r="BH136" i="1"/>
  <c r="BI136" i="1" s="1"/>
  <c r="BE136" i="1"/>
  <c r="BD136" i="1"/>
  <c r="BC136" i="1"/>
  <c r="BA136" i="1"/>
  <c r="AX136" i="1"/>
  <c r="AV136" i="1"/>
  <c r="AU136" i="1"/>
  <c r="AT136" i="1"/>
  <c r="AQ136" i="1"/>
  <c r="AR136" i="1" s="1"/>
  <c r="AP136" i="1"/>
  <c r="AO136" i="1"/>
  <c r="AN136" i="1"/>
  <c r="AE136" i="1"/>
  <c r="AB136" i="1"/>
  <c r="X136" i="1"/>
  <c r="F136" i="1"/>
  <c r="E136" i="1"/>
  <c r="D136" i="1"/>
  <c r="B136" i="1"/>
  <c r="AY136" i="1" s="1"/>
  <c r="A136" i="1"/>
  <c r="BM135" i="1"/>
  <c r="BK135" i="1"/>
  <c r="BL135" i="1" s="1"/>
  <c r="BE135" i="1"/>
  <c r="BD135" i="1"/>
  <c r="BC135" i="1"/>
  <c r="BA135" i="1"/>
  <c r="AX135" i="1"/>
  <c r="AW135" i="1"/>
  <c r="AV135" i="1"/>
  <c r="AU135" i="1"/>
  <c r="AT135" i="1"/>
  <c r="AN135" i="1"/>
  <c r="AE135" i="1"/>
  <c r="AB135" i="1"/>
  <c r="AP135" i="1" s="1"/>
  <c r="X135" i="1"/>
  <c r="F135" i="1"/>
  <c r="E135" i="1"/>
  <c r="D135" i="1"/>
  <c r="B135" i="1"/>
  <c r="BB135" i="1" s="1"/>
  <c r="A135" i="1"/>
  <c r="BM134" i="1"/>
  <c r="BK134" i="1"/>
  <c r="BL134" i="1" s="1"/>
  <c r="BE134" i="1"/>
  <c r="BD134" i="1"/>
  <c r="BC134" i="1"/>
  <c r="BA134" i="1"/>
  <c r="AX134" i="1"/>
  <c r="AW134" i="1"/>
  <c r="AV134" i="1"/>
  <c r="AU134" i="1"/>
  <c r="AT134" i="1"/>
  <c r="AQ134" i="1"/>
  <c r="AR134" i="1" s="1"/>
  <c r="AP134" i="1"/>
  <c r="AN134" i="1"/>
  <c r="AE134" i="1"/>
  <c r="AB134" i="1"/>
  <c r="X134" i="1"/>
  <c r="F134" i="1"/>
  <c r="E134" i="1"/>
  <c r="D134" i="1"/>
  <c r="B134" i="1"/>
  <c r="BB134" i="1" s="1"/>
  <c r="A134" i="1"/>
  <c r="BM133" i="1"/>
  <c r="BK133" i="1"/>
  <c r="BL133" i="1" s="1"/>
  <c r="BE133" i="1"/>
  <c r="BD133" i="1"/>
  <c r="BC133" i="1"/>
  <c r="BA133" i="1"/>
  <c r="AX133" i="1"/>
  <c r="AW133" i="1"/>
  <c r="AV133" i="1"/>
  <c r="AU133" i="1"/>
  <c r="AT133" i="1"/>
  <c r="AO133" i="1"/>
  <c r="AN133" i="1"/>
  <c r="AB133" i="1"/>
  <c r="AP133" i="1" s="1"/>
  <c r="X133" i="1"/>
  <c r="F133" i="1"/>
  <c r="E133" i="1"/>
  <c r="D133" i="1"/>
  <c r="B133" i="1"/>
  <c r="BB133" i="1" s="1"/>
  <c r="A133" i="1"/>
  <c r="BM132" i="1"/>
  <c r="BK132" i="1"/>
  <c r="BL132" i="1" s="1"/>
  <c r="BE132" i="1"/>
  <c r="BD132" i="1"/>
  <c r="BC132" i="1"/>
  <c r="BA132" i="1"/>
  <c r="AX132" i="1"/>
  <c r="AW132" i="1"/>
  <c r="AV132" i="1"/>
  <c r="AU132" i="1"/>
  <c r="AT132" i="1"/>
  <c r="AQ132" i="1"/>
  <c r="AR132" i="1" s="1"/>
  <c r="AP132" i="1"/>
  <c r="AO132" i="1"/>
  <c r="AB132" i="1"/>
  <c r="X132" i="1"/>
  <c r="F132" i="1"/>
  <c r="E132" i="1"/>
  <c r="D132" i="1"/>
  <c r="B132" i="1"/>
  <c r="A132" i="1"/>
  <c r="BM131" i="1"/>
  <c r="BK131" i="1"/>
  <c r="BL131" i="1" s="1"/>
  <c r="BE131" i="1"/>
  <c r="BD131" i="1"/>
  <c r="BC131" i="1"/>
  <c r="BA131" i="1"/>
  <c r="AX131" i="1"/>
  <c r="AW131" i="1"/>
  <c r="AV131" i="1"/>
  <c r="AU131" i="1"/>
  <c r="AT131" i="1"/>
  <c r="AO131" i="1"/>
  <c r="AN131" i="1"/>
  <c r="AB131" i="1"/>
  <c r="AP131" i="1" s="1"/>
  <c r="X131" i="1"/>
  <c r="F131" i="1"/>
  <c r="E131" i="1"/>
  <c r="D131" i="1"/>
  <c r="B131" i="1"/>
  <c r="BB131" i="1" s="1"/>
  <c r="A131" i="1"/>
  <c r="BM130" i="1"/>
  <c r="BK130" i="1"/>
  <c r="BL130" i="1" s="1"/>
  <c r="BE130" i="1"/>
  <c r="BD130" i="1"/>
  <c r="BC130" i="1"/>
  <c r="BA130" i="1"/>
  <c r="AX130" i="1"/>
  <c r="AW130" i="1"/>
  <c r="AV130" i="1"/>
  <c r="AU130" i="1"/>
  <c r="AT130" i="1"/>
  <c r="AQ130" i="1"/>
  <c r="AR130" i="1" s="1"/>
  <c r="AP130" i="1"/>
  <c r="AN130" i="1"/>
  <c r="AE130" i="1"/>
  <c r="AB130" i="1"/>
  <c r="X130" i="1"/>
  <c r="F130" i="1"/>
  <c r="E130" i="1"/>
  <c r="D130" i="1"/>
  <c r="B130" i="1"/>
  <c r="BB130" i="1" s="1"/>
  <c r="A130" i="1"/>
  <c r="BM129" i="1"/>
  <c r="BK129" i="1"/>
  <c r="BL129" i="1" s="1"/>
  <c r="BE129" i="1"/>
  <c r="BD129" i="1"/>
  <c r="BC129" i="1"/>
  <c r="BA129" i="1"/>
  <c r="AX129" i="1"/>
  <c r="AW129" i="1"/>
  <c r="AV129" i="1"/>
  <c r="AU129" i="1"/>
  <c r="AT129" i="1"/>
  <c r="AO129" i="1"/>
  <c r="AN129" i="1"/>
  <c r="AB129" i="1"/>
  <c r="AP129" i="1" s="1"/>
  <c r="X129" i="1"/>
  <c r="F129" i="1"/>
  <c r="E129" i="1"/>
  <c r="D129" i="1"/>
  <c r="B129" i="1"/>
  <c r="A129" i="1"/>
  <c r="BM128" i="1"/>
  <c r="BK128" i="1"/>
  <c r="BL128" i="1" s="1"/>
  <c r="BE128" i="1"/>
  <c r="BD128" i="1"/>
  <c r="BC128" i="1"/>
  <c r="BA128" i="1"/>
  <c r="AX128" i="1"/>
  <c r="AW128" i="1"/>
  <c r="AV128" i="1"/>
  <c r="AU128" i="1"/>
  <c r="AT128" i="1"/>
  <c r="AN128" i="1"/>
  <c r="AE128" i="1"/>
  <c r="AB128" i="1"/>
  <c r="AP128" i="1" s="1"/>
  <c r="X128" i="1"/>
  <c r="F128" i="1"/>
  <c r="E128" i="1"/>
  <c r="D128" i="1"/>
  <c r="B128" i="1"/>
  <c r="A128" i="1"/>
  <c r="BM127" i="1"/>
  <c r="BK127" i="1"/>
  <c r="BL127" i="1" s="1"/>
  <c r="BE127" i="1"/>
  <c r="BD127" i="1"/>
  <c r="BC127" i="1"/>
  <c r="BA127" i="1"/>
  <c r="AX127" i="1"/>
  <c r="AW127" i="1"/>
  <c r="AV127" i="1"/>
  <c r="AU127" i="1"/>
  <c r="AT127" i="1"/>
  <c r="AQ127" i="1"/>
  <c r="AR127" i="1" s="1"/>
  <c r="AN127" i="1"/>
  <c r="AE127" i="1"/>
  <c r="AB127" i="1"/>
  <c r="AP127" i="1" s="1"/>
  <c r="X127" i="1"/>
  <c r="F127" i="1"/>
  <c r="E127" i="1"/>
  <c r="D127" i="1"/>
  <c r="B127" i="1"/>
  <c r="A127" i="1"/>
  <c r="BM126" i="1"/>
  <c r="BK126" i="1"/>
  <c r="BL126" i="1" s="1"/>
  <c r="BE126" i="1"/>
  <c r="BD126" i="1"/>
  <c r="BC126" i="1"/>
  <c r="BA126" i="1"/>
  <c r="AX126" i="1"/>
  <c r="AW126" i="1"/>
  <c r="AV126" i="1"/>
  <c r="AU126" i="1"/>
  <c r="AT126" i="1"/>
  <c r="AN126" i="1"/>
  <c r="AE126" i="1"/>
  <c r="AB126" i="1"/>
  <c r="AP126" i="1" s="1"/>
  <c r="X126" i="1"/>
  <c r="F126" i="1"/>
  <c r="E126" i="1"/>
  <c r="D126" i="1"/>
  <c r="B126" i="1"/>
  <c r="BB126" i="1" s="1"/>
  <c r="A126" i="1"/>
  <c r="BM125" i="1"/>
  <c r="BK125" i="1"/>
  <c r="BL125" i="1" s="1"/>
  <c r="BE125" i="1"/>
  <c r="BD125" i="1"/>
  <c r="BC125" i="1"/>
  <c r="BA125" i="1"/>
  <c r="AX125" i="1"/>
  <c r="AW125" i="1"/>
  <c r="AV125" i="1"/>
  <c r="AU125" i="1"/>
  <c r="AT125" i="1"/>
  <c r="AN125" i="1"/>
  <c r="AE125" i="1"/>
  <c r="AB125" i="1"/>
  <c r="AP125" i="1" s="1"/>
  <c r="X125" i="1"/>
  <c r="F125" i="1"/>
  <c r="E125" i="1"/>
  <c r="D125" i="1"/>
  <c r="B125" i="1"/>
  <c r="BB125" i="1" s="1"/>
  <c r="A125" i="1"/>
  <c r="BM124" i="1"/>
  <c r="BK124" i="1"/>
  <c r="BL124" i="1" s="1"/>
  <c r="BE124" i="1"/>
  <c r="BD124" i="1"/>
  <c r="BC124" i="1"/>
  <c r="BA124" i="1"/>
  <c r="AX124" i="1"/>
  <c r="AW124" i="1"/>
  <c r="AV124" i="1"/>
  <c r="AU124" i="1"/>
  <c r="AT124" i="1"/>
  <c r="AQ124" i="1"/>
  <c r="AR124" i="1" s="1"/>
  <c r="AP124" i="1"/>
  <c r="AO124" i="1"/>
  <c r="AN124" i="1"/>
  <c r="AB124" i="1"/>
  <c r="X124" i="1"/>
  <c r="F124" i="1"/>
  <c r="E124" i="1"/>
  <c r="D124" i="1"/>
  <c r="B124" i="1"/>
  <c r="A124" i="1"/>
  <c r="BJ123" i="1"/>
  <c r="BH123" i="1"/>
  <c r="BI123" i="1" s="1"/>
  <c r="BE123" i="1"/>
  <c r="BD123" i="1"/>
  <c r="BC123" i="1"/>
  <c r="BA123" i="1"/>
  <c r="AX123" i="1"/>
  <c r="AW123" i="1"/>
  <c r="AU123" i="1"/>
  <c r="AT123" i="1"/>
  <c r="AQ123" i="1"/>
  <c r="AR123" i="1" s="1"/>
  <c r="AP123" i="1"/>
  <c r="AO123" i="1"/>
  <c r="AN123" i="1"/>
  <c r="AE123" i="1"/>
  <c r="AB123" i="1"/>
  <c r="AV123" i="1" s="1"/>
  <c r="X123" i="1"/>
  <c r="F123" i="1"/>
  <c r="E123" i="1"/>
  <c r="D123" i="1"/>
  <c r="B123" i="1"/>
  <c r="A123" i="1"/>
  <c r="BJ122" i="1"/>
  <c r="BH122" i="1"/>
  <c r="BI122" i="1" s="1"/>
  <c r="BE122" i="1"/>
  <c r="BD122" i="1"/>
  <c r="BC122" i="1"/>
  <c r="BA122" i="1"/>
  <c r="AX122" i="1"/>
  <c r="AW122" i="1"/>
  <c r="AV122" i="1"/>
  <c r="AU122" i="1"/>
  <c r="AT122" i="1"/>
  <c r="AN122" i="1"/>
  <c r="AE122" i="1"/>
  <c r="AB122" i="1"/>
  <c r="AP122" i="1" s="1"/>
  <c r="X122" i="1"/>
  <c r="F122" i="1"/>
  <c r="E122" i="1"/>
  <c r="D122" i="1"/>
  <c r="B122" i="1"/>
  <c r="BB122" i="1" s="1"/>
  <c r="A122" i="1"/>
  <c r="BJ121" i="1"/>
  <c r="BH121" i="1"/>
  <c r="BI121" i="1" s="1"/>
  <c r="BE121" i="1"/>
  <c r="BD121" i="1"/>
  <c r="BC121" i="1"/>
  <c r="BA121" i="1"/>
  <c r="AX121" i="1"/>
  <c r="AW121" i="1"/>
  <c r="AV121" i="1"/>
  <c r="AU121" i="1"/>
  <c r="AT121" i="1"/>
  <c r="AN121" i="1"/>
  <c r="AE121" i="1"/>
  <c r="AB121" i="1"/>
  <c r="AP121" i="1" s="1"/>
  <c r="X121" i="1"/>
  <c r="F121" i="1"/>
  <c r="E121" i="1"/>
  <c r="D121" i="1"/>
  <c r="B121" i="1"/>
  <c r="BB121" i="1" s="1"/>
  <c r="A121" i="1"/>
  <c r="BJ120" i="1"/>
  <c r="BH120" i="1"/>
  <c r="BI120" i="1" s="1"/>
  <c r="BE120" i="1"/>
  <c r="BD120" i="1"/>
  <c r="BC120" i="1"/>
  <c r="BA120" i="1"/>
  <c r="AX120" i="1"/>
  <c r="AW120" i="1"/>
  <c r="AV120" i="1"/>
  <c r="AU120" i="1"/>
  <c r="AT120" i="1"/>
  <c r="AQ120" i="1"/>
  <c r="AR120" i="1" s="1"/>
  <c r="AP120" i="1"/>
  <c r="AO120" i="1"/>
  <c r="AN120" i="1"/>
  <c r="AB120" i="1"/>
  <c r="X120" i="1"/>
  <c r="F120" i="1"/>
  <c r="E120" i="1"/>
  <c r="D120" i="1"/>
  <c r="B120" i="1"/>
  <c r="BB120" i="1" s="1"/>
  <c r="A120" i="1"/>
  <c r="BJ119" i="1"/>
  <c r="BH119" i="1"/>
  <c r="BI119" i="1" s="1"/>
  <c r="BE119" i="1"/>
  <c r="BD119" i="1"/>
  <c r="BC119" i="1"/>
  <c r="BA119" i="1"/>
  <c r="AX119" i="1"/>
  <c r="AW119" i="1"/>
  <c r="AV119" i="1"/>
  <c r="AU119" i="1"/>
  <c r="AT119" i="1"/>
  <c r="AN119" i="1"/>
  <c r="AE119" i="1"/>
  <c r="AB119" i="1"/>
  <c r="AP119" i="1" s="1"/>
  <c r="X119" i="1"/>
  <c r="F119" i="1"/>
  <c r="E119" i="1"/>
  <c r="D119" i="1"/>
  <c r="B119" i="1"/>
  <c r="BB119" i="1" s="1"/>
  <c r="A119" i="1"/>
  <c r="BJ118" i="1"/>
  <c r="BH118" i="1"/>
  <c r="BI118" i="1" s="1"/>
  <c r="BE118" i="1"/>
  <c r="BD118" i="1"/>
  <c r="BC118" i="1"/>
  <c r="BA118" i="1"/>
  <c r="AX118" i="1"/>
  <c r="AW118" i="1"/>
  <c r="AV118" i="1"/>
  <c r="AU118" i="1"/>
  <c r="AT118" i="1"/>
  <c r="AN118" i="1"/>
  <c r="AE118" i="1"/>
  <c r="AB118" i="1"/>
  <c r="AP118" i="1" s="1"/>
  <c r="X118" i="1"/>
  <c r="F118" i="1"/>
  <c r="E118" i="1"/>
  <c r="D118" i="1"/>
  <c r="B118" i="1"/>
  <c r="A118" i="1"/>
  <c r="BJ117" i="1"/>
  <c r="BH117" i="1"/>
  <c r="BI117" i="1" s="1"/>
  <c r="BE117" i="1"/>
  <c r="BD117" i="1"/>
  <c r="BC117" i="1"/>
  <c r="BA117" i="1"/>
  <c r="AX117" i="1"/>
  <c r="AW117" i="1"/>
  <c r="AV117" i="1"/>
  <c r="AU117" i="1"/>
  <c r="AT117" i="1"/>
  <c r="AQ117" i="1"/>
  <c r="AR117" i="1" s="1"/>
  <c r="AP117" i="1"/>
  <c r="AO117" i="1"/>
  <c r="AN117" i="1"/>
  <c r="AB117" i="1"/>
  <c r="X117" i="1"/>
  <c r="F117" i="1"/>
  <c r="E117" i="1"/>
  <c r="D117" i="1"/>
  <c r="B117" i="1"/>
  <c r="BB117" i="1" s="1"/>
  <c r="A117" i="1"/>
  <c r="BJ116" i="1"/>
  <c r="BH116" i="1"/>
  <c r="BI116" i="1" s="1"/>
  <c r="BE116" i="1"/>
  <c r="BD116" i="1"/>
  <c r="BC116" i="1"/>
  <c r="BA116" i="1"/>
  <c r="AX116" i="1"/>
  <c r="AW116" i="1"/>
  <c r="AV116" i="1"/>
  <c r="AU116" i="1"/>
  <c r="AT116" i="1"/>
  <c r="AQ116" i="1"/>
  <c r="AR116" i="1" s="1"/>
  <c r="AP116" i="1"/>
  <c r="AN116" i="1"/>
  <c r="AE116" i="1"/>
  <c r="AB116" i="1"/>
  <c r="X116" i="1"/>
  <c r="F116" i="1"/>
  <c r="E116" i="1"/>
  <c r="D116" i="1"/>
  <c r="B116" i="1"/>
  <c r="BB116" i="1" s="1"/>
  <c r="A116" i="1"/>
  <c r="BJ115" i="1"/>
  <c r="BH115" i="1"/>
  <c r="BI115" i="1" s="1"/>
  <c r="BE115" i="1"/>
  <c r="BD115" i="1"/>
  <c r="BC115" i="1"/>
  <c r="BA115" i="1"/>
  <c r="AX115" i="1"/>
  <c r="AW115" i="1"/>
  <c r="AV115" i="1"/>
  <c r="AU115" i="1"/>
  <c r="AT115" i="1"/>
  <c r="AQ115" i="1"/>
  <c r="AR115" i="1" s="1"/>
  <c r="AP115" i="1"/>
  <c r="AN115" i="1"/>
  <c r="AE115" i="1"/>
  <c r="AB115" i="1"/>
  <c r="X115" i="1"/>
  <c r="F115" i="1"/>
  <c r="E115" i="1"/>
  <c r="D115" i="1"/>
  <c r="B115" i="1"/>
  <c r="BB115" i="1" s="1"/>
  <c r="A115" i="1"/>
  <c r="BJ114" i="1"/>
  <c r="BH114" i="1"/>
  <c r="BI114" i="1" s="1"/>
  <c r="BE114" i="1"/>
  <c r="BD114" i="1"/>
  <c r="BC114" i="1"/>
  <c r="BA114" i="1"/>
  <c r="AX114" i="1"/>
  <c r="AW114" i="1"/>
  <c r="AV114" i="1"/>
  <c r="AU114" i="1"/>
  <c r="AT114" i="1"/>
  <c r="AQ114" i="1"/>
  <c r="AR114" i="1" s="1"/>
  <c r="AP114" i="1"/>
  <c r="AN114" i="1"/>
  <c r="AE114" i="1"/>
  <c r="AB114" i="1"/>
  <c r="X114" i="1"/>
  <c r="F114" i="1"/>
  <c r="E114" i="1"/>
  <c r="D114" i="1"/>
  <c r="B114" i="1"/>
  <c r="BB114" i="1" s="1"/>
  <c r="A114" i="1"/>
  <c r="BJ113" i="1"/>
  <c r="BH113" i="1"/>
  <c r="BI113" i="1" s="1"/>
  <c r="BE113" i="1"/>
  <c r="BD113" i="1"/>
  <c r="BC113" i="1"/>
  <c r="BA113" i="1"/>
  <c r="AX113" i="1"/>
  <c r="AW113" i="1"/>
  <c r="AV113" i="1"/>
  <c r="AU113" i="1"/>
  <c r="AT113" i="1"/>
  <c r="AQ113" i="1"/>
  <c r="AR113" i="1" s="1"/>
  <c r="AP113" i="1"/>
  <c r="AN113" i="1"/>
  <c r="AE113" i="1"/>
  <c r="AB113" i="1"/>
  <c r="X113" i="1"/>
  <c r="F113" i="1"/>
  <c r="E113" i="1"/>
  <c r="D113" i="1"/>
  <c r="B113" i="1"/>
  <c r="BB113" i="1" s="1"/>
  <c r="A113" i="1"/>
  <c r="BJ112" i="1"/>
  <c r="BH112" i="1"/>
  <c r="BI112" i="1" s="1"/>
  <c r="BE112" i="1"/>
  <c r="BD112" i="1"/>
  <c r="BC112" i="1"/>
  <c r="BA112" i="1"/>
  <c r="AX112" i="1"/>
  <c r="AW112" i="1"/>
  <c r="AV112" i="1"/>
  <c r="AU112" i="1"/>
  <c r="AT112" i="1"/>
  <c r="AQ112" i="1"/>
  <c r="AR112" i="1" s="1"/>
  <c r="AP112" i="1"/>
  <c r="AN112" i="1"/>
  <c r="AE112" i="1"/>
  <c r="AB112" i="1"/>
  <c r="X112" i="1"/>
  <c r="F112" i="1"/>
  <c r="E112" i="1"/>
  <c r="D112" i="1"/>
  <c r="B112" i="1"/>
  <c r="BB112" i="1" s="1"/>
  <c r="A112" i="1"/>
  <c r="BJ111" i="1"/>
  <c r="BH111" i="1"/>
  <c r="BI111" i="1" s="1"/>
  <c r="BE111" i="1"/>
  <c r="BD111" i="1"/>
  <c r="BC111" i="1"/>
  <c r="BA111" i="1"/>
  <c r="AX111" i="1"/>
  <c r="AW111" i="1"/>
  <c r="AV111" i="1"/>
  <c r="AU111" i="1"/>
  <c r="AT111" i="1"/>
  <c r="AO111" i="1"/>
  <c r="AN111" i="1"/>
  <c r="AB111" i="1"/>
  <c r="AP111" i="1" s="1"/>
  <c r="X111" i="1"/>
  <c r="F111" i="1"/>
  <c r="E111" i="1"/>
  <c r="D111" i="1"/>
  <c r="B111" i="1"/>
  <c r="BB111" i="1" s="1"/>
  <c r="A111" i="1"/>
  <c r="BJ110" i="1"/>
  <c r="BH110" i="1"/>
  <c r="BI110" i="1" s="1"/>
  <c r="BE110" i="1"/>
  <c r="BD110" i="1"/>
  <c r="BC110" i="1"/>
  <c r="BA110" i="1"/>
  <c r="AX110" i="1"/>
  <c r="AW110" i="1"/>
  <c r="AV110" i="1"/>
  <c r="AU110" i="1"/>
  <c r="AT110" i="1"/>
  <c r="AQ110" i="1"/>
  <c r="AR110" i="1" s="1"/>
  <c r="AP110" i="1"/>
  <c r="AN110" i="1"/>
  <c r="AE110" i="1"/>
  <c r="AB110" i="1"/>
  <c r="X110" i="1"/>
  <c r="F110" i="1"/>
  <c r="E110" i="1"/>
  <c r="D110" i="1"/>
  <c r="B110" i="1"/>
  <c r="BB110" i="1" s="1"/>
  <c r="A110" i="1"/>
  <c r="BJ109" i="1"/>
  <c r="BH109" i="1"/>
  <c r="BI109" i="1" s="1"/>
  <c r="BE109" i="1"/>
  <c r="BD109" i="1"/>
  <c r="BC109" i="1"/>
  <c r="BA109" i="1"/>
  <c r="AX109" i="1"/>
  <c r="AW109" i="1"/>
  <c r="AV109" i="1"/>
  <c r="AU109" i="1"/>
  <c r="AT109" i="1"/>
  <c r="AQ109" i="1"/>
  <c r="AR109" i="1" s="1"/>
  <c r="AP109" i="1"/>
  <c r="AN109" i="1"/>
  <c r="AE109" i="1"/>
  <c r="AB109" i="1"/>
  <c r="X109" i="1"/>
  <c r="F109" i="1"/>
  <c r="E109" i="1"/>
  <c r="D109" i="1"/>
  <c r="B109" i="1"/>
  <c r="BB109" i="1" s="1"/>
  <c r="A109" i="1"/>
  <c r="BJ108" i="1"/>
  <c r="BH108" i="1"/>
  <c r="BI108" i="1" s="1"/>
  <c r="BE108" i="1"/>
  <c r="BD108" i="1"/>
  <c r="BC108" i="1"/>
  <c r="BA108" i="1"/>
  <c r="AX108" i="1"/>
  <c r="AW108" i="1"/>
  <c r="AV108" i="1"/>
  <c r="AU108" i="1"/>
  <c r="AT108" i="1"/>
  <c r="AQ108" i="1"/>
  <c r="AR108" i="1" s="1"/>
  <c r="AP108" i="1"/>
  <c r="AN108" i="1"/>
  <c r="AE108" i="1"/>
  <c r="AB108" i="1"/>
  <c r="X108" i="1"/>
  <c r="F108" i="1"/>
  <c r="E108" i="1"/>
  <c r="D108" i="1"/>
  <c r="B108" i="1"/>
  <c r="BB108" i="1" s="1"/>
  <c r="A108" i="1"/>
  <c r="BJ107" i="1"/>
  <c r="BH107" i="1"/>
  <c r="BI107" i="1" s="1"/>
  <c r="BE107" i="1"/>
  <c r="BD107" i="1"/>
  <c r="BC107" i="1"/>
  <c r="BA107" i="1"/>
  <c r="AX107" i="1"/>
  <c r="AW107" i="1"/>
  <c r="AV107" i="1"/>
  <c r="AU107" i="1"/>
  <c r="AT107" i="1"/>
  <c r="AQ107" i="1"/>
  <c r="AR107" i="1" s="1"/>
  <c r="AP107" i="1"/>
  <c r="AN107" i="1"/>
  <c r="AE107" i="1"/>
  <c r="AB107" i="1"/>
  <c r="X107" i="1"/>
  <c r="F107" i="1"/>
  <c r="E107" i="1"/>
  <c r="D107" i="1"/>
  <c r="B107" i="1"/>
  <c r="BB107" i="1" s="1"/>
  <c r="A107" i="1"/>
  <c r="BJ106" i="1"/>
  <c r="BH106" i="1"/>
  <c r="BI106" i="1" s="1"/>
  <c r="BE106" i="1"/>
  <c r="BD106" i="1"/>
  <c r="BC106" i="1"/>
  <c r="BA106" i="1"/>
  <c r="AX106" i="1"/>
  <c r="AW106" i="1"/>
  <c r="AV106" i="1"/>
  <c r="AU106" i="1"/>
  <c r="AT106" i="1"/>
  <c r="AQ106" i="1"/>
  <c r="AR106" i="1" s="1"/>
  <c r="AP106" i="1"/>
  <c r="AN106" i="1"/>
  <c r="AE106" i="1"/>
  <c r="AB106" i="1"/>
  <c r="X106" i="1"/>
  <c r="F106" i="1"/>
  <c r="E106" i="1"/>
  <c r="D106" i="1"/>
  <c r="B106" i="1"/>
  <c r="BB106" i="1" s="1"/>
  <c r="A106" i="1"/>
  <c r="BJ105" i="1"/>
  <c r="BH105" i="1"/>
  <c r="BI105" i="1" s="1"/>
  <c r="BE105" i="1"/>
  <c r="BD105" i="1"/>
  <c r="BC105" i="1"/>
  <c r="BA105" i="1"/>
  <c r="AX105" i="1"/>
  <c r="AW105" i="1"/>
  <c r="AV105" i="1"/>
  <c r="AU105" i="1"/>
  <c r="AT105" i="1"/>
  <c r="AO105" i="1"/>
  <c r="AN105" i="1"/>
  <c r="AB105" i="1"/>
  <c r="AP105" i="1" s="1"/>
  <c r="X105" i="1"/>
  <c r="F105" i="1"/>
  <c r="E105" i="1"/>
  <c r="D105" i="1"/>
  <c r="B105" i="1"/>
  <c r="A105" i="1"/>
  <c r="BM104" i="1"/>
  <c r="BK104" i="1"/>
  <c r="BL104" i="1" s="1"/>
  <c r="BE104" i="1"/>
  <c r="BD104" i="1"/>
  <c r="BC104" i="1"/>
  <c r="BA104" i="1"/>
  <c r="AX104" i="1"/>
  <c r="AW104" i="1"/>
  <c r="AV104" i="1"/>
  <c r="AU104" i="1"/>
  <c r="AT104" i="1"/>
  <c r="AN104" i="1"/>
  <c r="AE104" i="1"/>
  <c r="AB104" i="1"/>
  <c r="AP104" i="1" s="1"/>
  <c r="X104" i="1"/>
  <c r="F104" i="1"/>
  <c r="E104" i="1"/>
  <c r="D104" i="1"/>
  <c r="B104" i="1"/>
  <c r="BB104" i="1" s="1"/>
  <c r="A104" i="1"/>
  <c r="BM103" i="1"/>
  <c r="BK103" i="1"/>
  <c r="BL103" i="1" s="1"/>
  <c r="BE103" i="1"/>
  <c r="BD103" i="1"/>
  <c r="BC103" i="1"/>
  <c r="BA103" i="1"/>
  <c r="AX103" i="1"/>
  <c r="AW103" i="1"/>
  <c r="AV103" i="1"/>
  <c r="AU103" i="1"/>
  <c r="AT103" i="1"/>
  <c r="AQ103" i="1"/>
  <c r="AR103" i="1" s="1"/>
  <c r="AP103" i="1"/>
  <c r="AO103" i="1"/>
  <c r="AN103" i="1"/>
  <c r="AB103" i="1"/>
  <c r="X103" i="1"/>
  <c r="F103" i="1"/>
  <c r="E103" i="1"/>
  <c r="D103" i="1"/>
  <c r="B103" i="1"/>
  <c r="BB103" i="1" s="1"/>
  <c r="A103" i="1"/>
  <c r="BM102" i="1"/>
  <c r="BK102" i="1"/>
  <c r="BL102" i="1" s="1"/>
  <c r="BE102" i="1"/>
  <c r="BD102" i="1"/>
  <c r="BC102" i="1"/>
  <c r="BA102" i="1"/>
  <c r="AX102" i="1"/>
  <c r="AW102" i="1"/>
  <c r="AV102" i="1"/>
  <c r="AU102" i="1"/>
  <c r="AT102" i="1"/>
  <c r="AO102" i="1"/>
  <c r="AB102" i="1"/>
  <c r="AP102" i="1" s="1"/>
  <c r="X102" i="1"/>
  <c r="F102" i="1"/>
  <c r="E102" i="1"/>
  <c r="D102" i="1"/>
  <c r="B102" i="1"/>
  <c r="A102" i="1"/>
  <c r="BM101" i="1"/>
  <c r="BK101" i="1"/>
  <c r="BL101" i="1" s="1"/>
  <c r="BE101" i="1"/>
  <c r="BD101" i="1"/>
  <c r="BC101" i="1"/>
  <c r="BA101" i="1"/>
  <c r="AX101" i="1"/>
  <c r="AW101" i="1"/>
  <c r="AV101" i="1"/>
  <c r="AU101" i="1"/>
  <c r="AT101" i="1"/>
  <c r="AQ101" i="1"/>
  <c r="AR101" i="1" s="1"/>
  <c r="AP101" i="1"/>
  <c r="AO101" i="1"/>
  <c r="AN101" i="1"/>
  <c r="AB101" i="1"/>
  <c r="X101" i="1"/>
  <c r="F101" i="1"/>
  <c r="E101" i="1"/>
  <c r="D101" i="1"/>
  <c r="B101" i="1"/>
  <c r="BB101" i="1" s="1"/>
  <c r="A101" i="1"/>
  <c r="BM100" i="1"/>
  <c r="BK100" i="1"/>
  <c r="BL100" i="1" s="1"/>
  <c r="BE100" i="1"/>
  <c r="BD100" i="1"/>
  <c r="BC100" i="1"/>
  <c r="BA100" i="1"/>
  <c r="AX100" i="1"/>
  <c r="AW100" i="1"/>
  <c r="AV100" i="1"/>
  <c r="AU100" i="1"/>
  <c r="AT100" i="1"/>
  <c r="AN100" i="1"/>
  <c r="AE100" i="1"/>
  <c r="AB100" i="1"/>
  <c r="AP100" i="1" s="1"/>
  <c r="X100" i="1"/>
  <c r="F100" i="1"/>
  <c r="E100" i="1"/>
  <c r="D100" i="1"/>
  <c r="B100" i="1"/>
  <c r="BB100" i="1" s="1"/>
  <c r="A100" i="1"/>
  <c r="BM99" i="1"/>
  <c r="BK99" i="1"/>
  <c r="BL99" i="1" s="1"/>
  <c r="BE99" i="1"/>
  <c r="BD99" i="1"/>
  <c r="BC99" i="1"/>
  <c r="BA99" i="1"/>
  <c r="AX99" i="1"/>
  <c r="AW99" i="1"/>
  <c r="AV99" i="1"/>
  <c r="AU99" i="1"/>
  <c r="AT99" i="1"/>
  <c r="AQ99" i="1"/>
  <c r="AR99" i="1" s="1"/>
  <c r="AP99" i="1"/>
  <c r="AO99" i="1"/>
  <c r="AN99" i="1"/>
  <c r="AB99" i="1"/>
  <c r="X99" i="1"/>
  <c r="F99" i="1"/>
  <c r="E99" i="1"/>
  <c r="D99" i="1"/>
  <c r="B99" i="1"/>
  <c r="BB99" i="1" s="1"/>
  <c r="A99" i="1"/>
  <c r="BM98" i="1"/>
  <c r="BK98" i="1"/>
  <c r="BL98" i="1" s="1"/>
  <c r="BE98" i="1"/>
  <c r="BD98" i="1"/>
  <c r="BC98" i="1"/>
  <c r="BA98" i="1"/>
  <c r="AX98" i="1"/>
  <c r="AW98" i="1"/>
  <c r="AV98" i="1"/>
  <c r="AU98" i="1"/>
  <c r="AT98" i="1"/>
  <c r="AQ98" i="1"/>
  <c r="AR98" i="1" s="1"/>
  <c r="AP98" i="1"/>
  <c r="AN98" i="1"/>
  <c r="AE98" i="1"/>
  <c r="AB98" i="1"/>
  <c r="X98" i="1"/>
  <c r="F98" i="1"/>
  <c r="E98" i="1"/>
  <c r="D98" i="1"/>
  <c r="B98" i="1"/>
  <c r="BB98" i="1" s="1"/>
  <c r="A98" i="1"/>
  <c r="BM97" i="1"/>
  <c r="BK97" i="1"/>
  <c r="BL97" i="1" s="1"/>
  <c r="BE97" i="1"/>
  <c r="BD97" i="1"/>
  <c r="BC97" i="1"/>
  <c r="BA97" i="1"/>
  <c r="AX97" i="1"/>
  <c r="AW97" i="1"/>
  <c r="AV97" i="1"/>
  <c r="AU97" i="1"/>
  <c r="AT97" i="1"/>
  <c r="AO97" i="1"/>
  <c r="AN97" i="1"/>
  <c r="AB97" i="1"/>
  <c r="AP97" i="1" s="1"/>
  <c r="X97" i="1"/>
  <c r="F97" i="1"/>
  <c r="E97" i="1"/>
  <c r="D97" i="1"/>
  <c r="B97" i="1"/>
  <c r="BB97" i="1" s="1"/>
  <c r="A97" i="1"/>
  <c r="BM96" i="1"/>
  <c r="BK96" i="1"/>
  <c r="BL96" i="1" s="1"/>
  <c r="BE96" i="1"/>
  <c r="BD96" i="1"/>
  <c r="BC96" i="1"/>
  <c r="BA96" i="1"/>
  <c r="AX96" i="1"/>
  <c r="AW96" i="1"/>
  <c r="AV96" i="1"/>
  <c r="AU96" i="1"/>
  <c r="AT96" i="1"/>
  <c r="AN96" i="1"/>
  <c r="AE96" i="1"/>
  <c r="AB96" i="1"/>
  <c r="AP96" i="1" s="1"/>
  <c r="X96" i="1"/>
  <c r="F96" i="1"/>
  <c r="E96" i="1"/>
  <c r="D96" i="1"/>
  <c r="B96" i="1"/>
  <c r="BB96" i="1" s="1"/>
  <c r="A96" i="1"/>
  <c r="BM95" i="1"/>
  <c r="BK95" i="1"/>
  <c r="BL95" i="1" s="1"/>
  <c r="BE95" i="1"/>
  <c r="BD95" i="1"/>
  <c r="BC95" i="1"/>
  <c r="BA95" i="1"/>
  <c r="AX95" i="1"/>
  <c r="AW95" i="1"/>
  <c r="AV95" i="1"/>
  <c r="AU95" i="1"/>
  <c r="AT95" i="1"/>
  <c r="AQ95" i="1"/>
  <c r="AR95" i="1" s="1"/>
  <c r="AP95" i="1"/>
  <c r="AO95" i="1"/>
  <c r="AN95" i="1"/>
  <c r="AB95" i="1"/>
  <c r="X95" i="1"/>
  <c r="F95" i="1"/>
  <c r="E95" i="1"/>
  <c r="D95" i="1"/>
  <c r="B95" i="1"/>
  <c r="BB95" i="1" s="1"/>
  <c r="A95" i="1"/>
  <c r="BM94" i="1"/>
  <c r="BK94" i="1"/>
  <c r="BL94" i="1" s="1"/>
  <c r="BE94" i="1"/>
  <c r="BD94" i="1"/>
  <c r="BC94" i="1"/>
  <c r="BA94" i="1"/>
  <c r="AX94" i="1"/>
  <c r="AW94" i="1"/>
  <c r="AV94" i="1"/>
  <c r="AU94" i="1"/>
  <c r="AT94" i="1"/>
  <c r="AQ94" i="1"/>
  <c r="AR94" i="1" s="1"/>
  <c r="AP94" i="1"/>
  <c r="AN94" i="1"/>
  <c r="AE94" i="1"/>
  <c r="AB94" i="1"/>
  <c r="X94" i="1"/>
  <c r="F94" i="1"/>
  <c r="E94" i="1"/>
  <c r="D94" i="1"/>
  <c r="B94" i="1"/>
  <c r="BB94" i="1" s="1"/>
  <c r="A94" i="1"/>
  <c r="BM93" i="1"/>
  <c r="BK93" i="1"/>
  <c r="BL93" i="1" s="1"/>
  <c r="BE93" i="1"/>
  <c r="BD93" i="1"/>
  <c r="BC93" i="1"/>
  <c r="BA93" i="1"/>
  <c r="AX93" i="1"/>
  <c r="AW93" i="1"/>
  <c r="AV93" i="1"/>
  <c r="AU93" i="1"/>
  <c r="AT93" i="1"/>
  <c r="AQ93" i="1"/>
  <c r="AR93" i="1" s="1"/>
  <c r="AP93" i="1"/>
  <c r="AN93" i="1"/>
  <c r="AE93" i="1"/>
  <c r="AB93" i="1"/>
  <c r="X93" i="1"/>
  <c r="F93" i="1"/>
  <c r="E93" i="1"/>
  <c r="D93" i="1"/>
  <c r="B93" i="1"/>
  <c r="BB93" i="1" s="1"/>
  <c r="A93" i="1"/>
  <c r="BM92" i="1"/>
  <c r="BK92" i="1"/>
  <c r="BL92" i="1" s="1"/>
  <c r="BE92" i="1"/>
  <c r="BD92" i="1"/>
  <c r="BC92" i="1"/>
  <c r="BA92" i="1"/>
  <c r="AX92" i="1"/>
  <c r="AW92" i="1"/>
  <c r="AV92" i="1"/>
  <c r="AU92" i="1"/>
  <c r="AT92" i="1"/>
  <c r="AQ92" i="1"/>
  <c r="AR92" i="1" s="1"/>
  <c r="AP92" i="1"/>
  <c r="AN92" i="1"/>
  <c r="AE92" i="1"/>
  <c r="AB92" i="1"/>
  <c r="X92" i="1"/>
  <c r="F92" i="1"/>
  <c r="E92" i="1"/>
  <c r="D92" i="1"/>
  <c r="B92" i="1"/>
  <c r="BB92" i="1" s="1"/>
  <c r="A92" i="1"/>
  <c r="BM91" i="1"/>
  <c r="BK91" i="1"/>
  <c r="BL91" i="1" s="1"/>
  <c r="BE91" i="1"/>
  <c r="BD91" i="1"/>
  <c r="BC91" i="1"/>
  <c r="BA91" i="1"/>
  <c r="AX91" i="1"/>
  <c r="AW91" i="1"/>
  <c r="AV91" i="1"/>
  <c r="AU91" i="1"/>
  <c r="AT91" i="1"/>
  <c r="AQ91" i="1"/>
  <c r="AR91" i="1" s="1"/>
  <c r="AP91" i="1"/>
  <c r="AN91" i="1"/>
  <c r="AE91" i="1"/>
  <c r="AB91" i="1"/>
  <c r="X91" i="1"/>
  <c r="F91" i="1"/>
  <c r="E91" i="1"/>
  <c r="D91" i="1"/>
  <c r="B91" i="1"/>
  <c r="BB91" i="1" s="1"/>
  <c r="A91" i="1"/>
  <c r="BM90" i="1"/>
  <c r="BK90" i="1"/>
  <c r="BL90" i="1" s="1"/>
  <c r="BE90" i="1"/>
  <c r="BD90" i="1"/>
  <c r="BC90" i="1"/>
  <c r="BA90" i="1"/>
  <c r="AX90" i="1"/>
  <c r="AW90" i="1"/>
  <c r="AV90" i="1"/>
  <c r="AU90" i="1"/>
  <c r="AT90" i="1"/>
  <c r="AQ90" i="1"/>
  <c r="AR90" i="1" s="1"/>
  <c r="AP90" i="1"/>
  <c r="AN90" i="1"/>
  <c r="AE90" i="1"/>
  <c r="AB90" i="1"/>
  <c r="X90" i="1"/>
  <c r="F90" i="1"/>
  <c r="E90" i="1"/>
  <c r="D90" i="1"/>
  <c r="B90" i="1"/>
  <c r="BB90" i="1" s="1"/>
  <c r="A90" i="1"/>
  <c r="BM89" i="1"/>
  <c r="BK89" i="1"/>
  <c r="BL89" i="1" s="1"/>
  <c r="BE89" i="1"/>
  <c r="BD89" i="1"/>
  <c r="BC89" i="1"/>
  <c r="BA89" i="1"/>
  <c r="AX89" i="1"/>
  <c r="AW89" i="1"/>
  <c r="AV89" i="1"/>
  <c r="AU89" i="1"/>
  <c r="AT89" i="1"/>
  <c r="AO89" i="1"/>
  <c r="AN89" i="1"/>
  <c r="AB89" i="1"/>
  <c r="AP89" i="1" s="1"/>
  <c r="X89" i="1"/>
  <c r="F89" i="1"/>
  <c r="E89" i="1"/>
  <c r="D89" i="1"/>
  <c r="B89" i="1"/>
  <c r="BB89" i="1" s="1"/>
  <c r="A89" i="1"/>
  <c r="BM88" i="1"/>
  <c r="BK88" i="1"/>
  <c r="BL88" i="1" s="1"/>
  <c r="BE88" i="1"/>
  <c r="BD88" i="1"/>
  <c r="BC88" i="1"/>
  <c r="BA88" i="1"/>
  <c r="AX88" i="1"/>
  <c r="AW88" i="1"/>
  <c r="AV88" i="1"/>
  <c r="AU88" i="1"/>
  <c r="AT88" i="1"/>
  <c r="AQ88" i="1"/>
  <c r="AR88" i="1" s="1"/>
  <c r="AP88" i="1"/>
  <c r="AN88" i="1"/>
  <c r="AE88" i="1"/>
  <c r="AB88" i="1"/>
  <c r="X88" i="1"/>
  <c r="F88" i="1"/>
  <c r="E88" i="1"/>
  <c r="D88" i="1"/>
  <c r="B88" i="1"/>
  <c r="BB88" i="1" s="1"/>
  <c r="A88" i="1"/>
  <c r="BM87" i="1"/>
  <c r="BK87" i="1"/>
  <c r="BL87" i="1" s="1"/>
  <c r="BE87" i="1"/>
  <c r="BD87" i="1"/>
  <c r="BC87" i="1"/>
  <c r="BA87" i="1"/>
  <c r="AX87" i="1"/>
  <c r="AW87" i="1"/>
  <c r="AV87" i="1"/>
  <c r="AU87" i="1"/>
  <c r="AT87" i="1"/>
  <c r="AQ87" i="1"/>
  <c r="AR87" i="1" s="1"/>
  <c r="AP87" i="1"/>
  <c r="AN87" i="1"/>
  <c r="AE87" i="1"/>
  <c r="AB87" i="1"/>
  <c r="X87" i="1"/>
  <c r="F87" i="1"/>
  <c r="E87" i="1"/>
  <c r="D87" i="1"/>
  <c r="B87" i="1"/>
  <c r="BB87" i="1" s="1"/>
  <c r="A87" i="1"/>
  <c r="BM86" i="1"/>
  <c r="BK86" i="1"/>
  <c r="BL86" i="1" s="1"/>
  <c r="BE86" i="1"/>
  <c r="BD86" i="1"/>
  <c r="BC86" i="1"/>
  <c r="BA86" i="1"/>
  <c r="AX86" i="1"/>
  <c r="AW86" i="1"/>
  <c r="AV86" i="1"/>
  <c r="AU86" i="1"/>
  <c r="AT86" i="1"/>
  <c r="AQ86" i="1"/>
  <c r="AR86" i="1" s="1"/>
  <c r="AP86" i="1"/>
  <c r="AN86" i="1"/>
  <c r="AE86" i="1"/>
  <c r="AB86" i="1"/>
  <c r="X86" i="1"/>
  <c r="F86" i="1"/>
  <c r="E86" i="1"/>
  <c r="D86" i="1"/>
  <c r="B86" i="1"/>
  <c r="BB86" i="1" s="1"/>
  <c r="A86" i="1"/>
  <c r="BM85" i="1"/>
  <c r="BK85" i="1"/>
  <c r="BL85" i="1" s="1"/>
  <c r="BE85" i="1"/>
  <c r="BD85" i="1"/>
  <c r="BC85" i="1"/>
  <c r="BA85" i="1"/>
  <c r="AX85" i="1"/>
  <c r="AW85" i="1"/>
  <c r="AV85" i="1"/>
  <c r="AU85" i="1"/>
  <c r="AT85" i="1"/>
  <c r="AQ85" i="1"/>
  <c r="AR85" i="1" s="1"/>
  <c r="AP85" i="1"/>
  <c r="AN85" i="1"/>
  <c r="AE85" i="1"/>
  <c r="AB85" i="1"/>
  <c r="X85" i="1"/>
  <c r="F85" i="1"/>
  <c r="E85" i="1"/>
  <c r="D85" i="1"/>
  <c r="B85" i="1"/>
  <c r="BB85" i="1" s="1"/>
  <c r="A85" i="1"/>
  <c r="BM84" i="1"/>
  <c r="BK84" i="1"/>
  <c r="BL84" i="1" s="1"/>
  <c r="BE84" i="1"/>
  <c r="BD84" i="1"/>
  <c r="BC84" i="1"/>
  <c r="BA84" i="1"/>
  <c r="AX84" i="1"/>
  <c r="AW84" i="1"/>
  <c r="AV84" i="1"/>
  <c r="AU84" i="1"/>
  <c r="AT84" i="1"/>
  <c r="AQ84" i="1"/>
  <c r="AR84" i="1" s="1"/>
  <c r="AP84" i="1"/>
  <c r="AN84" i="1"/>
  <c r="AE84" i="1"/>
  <c r="AB84" i="1"/>
  <c r="X84" i="1"/>
  <c r="F84" i="1"/>
  <c r="E84" i="1"/>
  <c r="D84" i="1"/>
  <c r="B84" i="1"/>
  <c r="BB84" i="1" s="1"/>
  <c r="A84" i="1"/>
  <c r="BM83" i="1"/>
  <c r="BK83" i="1"/>
  <c r="BL83" i="1" s="1"/>
  <c r="BE83" i="1"/>
  <c r="BD83" i="1"/>
  <c r="BC83" i="1"/>
  <c r="BA83" i="1"/>
  <c r="AX83" i="1"/>
  <c r="AW83" i="1"/>
  <c r="AV83" i="1"/>
  <c r="AU83" i="1"/>
  <c r="AT83" i="1"/>
  <c r="AO83" i="1"/>
  <c r="AN83" i="1"/>
  <c r="AB83" i="1"/>
  <c r="AP83" i="1" s="1"/>
  <c r="X83" i="1"/>
  <c r="F83" i="1"/>
  <c r="E83" i="1"/>
  <c r="D83" i="1"/>
  <c r="B83" i="1"/>
  <c r="BB83" i="1" s="1"/>
  <c r="A83" i="1"/>
  <c r="BM82" i="1"/>
  <c r="BK82" i="1"/>
  <c r="BL82" i="1" s="1"/>
  <c r="BE82" i="1"/>
  <c r="BD82" i="1"/>
  <c r="BC82" i="1"/>
  <c r="BA82" i="1"/>
  <c r="AX82" i="1"/>
  <c r="AW82" i="1"/>
  <c r="AV82" i="1"/>
  <c r="AU82" i="1"/>
  <c r="AT82" i="1"/>
  <c r="AQ82" i="1"/>
  <c r="AR82" i="1" s="1"/>
  <c r="AP82" i="1"/>
  <c r="AN82" i="1"/>
  <c r="AE82" i="1"/>
  <c r="AB82" i="1"/>
  <c r="X82" i="1"/>
  <c r="F82" i="1"/>
  <c r="E82" i="1"/>
  <c r="D82" i="1"/>
  <c r="B82" i="1"/>
  <c r="BB82" i="1" s="1"/>
  <c r="A82" i="1"/>
  <c r="BM81" i="1"/>
  <c r="BK81" i="1"/>
  <c r="BL81" i="1" s="1"/>
  <c r="BE81" i="1"/>
  <c r="BD81" i="1"/>
  <c r="BC81" i="1"/>
  <c r="BA81" i="1"/>
  <c r="AX81" i="1"/>
  <c r="AW81" i="1"/>
  <c r="AV81" i="1"/>
  <c r="AU81" i="1"/>
  <c r="AT81" i="1"/>
  <c r="AQ81" i="1"/>
  <c r="AR81" i="1" s="1"/>
  <c r="AP81" i="1"/>
  <c r="AN81" i="1"/>
  <c r="AE81" i="1"/>
  <c r="AB81" i="1"/>
  <c r="X81" i="1"/>
  <c r="F81" i="1"/>
  <c r="E81" i="1"/>
  <c r="D81" i="1"/>
  <c r="B81" i="1"/>
  <c r="BB81" i="1" s="1"/>
  <c r="A81" i="1"/>
  <c r="BM80" i="1"/>
  <c r="BK80" i="1"/>
  <c r="BL80" i="1" s="1"/>
  <c r="BE80" i="1"/>
  <c r="BD80" i="1"/>
  <c r="BC80" i="1"/>
  <c r="BA80" i="1"/>
  <c r="AX80" i="1"/>
  <c r="AW80" i="1"/>
  <c r="AV80" i="1"/>
  <c r="AU80" i="1"/>
  <c r="AT80" i="1"/>
  <c r="AQ80" i="1"/>
  <c r="AR80" i="1" s="1"/>
  <c r="AP80" i="1"/>
  <c r="AN80" i="1"/>
  <c r="AE80" i="1"/>
  <c r="AB80" i="1"/>
  <c r="X80" i="1"/>
  <c r="F80" i="1"/>
  <c r="E80" i="1"/>
  <c r="D80" i="1"/>
  <c r="B80" i="1"/>
  <c r="BB80" i="1" s="1"/>
  <c r="A80" i="1"/>
  <c r="BM79" i="1"/>
  <c r="BK79" i="1"/>
  <c r="BL79" i="1" s="1"/>
  <c r="BE79" i="1"/>
  <c r="BD79" i="1"/>
  <c r="BC79" i="1"/>
  <c r="BA79" i="1"/>
  <c r="AX79" i="1"/>
  <c r="AW79" i="1"/>
  <c r="AV79" i="1"/>
  <c r="AU79" i="1"/>
  <c r="AT79" i="1"/>
  <c r="AQ79" i="1"/>
  <c r="AR79" i="1" s="1"/>
  <c r="AP79" i="1"/>
  <c r="AN79" i="1"/>
  <c r="AE79" i="1"/>
  <c r="AB79" i="1"/>
  <c r="X79" i="1"/>
  <c r="F79" i="1"/>
  <c r="E79" i="1"/>
  <c r="D79" i="1"/>
  <c r="B79" i="1"/>
  <c r="BB79" i="1" s="1"/>
  <c r="A79" i="1"/>
  <c r="BM78" i="1"/>
  <c r="BK78" i="1"/>
  <c r="BL78" i="1" s="1"/>
  <c r="BE78" i="1"/>
  <c r="BD78" i="1"/>
  <c r="BC78" i="1"/>
  <c r="BA78" i="1"/>
  <c r="AX78" i="1"/>
  <c r="AW78" i="1"/>
  <c r="AV78" i="1"/>
  <c r="AU78" i="1"/>
  <c r="AT78" i="1"/>
  <c r="AQ78" i="1"/>
  <c r="AR78" i="1" s="1"/>
  <c r="AP78" i="1"/>
  <c r="AN78" i="1"/>
  <c r="AE78" i="1"/>
  <c r="AB78" i="1"/>
  <c r="X78" i="1"/>
  <c r="F78" i="1"/>
  <c r="E78" i="1"/>
  <c r="D78" i="1"/>
  <c r="B78" i="1"/>
  <c r="BB78" i="1" s="1"/>
  <c r="A78" i="1"/>
  <c r="BM77" i="1"/>
  <c r="BK77" i="1"/>
  <c r="BL77" i="1" s="1"/>
  <c r="BE77" i="1"/>
  <c r="BD77" i="1"/>
  <c r="BC77" i="1"/>
  <c r="BA77" i="1"/>
  <c r="AX77" i="1"/>
  <c r="AW77" i="1"/>
  <c r="AV77" i="1"/>
  <c r="AU77" i="1"/>
  <c r="AT77" i="1"/>
  <c r="AO77" i="1"/>
  <c r="AN77" i="1"/>
  <c r="AB77" i="1"/>
  <c r="AP77" i="1" s="1"/>
  <c r="X77" i="1"/>
  <c r="F77" i="1"/>
  <c r="E77" i="1"/>
  <c r="D77" i="1"/>
  <c r="B77" i="1"/>
  <c r="BB77" i="1" s="1"/>
  <c r="A77" i="1"/>
  <c r="BM75" i="1"/>
  <c r="BK75" i="1"/>
  <c r="BL75" i="1" s="1"/>
  <c r="BE75" i="1"/>
  <c r="BD75" i="1"/>
  <c r="BC75" i="1"/>
  <c r="BA75" i="1"/>
  <c r="AX75" i="1"/>
  <c r="AW75" i="1"/>
  <c r="AV75" i="1"/>
  <c r="AU75" i="1"/>
  <c r="AT75" i="1"/>
  <c r="AQ75" i="1"/>
  <c r="AR75" i="1" s="1"/>
  <c r="AP75" i="1"/>
  <c r="AN75" i="1"/>
  <c r="AE75" i="1"/>
  <c r="AB75" i="1"/>
  <c r="X75" i="1"/>
  <c r="F75" i="1"/>
  <c r="E75" i="1"/>
  <c r="D75" i="1"/>
  <c r="B75" i="1"/>
  <c r="BB75" i="1" s="1"/>
  <c r="A75" i="1"/>
  <c r="BM74" i="1"/>
  <c r="BK74" i="1"/>
  <c r="BL74" i="1" s="1"/>
  <c r="BE74" i="1"/>
  <c r="BD74" i="1"/>
  <c r="BC74" i="1"/>
  <c r="BA74" i="1"/>
  <c r="AX74" i="1"/>
  <c r="AW74" i="1"/>
  <c r="AV74" i="1"/>
  <c r="AU74" i="1"/>
  <c r="AT74" i="1"/>
  <c r="AQ74" i="1"/>
  <c r="AR74" i="1" s="1"/>
  <c r="AP74" i="1"/>
  <c r="AN74" i="1"/>
  <c r="AE74" i="1"/>
  <c r="AB74" i="1"/>
  <c r="X74" i="1"/>
  <c r="F74" i="1"/>
  <c r="E74" i="1"/>
  <c r="D74" i="1"/>
  <c r="B74" i="1"/>
  <c r="BB74" i="1" s="1"/>
  <c r="A74" i="1"/>
  <c r="BM73" i="1"/>
  <c r="BK73" i="1"/>
  <c r="BL73" i="1" s="1"/>
  <c r="BE73" i="1"/>
  <c r="BD73" i="1"/>
  <c r="BC73" i="1"/>
  <c r="BA73" i="1"/>
  <c r="AX73" i="1"/>
  <c r="AW73" i="1"/>
  <c r="AV73" i="1"/>
  <c r="AU73" i="1"/>
  <c r="AT73" i="1"/>
  <c r="AQ73" i="1"/>
  <c r="AR73" i="1" s="1"/>
  <c r="AP73" i="1"/>
  <c r="AN73" i="1"/>
  <c r="AE73" i="1"/>
  <c r="AB73" i="1"/>
  <c r="X73" i="1"/>
  <c r="F73" i="1"/>
  <c r="E73" i="1"/>
  <c r="D73" i="1"/>
  <c r="B73" i="1"/>
  <c r="BB73" i="1" s="1"/>
  <c r="A73" i="1"/>
  <c r="BM72" i="1"/>
  <c r="BK72" i="1"/>
  <c r="BL72" i="1" s="1"/>
  <c r="BE72" i="1"/>
  <c r="BD72" i="1"/>
  <c r="BC72" i="1"/>
  <c r="BA72" i="1"/>
  <c r="AX72" i="1"/>
  <c r="AW72" i="1"/>
  <c r="AV72" i="1"/>
  <c r="AU72" i="1"/>
  <c r="AT72" i="1"/>
  <c r="AQ72" i="1"/>
  <c r="AR72" i="1" s="1"/>
  <c r="AP72" i="1"/>
  <c r="AN72" i="1"/>
  <c r="AE72" i="1"/>
  <c r="AB72" i="1"/>
  <c r="X72" i="1"/>
  <c r="F72" i="1"/>
  <c r="E72" i="1"/>
  <c r="D72" i="1"/>
  <c r="B72" i="1"/>
  <c r="BB72" i="1" s="1"/>
  <c r="A72" i="1"/>
  <c r="BM71" i="1"/>
  <c r="BK71" i="1"/>
  <c r="BL71" i="1" s="1"/>
  <c r="BE71" i="1"/>
  <c r="BD71" i="1"/>
  <c r="BC71" i="1"/>
  <c r="BA71" i="1"/>
  <c r="AX71" i="1"/>
  <c r="AW71" i="1"/>
  <c r="AV71" i="1"/>
  <c r="AU71" i="1"/>
  <c r="AT71" i="1"/>
  <c r="AO71" i="1"/>
  <c r="AN71" i="1"/>
  <c r="AB71" i="1"/>
  <c r="AP71" i="1" s="1"/>
  <c r="X71" i="1"/>
  <c r="F71" i="1"/>
  <c r="E71" i="1"/>
  <c r="D71" i="1"/>
  <c r="B71" i="1"/>
  <c r="BB71" i="1" s="1"/>
  <c r="A71" i="1"/>
  <c r="BJ70" i="1"/>
  <c r="BH70" i="1"/>
  <c r="BI70" i="1" s="1"/>
  <c r="BE70" i="1"/>
  <c r="BD70" i="1"/>
  <c r="BC70" i="1"/>
  <c r="BA70" i="1"/>
  <c r="AX70" i="1"/>
  <c r="AW70" i="1"/>
  <c r="AV70" i="1"/>
  <c r="AU70" i="1"/>
  <c r="AT70" i="1"/>
  <c r="AQ70" i="1"/>
  <c r="AR70" i="1" s="1"/>
  <c r="AP70" i="1"/>
  <c r="AN70" i="1"/>
  <c r="AE70" i="1"/>
  <c r="AB70" i="1"/>
  <c r="X70" i="1"/>
  <c r="F70" i="1"/>
  <c r="E70" i="1"/>
  <c r="D70" i="1"/>
  <c r="B70" i="1"/>
  <c r="BB70" i="1" s="1"/>
  <c r="A70" i="1"/>
  <c r="BJ69" i="1"/>
  <c r="BH69" i="1"/>
  <c r="BI69" i="1" s="1"/>
  <c r="BE69" i="1"/>
  <c r="BD69" i="1"/>
  <c r="BC69" i="1"/>
  <c r="BA69" i="1"/>
  <c r="AX69" i="1"/>
  <c r="AW69" i="1"/>
  <c r="AV69" i="1"/>
  <c r="AU69" i="1"/>
  <c r="AT69" i="1"/>
  <c r="AQ69" i="1"/>
  <c r="AR69" i="1" s="1"/>
  <c r="AP69" i="1"/>
  <c r="AN69" i="1"/>
  <c r="AE69" i="1"/>
  <c r="AB69" i="1"/>
  <c r="X69" i="1"/>
  <c r="F69" i="1"/>
  <c r="E69" i="1"/>
  <c r="D69" i="1"/>
  <c r="B69" i="1"/>
  <c r="BB69" i="1" s="1"/>
  <c r="A69" i="1"/>
  <c r="BJ68" i="1"/>
  <c r="BH68" i="1"/>
  <c r="BI68" i="1" s="1"/>
  <c r="BE68" i="1"/>
  <c r="BD68" i="1"/>
  <c r="BC68" i="1"/>
  <c r="BA68" i="1"/>
  <c r="AX68" i="1"/>
  <c r="AW68" i="1"/>
  <c r="AV68" i="1"/>
  <c r="AU68" i="1"/>
  <c r="AT68" i="1"/>
  <c r="AQ68" i="1"/>
  <c r="AR68" i="1" s="1"/>
  <c r="AP68" i="1"/>
  <c r="AN68" i="1"/>
  <c r="AE68" i="1"/>
  <c r="AB68" i="1"/>
  <c r="X68" i="1"/>
  <c r="F68" i="1"/>
  <c r="E68" i="1"/>
  <c r="D68" i="1"/>
  <c r="B68" i="1"/>
  <c r="BB68" i="1" s="1"/>
  <c r="A68" i="1"/>
  <c r="BJ67" i="1"/>
  <c r="BH67" i="1"/>
  <c r="BI67" i="1" s="1"/>
  <c r="BE67" i="1"/>
  <c r="BD67" i="1"/>
  <c r="BC67" i="1"/>
  <c r="BA67" i="1"/>
  <c r="AX67" i="1"/>
  <c r="AW67" i="1"/>
  <c r="AV67" i="1"/>
  <c r="AU67" i="1"/>
  <c r="AT67" i="1"/>
  <c r="AQ67" i="1"/>
  <c r="AR67" i="1" s="1"/>
  <c r="AP67" i="1"/>
  <c r="AN67" i="1"/>
  <c r="AE67" i="1"/>
  <c r="AB67" i="1"/>
  <c r="X67" i="1"/>
  <c r="F67" i="1"/>
  <c r="E67" i="1"/>
  <c r="D67" i="1"/>
  <c r="B67" i="1"/>
  <c r="BB67" i="1" s="1"/>
  <c r="A67" i="1"/>
  <c r="BJ66" i="1"/>
  <c r="BH66" i="1"/>
  <c r="BI66" i="1" s="1"/>
  <c r="BE66" i="1"/>
  <c r="BD66" i="1"/>
  <c r="BC66" i="1"/>
  <c r="BA66" i="1"/>
  <c r="AX66" i="1"/>
  <c r="AW66" i="1"/>
  <c r="AV66" i="1"/>
  <c r="AU66" i="1"/>
  <c r="AT66" i="1"/>
  <c r="AQ66" i="1"/>
  <c r="AR66" i="1" s="1"/>
  <c r="AP66" i="1"/>
  <c r="AN66" i="1"/>
  <c r="AE66" i="1"/>
  <c r="AB66" i="1"/>
  <c r="X66" i="1"/>
  <c r="F66" i="1"/>
  <c r="E66" i="1"/>
  <c r="D66" i="1"/>
  <c r="B66" i="1"/>
  <c r="A66" i="1"/>
  <c r="BJ65" i="1"/>
  <c r="BH65" i="1"/>
  <c r="BI65" i="1" s="1"/>
  <c r="BE65" i="1"/>
  <c r="BD65" i="1"/>
  <c r="BC65" i="1"/>
  <c r="BA65" i="1"/>
  <c r="AX65" i="1"/>
  <c r="AW65" i="1"/>
  <c r="AV65" i="1"/>
  <c r="AU65" i="1"/>
  <c r="AT65" i="1"/>
  <c r="AQ65" i="1"/>
  <c r="AR65" i="1" s="1"/>
  <c r="AP65" i="1"/>
  <c r="AN65" i="1"/>
  <c r="AE65" i="1"/>
  <c r="AB65" i="1"/>
  <c r="X65" i="1"/>
  <c r="F65" i="1"/>
  <c r="E65" i="1"/>
  <c r="D65" i="1"/>
  <c r="B65" i="1"/>
  <c r="BB65" i="1" s="1"/>
  <c r="A65" i="1"/>
  <c r="BJ64" i="1"/>
  <c r="BH64" i="1"/>
  <c r="BI64" i="1" s="1"/>
  <c r="BE64" i="1"/>
  <c r="BD64" i="1"/>
  <c r="BC64" i="1"/>
  <c r="BA64" i="1"/>
  <c r="AX64" i="1"/>
  <c r="AW64" i="1"/>
  <c r="AV64" i="1"/>
  <c r="AU64" i="1"/>
  <c r="AT64" i="1"/>
  <c r="AO64" i="1"/>
  <c r="AN64" i="1"/>
  <c r="AB64" i="1"/>
  <c r="AP64" i="1" s="1"/>
  <c r="X64" i="1"/>
  <c r="F64" i="1"/>
  <c r="E64" i="1"/>
  <c r="D64" i="1"/>
  <c r="B64" i="1"/>
  <c r="BB64" i="1" s="1"/>
  <c r="A64" i="1"/>
  <c r="BJ63" i="1"/>
  <c r="BH63" i="1"/>
  <c r="BI63" i="1" s="1"/>
  <c r="BE63" i="1"/>
  <c r="BD63" i="1"/>
  <c r="BC63" i="1"/>
  <c r="BA63" i="1"/>
  <c r="AX63" i="1"/>
  <c r="AW63" i="1"/>
  <c r="AV63" i="1"/>
  <c r="AU63" i="1"/>
  <c r="AT63" i="1"/>
  <c r="AQ63" i="1"/>
  <c r="AR63" i="1" s="1"/>
  <c r="AP63" i="1"/>
  <c r="AN63" i="1"/>
  <c r="AE63" i="1"/>
  <c r="AB63" i="1"/>
  <c r="X63" i="1"/>
  <c r="F63" i="1"/>
  <c r="E63" i="1"/>
  <c r="D63" i="1"/>
  <c r="B63" i="1"/>
  <c r="BB63" i="1" s="1"/>
  <c r="A63" i="1"/>
  <c r="BJ62" i="1"/>
  <c r="BH62" i="1"/>
  <c r="BI62" i="1" s="1"/>
  <c r="BE62" i="1"/>
  <c r="BD62" i="1"/>
  <c r="BC62" i="1"/>
  <c r="BA62" i="1"/>
  <c r="AX62" i="1"/>
  <c r="AW62" i="1"/>
  <c r="AV62" i="1"/>
  <c r="AU62" i="1"/>
  <c r="AT62" i="1"/>
  <c r="AQ62" i="1"/>
  <c r="AR62" i="1" s="1"/>
  <c r="AP62" i="1"/>
  <c r="AN62" i="1"/>
  <c r="AE62" i="1"/>
  <c r="AB62" i="1"/>
  <c r="X62" i="1"/>
  <c r="F62" i="1"/>
  <c r="E62" i="1"/>
  <c r="D62" i="1"/>
  <c r="B62" i="1"/>
  <c r="BB62" i="1" s="1"/>
  <c r="A62" i="1"/>
  <c r="BJ61" i="1"/>
  <c r="BH61" i="1"/>
  <c r="BI61" i="1" s="1"/>
  <c r="BE61" i="1"/>
  <c r="BD61" i="1"/>
  <c r="BC61" i="1"/>
  <c r="BA61" i="1"/>
  <c r="AX61" i="1"/>
  <c r="AW61" i="1"/>
  <c r="AV61" i="1"/>
  <c r="AU61" i="1"/>
  <c r="AT61" i="1"/>
  <c r="AQ61" i="1"/>
  <c r="AR61" i="1" s="1"/>
  <c r="AP61" i="1"/>
  <c r="AN61" i="1"/>
  <c r="AE61" i="1"/>
  <c r="AB61" i="1"/>
  <c r="X61" i="1"/>
  <c r="F61" i="1"/>
  <c r="E61" i="1"/>
  <c r="D61" i="1"/>
  <c r="B61" i="1"/>
  <c r="BB61" i="1" s="1"/>
  <c r="A61" i="1"/>
  <c r="BJ60" i="1"/>
  <c r="BH60" i="1"/>
  <c r="BI60" i="1" s="1"/>
  <c r="BE60" i="1"/>
  <c r="BD60" i="1"/>
  <c r="BC60" i="1"/>
  <c r="BA60" i="1"/>
  <c r="AX60" i="1"/>
  <c r="AW60" i="1"/>
  <c r="AV60" i="1"/>
  <c r="AU60" i="1"/>
  <c r="AT60" i="1"/>
  <c r="AQ60" i="1"/>
  <c r="AR60" i="1" s="1"/>
  <c r="AP60" i="1"/>
  <c r="AN60" i="1"/>
  <c r="AE60" i="1"/>
  <c r="AB60" i="1"/>
  <c r="X60" i="1"/>
  <c r="F60" i="1"/>
  <c r="E60" i="1"/>
  <c r="D60" i="1"/>
  <c r="B60" i="1"/>
  <c r="BB60" i="1" s="1"/>
  <c r="A60" i="1"/>
  <c r="BJ59" i="1"/>
  <c r="BH59" i="1"/>
  <c r="BI59" i="1" s="1"/>
  <c r="BE59" i="1"/>
  <c r="BD59" i="1"/>
  <c r="BC59" i="1"/>
  <c r="BA59" i="1"/>
  <c r="AX59" i="1"/>
  <c r="AW59" i="1"/>
  <c r="AV59" i="1"/>
  <c r="AU59" i="1"/>
  <c r="AT59" i="1"/>
  <c r="AQ59" i="1"/>
  <c r="AR59" i="1" s="1"/>
  <c r="AP59" i="1"/>
  <c r="AN59" i="1"/>
  <c r="AE59" i="1"/>
  <c r="AB59" i="1"/>
  <c r="X59" i="1"/>
  <c r="F59" i="1"/>
  <c r="E59" i="1"/>
  <c r="D59" i="1"/>
  <c r="B59" i="1"/>
  <c r="BB59" i="1" s="1"/>
  <c r="A59" i="1"/>
  <c r="BJ58" i="1"/>
  <c r="BH58" i="1"/>
  <c r="BI58" i="1" s="1"/>
  <c r="BE58" i="1"/>
  <c r="BD58" i="1"/>
  <c r="BC58" i="1"/>
  <c r="BA58" i="1"/>
  <c r="AX58" i="1"/>
  <c r="AW58" i="1"/>
  <c r="AV58" i="1"/>
  <c r="AU58" i="1"/>
  <c r="AT58" i="1"/>
  <c r="AQ58" i="1"/>
  <c r="AR58" i="1" s="1"/>
  <c r="AP58" i="1"/>
  <c r="AN58" i="1"/>
  <c r="AE58" i="1"/>
  <c r="AB58" i="1"/>
  <c r="X58" i="1"/>
  <c r="F58" i="1"/>
  <c r="E58" i="1"/>
  <c r="D58" i="1"/>
  <c r="B58" i="1"/>
  <c r="BB58" i="1" s="1"/>
  <c r="A58" i="1"/>
  <c r="BJ57" i="1"/>
  <c r="BH57" i="1"/>
  <c r="BI57" i="1" s="1"/>
  <c r="BE57" i="1"/>
  <c r="BD57" i="1"/>
  <c r="BC57" i="1"/>
  <c r="BA57" i="1"/>
  <c r="AX57" i="1"/>
  <c r="AW57" i="1"/>
  <c r="AV57" i="1"/>
  <c r="AU57" i="1"/>
  <c r="AT57" i="1"/>
  <c r="AO57" i="1"/>
  <c r="AN57" i="1"/>
  <c r="AB57" i="1"/>
  <c r="AP57" i="1" s="1"/>
  <c r="X57" i="1"/>
  <c r="F57" i="1"/>
  <c r="E57" i="1"/>
  <c r="D57" i="1"/>
  <c r="B57" i="1"/>
  <c r="A57" i="1"/>
  <c r="BM56" i="1"/>
  <c r="BK56" i="1"/>
  <c r="BL56" i="1" s="1"/>
  <c r="BE56" i="1"/>
  <c r="BD56" i="1"/>
  <c r="BC56" i="1"/>
  <c r="BA56" i="1"/>
  <c r="AX56" i="1"/>
  <c r="AW56" i="1"/>
  <c r="AV56" i="1"/>
  <c r="AU56" i="1"/>
  <c r="AT56" i="1"/>
  <c r="AQ56" i="1"/>
  <c r="AR56" i="1" s="1"/>
  <c r="AP56" i="1"/>
  <c r="AN56" i="1"/>
  <c r="AE56" i="1"/>
  <c r="AB56" i="1"/>
  <c r="X56" i="1"/>
  <c r="F56" i="1"/>
  <c r="E56" i="1"/>
  <c r="D56" i="1"/>
  <c r="B56" i="1"/>
  <c r="BB56" i="1" s="1"/>
  <c r="A56" i="1"/>
  <c r="BM55" i="1"/>
  <c r="BK55" i="1"/>
  <c r="BL55" i="1" s="1"/>
  <c r="BE55" i="1"/>
  <c r="BD55" i="1"/>
  <c r="BC55" i="1"/>
  <c r="BA55" i="1"/>
  <c r="AX55" i="1"/>
  <c r="AW55" i="1"/>
  <c r="AV55" i="1"/>
  <c r="AU55" i="1"/>
  <c r="AT55" i="1"/>
  <c r="AQ55" i="1"/>
  <c r="AR55" i="1" s="1"/>
  <c r="AP55" i="1"/>
  <c r="AN55" i="1"/>
  <c r="AE55" i="1"/>
  <c r="AB55" i="1"/>
  <c r="X55" i="1"/>
  <c r="F55" i="1"/>
  <c r="E55" i="1"/>
  <c r="D55" i="1"/>
  <c r="B55" i="1"/>
  <c r="BB55" i="1" s="1"/>
  <c r="A55" i="1"/>
  <c r="BM54" i="1"/>
  <c r="BK54" i="1"/>
  <c r="BL54" i="1" s="1"/>
  <c r="BE54" i="1"/>
  <c r="BD54" i="1"/>
  <c r="BC54" i="1"/>
  <c r="BA54" i="1"/>
  <c r="AX54" i="1"/>
  <c r="AW54" i="1"/>
  <c r="AV54" i="1"/>
  <c r="AU54" i="1"/>
  <c r="AT54" i="1"/>
  <c r="AQ54" i="1"/>
  <c r="AR54" i="1" s="1"/>
  <c r="AP54" i="1"/>
  <c r="AN54" i="1"/>
  <c r="AE54" i="1"/>
  <c r="AB54" i="1"/>
  <c r="X54" i="1"/>
  <c r="F54" i="1"/>
  <c r="E54" i="1"/>
  <c r="D54" i="1"/>
  <c r="B54" i="1"/>
  <c r="BB54" i="1" s="1"/>
  <c r="A54" i="1"/>
  <c r="BM53" i="1"/>
  <c r="BK53" i="1"/>
  <c r="BL53" i="1" s="1"/>
  <c r="BE53" i="1"/>
  <c r="BD53" i="1"/>
  <c r="BC53" i="1"/>
  <c r="BA53" i="1"/>
  <c r="AX53" i="1"/>
  <c r="AW53" i="1"/>
  <c r="AV53" i="1"/>
  <c r="AU53" i="1"/>
  <c r="AT53" i="1"/>
  <c r="AQ53" i="1"/>
  <c r="AR53" i="1" s="1"/>
  <c r="AP53" i="1"/>
  <c r="AN53" i="1"/>
  <c r="AE53" i="1"/>
  <c r="AB53" i="1"/>
  <c r="X53" i="1"/>
  <c r="F53" i="1"/>
  <c r="E53" i="1"/>
  <c r="D53" i="1"/>
  <c r="B53" i="1"/>
  <c r="BB53" i="1" s="1"/>
  <c r="A53" i="1"/>
  <c r="BM52" i="1"/>
  <c r="BK52" i="1"/>
  <c r="BL52" i="1" s="1"/>
  <c r="BE52" i="1"/>
  <c r="BD52" i="1"/>
  <c r="BC52" i="1"/>
  <c r="BA52" i="1"/>
  <c r="AX52" i="1"/>
  <c r="AW52" i="1"/>
  <c r="AV52" i="1"/>
  <c r="AU52" i="1"/>
  <c r="AT52" i="1"/>
  <c r="AQ52" i="1"/>
  <c r="AR52" i="1" s="1"/>
  <c r="AP52" i="1"/>
  <c r="AN52" i="1"/>
  <c r="AE52" i="1"/>
  <c r="AB52" i="1"/>
  <c r="X52" i="1"/>
  <c r="F52" i="1"/>
  <c r="E52" i="1"/>
  <c r="D52" i="1"/>
  <c r="B52" i="1"/>
  <c r="BB52" i="1" s="1"/>
  <c r="A52" i="1"/>
  <c r="BM51" i="1"/>
  <c r="BK51" i="1"/>
  <c r="BL51" i="1" s="1"/>
  <c r="BE51" i="1"/>
  <c r="BD51" i="1"/>
  <c r="BC51" i="1"/>
  <c r="BA51" i="1"/>
  <c r="AX51" i="1"/>
  <c r="AW51" i="1"/>
  <c r="AV51" i="1"/>
  <c r="AU51" i="1"/>
  <c r="AT51" i="1"/>
  <c r="AQ51" i="1"/>
  <c r="AR51" i="1" s="1"/>
  <c r="AP51" i="1"/>
  <c r="AN51" i="1"/>
  <c r="AE51" i="1"/>
  <c r="AB51" i="1"/>
  <c r="X51" i="1"/>
  <c r="F51" i="1"/>
  <c r="E51" i="1"/>
  <c r="D51" i="1"/>
  <c r="B51" i="1"/>
  <c r="BB51" i="1" s="1"/>
  <c r="A51" i="1"/>
  <c r="BM50" i="1"/>
  <c r="BK50" i="1"/>
  <c r="BL50" i="1" s="1"/>
  <c r="BE50" i="1"/>
  <c r="BD50" i="1"/>
  <c r="BC50" i="1"/>
  <c r="BA50" i="1"/>
  <c r="AX50" i="1"/>
  <c r="AW50" i="1"/>
  <c r="AV50" i="1"/>
  <c r="AU50" i="1"/>
  <c r="AT50" i="1"/>
  <c r="AO50" i="1"/>
  <c r="AN50" i="1"/>
  <c r="AB50" i="1"/>
  <c r="AP50" i="1" s="1"/>
  <c r="X50" i="1"/>
  <c r="F50" i="1"/>
  <c r="E50" i="1"/>
  <c r="D50" i="1"/>
  <c r="B50" i="1"/>
  <c r="BB50" i="1" s="1"/>
  <c r="A50" i="1"/>
  <c r="BM49" i="1"/>
  <c r="BK49" i="1"/>
  <c r="BL49" i="1" s="1"/>
  <c r="BE49" i="1"/>
  <c r="BD49" i="1"/>
  <c r="BC49" i="1"/>
  <c r="BA49" i="1"/>
  <c r="AX49" i="1"/>
  <c r="AW49" i="1"/>
  <c r="AV49" i="1"/>
  <c r="AU49" i="1"/>
  <c r="AT49" i="1"/>
  <c r="AO49" i="1"/>
  <c r="AB49" i="1"/>
  <c r="AP49" i="1" s="1"/>
  <c r="X49" i="1"/>
  <c r="F49" i="1"/>
  <c r="E49" i="1"/>
  <c r="D49" i="1"/>
  <c r="B49" i="1"/>
  <c r="BB49" i="1" s="1"/>
  <c r="A49" i="1"/>
  <c r="BM48" i="1"/>
  <c r="BK48" i="1"/>
  <c r="BL48" i="1" s="1"/>
  <c r="BE48" i="1"/>
  <c r="BD48" i="1"/>
  <c r="BC48" i="1"/>
  <c r="BA48" i="1"/>
  <c r="AX48" i="1"/>
  <c r="AW48" i="1"/>
  <c r="AV48" i="1"/>
  <c r="AU48" i="1"/>
  <c r="AT48" i="1"/>
  <c r="AO48" i="1"/>
  <c r="AB48" i="1"/>
  <c r="AP48" i="1" s="1"/>
  <c r="X48" i="1"/>
  <c r="F48" i="1"/>
  <c r="E48" i="1"/>
  <c r="D48" i="1"/>
  <c r="B48" i="1"/>
  <c r="BB48" i="1" s="1"/>
  <c r="A48" i="1"/>
  <c r="BM47" i="1"/>
  <c r="BK47" i="1"/>
  <c r="BL47" i="1" s="1"/>
  <c r="BE47" i="1"/>
  <c r="BD47" i="1"/>
  <c r="BC47" i="1"/>
  <c r="BA47" i="1"/>
  <c r="AX47" i="1"/>
  <c r="AW47" i="1"/>
  <c r="AV47" i="1"/>
  <c r="AU47" i="1"/>
  <c r="AT47" i="1"/>
  <c r="AO47" i="1"/>
  <c r="AB47" i="1"/>
  <c r="AP47" i="1" s="1"/>
  <c r="X47" i="1"/>
  <c r="F47" i="1"/>
  <c r="E47" i="1"/>
  <c r="D47" i="1"/>
  <c r="B47" i="1"/>
  <c r="A47" i="1"/>
  <c r="BM46" i="1"/>
  <c r="BK46" i="1"/>
  <c r="BL46" i="1" s="1"/>
  <c r="BE46" i="1"/>
  <c r="BD46" i="1"/>
  <c r="BC46" i="1"/>
  <c r="BA46" i="1"/>
  <c r="AX46" i="1"/>
  <c r="AW46" i="1"/>
  <c r="AV46" i="1"/>
  <c r="AU46" i="1"/>
  <c r="AT46" i="1"/>
  <c r="AQ46" i="1"/>
  <c r="AR46" i="1" s="1"/>
  <c r="AP46" i="1"/>
  <c r="AO46" i="1"/>
  <c r="AN46" i="1"/>
  <c r="AB46" i="1"/>
  <c r="X46" i="1"/>
  <c r="F46" i="1"/>
  <c r="E46" i="1"/>
  <c r="D46" i="1"/>
  <c r="B46" i="1"/>
  <c r="A46" i="1"/>
  <c r="BM45" i="1"/>
  <c r="BK45" i="1"/>
  <c r="BL45" i="1" s="1"/>
  <c r="BE45" i="1"/>
  <c r="BD45" i="1"/>
  <c r="BC45" i="1"/>
  <c r="BA45" i="1"/>
  <c r="AX45" i="1"/>
  <c r="AW45" i="1"/>
  <c r="AV45" i="1"/>
  <c r="AU45" i="1"/>
  <c r="AT45" i="1"/>
  <c r="AQ45" i="1"/>
  <c r="AR45" i="1" s="1"/>
  <c r="AP45" i="1"/>
  <c r="AO45" i="1"/>
  <c r="AB45" i="1"/>
  <c r="X45" i="1"/>
  <c r="F45" i="1"/>
  <c r="E45" i="1"/>
  <c r="D45" i="1"/>
  <c r="B45" i="1"/>
  <c r="A45" i="1"/>
  <c r="BM44" i="1"/>
  <c r="BK44" i="1"/>
  <c r="BL44" i="1" s="1"/>
  <c r="BE44" i="1"/>
  <c r="BD44" i="1"/>
  <c r="BC44" i="1"/>
  <c r="BA44" i="1"/>
  <c r="AX44" i="1"/>
  <c r="AW44" i="1"/>
  <c r="AV44" i="1"/>
  <c r="AU44" i="1"/>
  <c r="AT44" i="1"/>
  <c r="AQ44" i="1"/>
  <c r="AR44" i="1" s="1"/>
  <c r="AP44" i="1"/>
  <c r="AO44" i="1"/>
  <c r="AB44" i="1"/>
  <c r="X44" i="1"/>
  <c r="F44" i="1"/>
  <c r="E44" i="1"/>
  <c r="D44" i="1"/>
  <c r="B44" i="1"/>
  <c r="BB44" i="1" s="1"/>
  <c r="A44" i="1"/>
  <c r="BM43" i="1"/>
  <c r="BK43" i="1"/>
  <c r="BL43" i="1" s="1"/>
  <c r="BE43" i="1"/>
  <c r="BD43" i="1"/>
  <c r="BC43" i="1"/>
  <c r="BA43" i="1"/>
  <c r="AX43" i="1"/>
  <c r="AW43" i="1"/>
  <c r="AV43" i="1"/>
  <c r="AU43" i="1"/>
  <c r="AT43" i="1"/>
  <c r="AQ43" i="1"/>
  <c r="AR43" i="1" s="1"/>
  <c r="AP43" i="1"/>
  <c r="AO43" i="1"/>
  <c r="AB43" i="1"/>
  <c r="X43" i="1"/>
  <c r="F43" i="1"/>
  <c r="E43" i="1"/>
  <c r="D43" i="1"/>
  <c r="B43" i="1"/>
  <c r="BB43" i="1" s="1"/>
  <c r="A43" i="1"/>
  <c r="BM42" i="1"/>
  <c r="BK42" i="1"/>
  <c r="BL42" i="1" s="1"/>
  <c r="BE42" i="1"/>
  <c r="BD42" i="1"/>
  <c r="BC42" i="1"/>
  <c r="BA42" i="1"/>
  <c r="AX42" i="1"/>
  <c r="AW42" i="1"/>
  <c r="AV42" i="1"/>
  <c r="AU42" i="1"/>
  <c r="AT42" i="1"/>
  <c r="AQ42" i="1"/>
  <c r="AR42" i="1" s="1"/>
  <c r="AP42" i="1"/>
  <c r="AO42" i="1"/>
  <c r="AN42" i="1"/>
  <c r="AB42" i="1"/>
  <c r="X42" i="1"/>
  <c r="F42" i="1"/>
  <c r="E42" i="1"/>
  <c r="D42" i="1"/>
  <c r="B42" i="1"/>
  <c r="BB42" i="1" s="1"/>
  <c r="A42" i="1"/>
  <c r="BM41" i="1"/>
  <c r="BK41" i="1"/>
  <c r="BL41" i="1" s="1"/>
  <c r="BE41" i="1"/>
  <c r="BD41" i="1"/>
  <c r="BC41" i="1"/>
  <c r="BA41" i="1"/>
  <c r="AX41" i="1"/>
  <c r="AW41" i="1"/>
  <c r="AV41" i="1"/>
  <c r="AU41" i="1"/>
  <c r="AT41" i="1"/>
  <c r="AQ41" i="1"/>
  <c r="AR41" i="1" s="1"/>
  <c r="AP41" i="1"/>
  <c r="AN41" i="1"/>
  <c r="AE41" i="1"/>
  <c r="AB41" i="1"/>
  <c r="X41" i="1"/>
  <c r="F41" i="1"/>
  <c r="E41" i="1"/>
  <c r="D41" i="1"/>
  <c r="B41" i="1"/>
  <c r="BB41" i="1" s="1"/>
  <c r="A41" i="1"/>
  <c r="BM40" i="1"/>
  <c r="BK40" i="1"/>
  <c r="BL40" i="1" s="1"/>
  <c r="BE40" i="1"/>
  <c r="BD40" i="1"/>
  <c r="BC40" i="1"/>
  <c r="BA40" i="1"/>
  <c r="AX40" i="1"/>
  <c r="AW40" i="1"/>
  <c r="AV40" i="1"/>
  <c r="AU40" i="1"/>
  <c r="AT40" i="1"/>
  <c r="AQ40" i="1"/>
  <c r="AR40" i="1" s="1"/>
  <c r="AP40" i="1"/>
  <c r="AN40" i="1"/>
  <c r="AE40" i="1"/>
  <c r="AB40" i="1"/>
  <c r="X40" i="1"/>
  <c r="F40" i="1"/>
  <c r="E40" i="1"/>
  <c r="D40" i="1"/>
  <c r="B40" i="1"/>
  <c r="BB40" i="1" s="1"/>
  <c r="A40" i="1"/>
  <c r="BM39" i="1"/>
  <c r="BK39" i="1"/>
  <c r="BL39" i="1" s="1"/>
  <c r="BE39" i="1"/>
  <c r="BD39" i="1"/>
  <c r="BC39" i="1"/>
  <c r="BA39" i="1"/>
  <c r="AX39" i="1"/>
  <c r="AW39" i="1"/>
  <c r="AV39" i="1"/>
  <c r="AU39" i="1"/>
  <c r="AT39" i="1"/>
  <c r="AQ39" i="1"/>
  <c r="AR39" i="1" s="1"/>
  <c r="AP39" i="1"/>
  <c r="AN39" i="1"/>
  <c r="AE39" i="1"/>
  <c r="AB39" i="1"/>
  <c r="X39" i="1"/>
  <c r="F39" i="1"/>
  <c r="E39" i="1"/>
  <c r="D39" i="1"/>
  <c r="B39" i="1"/>
  <c r="A39" i="1"/>
  <c r="BM38" i="1"/>
  <c r="BK38" i="1"/>
  <c r="BL38" i="1" s="1"/>
  <c r="BE38" i="1"/>
  <c r="BD38" i="1"/>
  <c r="BC38" i="1"/>
  <c r="BA38" i="1"/>
  <c r="AX38" i="1"/>
  <c r="AW38" i="1"/>
  <c r="AV38" i="1"/>
  <c r="AU38" i="1"/>
  <c r="AT38" i="1"/>
  <c r="AQ38" i="1"/>
  <c r="AR38" i="1" s="1"/>
  <c r="AP38" i="1"/>
  <c r="AN38" i="1"/>
  <c r="AE38" i="1"/>
  <c r="AB38" i="1"/>
  <c r="X38" i="1"/>
  <c r="F38" i="1"/>
  <c r="E38" i="1"/>
  <c r="D38" i="1"/>
  <c r="B38" i="1"/>
  <c r="BB38" i="1" s="1"/>
  <c r="A38" i="1"/>
  <c r="BM37" i="1"/>
  <c r="BK37" i="1"/>
  <c r="BL37" i="1" s="1"/>
  <c r="BE37" i="1"/>
  <c r="BD37" i="1"/>
  <c r="BC37" i="1"/>
  <c r="BA37" i="1"/>
  <c r="AX37" i="1"/>
  <c r="AW37" i="1"/>
  <c r="AV37" i="1"/>
  <c r="AU37" i="1"/>
  <c r="AT37" i="1"/>
  <c r="AQ37" i="1"/>
  <c r="AR37" i="1" s="1"/>
  <c r="AP37" i="1"/>
  <c r="AN37" i="1"/>
  <c r="AE37" i="1"/>
  <c r="AB37" i="1"/>
  <c r="X37" i="1"/>
  <c r="F37" i="1"/>
  <c r="E37" i="1"/>
  <c r="D37" i="1"/>
  <c r="B37" i="1"/>
  <c r="BB37" i="1" s="1"/>
  <c r="A37" i="1"/>
  <c r="BM36" i="1"/>
  <c r="BK36" i="1"/>
  <c r="BL36" i="1" s="1"/>
  <c r="BE36" i="1"/>
  <c r="BD36" i="1"/>
  <c r="BC36" i="1"/>
  <c r="BA36" i="1"/>
  <c r="AX36" i="1"/>
  <c r="AW36" i="1"/>
  <c r="AV36" i="1"/>
  <c r="AU36" i="1"/>
  <c r="AT36" i="1"/>
  <c r="AQ36" i="1"/>
  <c r="AR36" i="1" s="1"/>
  <c r="AP36" i="1"/>
  <c r="AN36" i="1"/>
  <c r="AE36" i="1"/>
  <c r="AB36" i="1"/>
  <c r="X36" i="1"/>
  <c r="F36" i="1"/>
  <c r="E36" i="1"/>
  <c r="D36" i="1"/>
  <c r="B36" i="1"/>
  <c r="BB36" i="1" s="1"/>
  <c r="A36" i="1"/>
  <c r="BM35" i="1"/>
  <c r="BK35" i="1"/>
  <c r="BL35" i="1" s="1"/>
  <c r="BE35" i="1"/>
  <c r="BD35" i="1"/>
  <c r="BC35" i="1"/>
  <c r="BA35" i="1"/>
  <c r="AX35" i="1"/>
  <c r="AW35" i="1"/>
  <c r="AV35" i="1"/>
  <c r="AU35" i="1"/>
  <c r="AT35" i="1"/>
  <c r="AO35" i="1"/>
  <c r="AN35" i="1"/>
  <c r="AB35" i="1"/>
  <c r="AP35" i="1" s="1"/>
  <c r="X35" i="1"/>
  <c r="F35" i="1"/>
  <c r="E35" i="1"/>
  <c r="D35" i="1"/>
  <c r="B35" i="1"/>
  <c r="BB35" i="1" s="1"/>
  <c r="A35" i="1"/>
  <c r="BJ34" i="1"/>
  <c r="BH34" i="1"/>
  <c r="BI34" i="1" s="1"/>
  <c r="BE34" i="1"/>
  <c r="BD34" i="1"/>
  <c r="BC34" i="1"/>
  <c r="BA34" i="1"/>
  <c r="AX34" i="1"/>
  <c r="AW34" i="1"/>
  <c r="AV34" i="1"/>
  <c r="AU34" i="1"/>
  <c r="AT34" i="1"/>
  <c r="AQ34" i="1"/>
  <c r="AR34" i="1" s="1"/>
  <c r="AP34" i="1"/>
  <c r="AN34" i="1"/>
  <c r="AE34" i="1"/>
  <c r="AB34" i="1"/>
  <c r="X34" i="1"/>
  <c r="F34" i="1"/>
  <c r="E34" i="1"/>
  <c r="D34" i="1"/>
  <c r="B34" i="1"/>
  <c r="BB34" i="1" s="1"/>
  <c r="A34" i="1"/>
  <c r="BJ33" i="1"/>
  <c r="BH33" i="1"/>
  <c r="BI33" i="1" s="1"/>
  <c r="BE33" i="1"/>
  <c r="BD33" i="1"/>
  <c r="BC33" i="1"/>
  <c r="BA33" i="1"/>
  <c r="AX33" i="1"/>
  <c r="AW33" i="1"/>
  <c r="AV33" i="1"/>
  <c r="AU33" i="1"/>
  <c r="AT33" i="1"/>
  <c r="AQ33" i="1"/>
  <c r="AR33" i="1" s="1"/>
  <c r="AP33" i="1"/>
  <c r="AN33" i="1"/>
  <c r="AE33" i="1"/>
  <c r="AB33" i="1"/>
  <c r="X33" i="1"/>
  <c r="F33" i="1"/>
  <c r="E33" i="1"/>
  <c r="D33" i="1"/>
  <c r="B33" i="1"/>
  <c r="BB33" i="1" s="1"/>
  <c r="A33" i="1"/>
  <c r="BJ32" i="1"/>
  <c r="BH32" i="1"/>
  <c r="BI32" i="1" s="1"/>
  <c r="BE32" i="1"/>
  <c r="BD32" i="1"/>
  <c r="BC32" i="1"/>
  <c r="BA32" i="1"/>
  <c r="AX32" i="1"/>
  <c r="AW32" i="1"/>
  <c r="AV32" i="1"/>
  <c r="AU32" i="1"/>
  <c r="AT32" i="1"/>
  <c r="AQ32" i="1"/>
  <c r="AR32" i="1" s="1"/>
  <c r="AP32" i="1"/>
  <c r="AN32" i="1"/>
  <c r="AE32" i="1"/>
  <c r="AB32" i="1"/>
  <c r="X32" i="1"/>
  <c r="F32" i="1"/>
  <c r="E32" i="1"/>
  <c r="D32" i="1"/>
  <c r="B32" i="1"/>
  <c r="A32" i="1"/>
  <c r="BJ31" i="1"/>
  <c r="BH31" i="1"/>
  <c r="BI31" i="1" s="1"/>
  <c r="BE31" i="1"/>
  <c r="BD31" i="1"/>
  <c r="BC31" i="1"/>
  <c r="BA31" i="1"/>
  <c r="AX31" i="1"/>
  <c r="AW31" i="1"/>
  <c r="AV31" i="1"/>
  <c r="AU31" i="1"/>
  <c r="AT31" i="1"/>
  <c r="AQ31" i="1"/>
  <c r="AR31" i="1" s="1"/>
  <c r="AP31" i="1"/>
  <c r="AN31" i="1"/>
  <c r="AE31" i="1"/>
  <c r="AB31" i="1"/>
  <c r="X31" i="1"/>
  <c r="F31" i="1"/>
  <c r="E31" i="1"/>
  <c r="D31" i="1"/>
  <c r="B31" i="1"/>
  <c r="BB31" i="1" s="1"/>
  <c r="A31" i="1"/>
  <c r="BJ30" i="1"/>
  <c r="BH30" i="1"/>
  <c r="BI30" i="1" s="1"/>
  <c r="BE30" i="1"/>
  <c r="BD30" i="1"/>
  <c r="BC30" i="1"/>
  <c r="BA30" i="1"/>
  <c r="AX30" i="1"/>
  <c r="AW30" i="1"/>
  <c r="AV30" i="1"/>
  <c r="AU30" i="1"/>
  <c r="AT30" i="1"/>
  <c r="AQ30" i="1"/>
  <c r="AR30" i="1" s="1"/>
  <c r="AP30" i="1"/>
  <c r="AN30" i="1"/>
  <c r="AE30" i="1"/>
  <c r="AB30" i="1"/>
  <c r="X30" i="1"/>
  <c r="F30" i="1"/>
  <c r="E30" i="1"/>
  <c r="D30" i="1"/>
  <c r="B30" i="1"/>
  <c r="BB30" i="1" s="1"/>
  <c r="A30" i="1"/>
  <c r="BJ29" i="1"/>
  <c r="BH29" i="1"/>
  <c r="BI29" i="1" s="1"/>
  <c r="BE29" i="1"/>
  <c r="BD29" i="1"/>
  <c r="BC29" i="1"/>
  <c r="BA29" i="1"/>
  <c r="AX29" i="1"/>
  <c r="AW29" i="1"/>
  <c r="AV29" i="1"/>
  <c r="AU29" i="1"/>
  <c r="AT29" i="1"/>
  <c r="AQ29" i="1"/>
  <c r="AR29" i="1" s="1"/>
  <c r="AP29" i="1"/>
  <c r="AN29" i="1"/>
  <c r="AE29" i="1"/>
  <c r="AB29" i="1"/>
  <c r="X29" i="1"/>
  <c r="F29" i="1"/>
  <c r="E29" i="1"/>
  <c r="D29" i="1"/>
  <c r="B29" i="1"/>
  <c r="BB29" i="1" s="1"/>
  <c r="A29" i="1"/>
  <c r="BJ28" i="1"/>
  <c r="BH28" i="1"/>
  <c r="BI28" i="1" s="1"/>
  <c r="BE28" i="1"/>
  <c r="BD28" i="1"/>
  <c r="BC28" i="1"/>
  <c r="BA28" i="1"/>
  <c r="AX28" i="1"/>
  <c r="AW28" i="1"/>
  <c r="AV28" i="1"/>
  <c r="AU28" i="1"/>
  <c r="AT28" i="1"/>
  <c r="AO28" i="1"/>
  <c r="AN28" i="1"/>
  <c r="AB28" i="1"/>
  <c r="AP28" i="1" s="1"/>
  <c r="X28" i="1"/>
  <c r="F28" i="1"/>
  <c r="E28" i="1"/>
  <c r="D28" i="1"/>
  <c r="B28" i="1"/>
  <c r="BB28" i="1" s="1"/>
  <c r="A28" i="1"/>
  <c r="BJ27" i="1"/>
  <c r="BH27" i="1"/>
  <c r="BI27" i="1" s="1"/>
  <c r="BE27" i="1"/>
  <c r="BD27" i="1"/>
  <c r="BC27" i="1"/>
  <c r="BA27" i="1"/>
  <c r="AX27" i="1"/>
  <c r="AW27" i="1"/>
  <c r="AV27" i="1"/>
  <c r="AU27" i="1"/>
  <c r="AT27" i="1"/>
  <c r="AQ27" i="1"/>
  <c r="AR27" i="1" s="1"/>
  <c r="AP27" i="1"/>
  <c r="AO27" i="1"/>
  <c r="AB27" i="1"/>
  <c r="X27" i="1"/>
  <c r="F27" i="1"/>
  <c r="E27" i="1"/>
  <c r="D27" i="1"/>
  <c r="B27" i="1"/>
  <c r="A27" i="1"/>
  <c r="BJ26" i="1"/>
  <c r="BH26" i="1"/>
  <c r="BI26" i="1" s="1"/>
  <c r="BE26" i="1"/>
  <c r="BD26" i="1"/>
  <c r="BC26" i="1"/>
  <c r="BA26" i="1"/>
  <c r="AX26" i="1"/>
  <c r="AW26" i="1"/>
  <c r="AV26" i="1"/>
  <c r="AU26" i="1"/>
  <c r="AT26" i="1"/>
  <c r="AQ26" i="1"/>
  <c r="AR26" i="1" s="1"/>
  <c r="AP26" i="1"/>
  <c r="AO26" i="1"/>
  <c r="AB26" i="1"/>
  <c r="X26" i="1"/>
  <c r="F26" i="1"/>
  <c r="E26" i="1"/>
  <c r="D26" i="1"/>
  <c r="B26" i="1"/>
  <c r="BB26" i="1" s="1"/>
  <c r="A26" i="1"/>
  <c r="BJ25" i="1"/>
  <c r="BH25" i="1"/>
  <c r="BI25" i="1" s="1"/>
  <c r="BE25" i="1"/>
  <c r="BD25" i="1"/>
  <c r="BC25" i="1"/>
  <c r="BA25" i="1"/>
  <c r="AX25" i="1"/>
  <c r="AW25" i="1"/>
  <c r="AV25" i="1"/>
  <c r="AU25" i="1"/>
  <c r="AT25" i="1"/>
  <c r="AQ25" i="1"/>
  <c r="AR25" i="1" s="1"/>
  <c r="AP25" i="1"/>
  <c r="AO25" i="1"/>
  <c r="AB25" i="1"/>
  <c r="X25" i="1"/>
  <c r="F25" i="1"/>
  <c r="E25" i="1"/>
  <c r="D25" i="1"/>
  <c r="B25" i="1"/>
  <c r="BB25" i="1" s="1"/>
  <c r="A25" i="1"/>
  <c r="BJ24" i="1"/>
  <c r="BH24" i="1"/>
  <c r="BI24" i="1" s="1"/>
  <c r="BE24" i="1"/>
  <c r="BD24" i="1"/>
  <c r="BC24" i="1"/>
  <c r="BA24" i="1"/>
  <c r="AX24" i="1"/>
  <c r="AW24" i="1"/>
  <c r="AV24" i="1"/>
  <c r="AU24" i="1"/>
  <c r="AT24" i="1"/>
  <c r="AO24" i="1"/>
  <c r="AN24" i="1"/>
  <c r="AB24" i="1"/>
  <c r="AP24" i="1" s="1"/>
  <c r="X24" i="1"/>
  <c r="F24" i="1"/>
  <c r="E24" i="1"/>
  <c r="D24" i="1"/>
  <c r="B24" i="1"/>
  <c r="BB24" i="1" s="1"/>
  <c r="A24" i="1"/>
  <c r="BM23" i="1"/>
  <c r="BK23" i="1"/>
  <c r="BL23" i="1" s="1"/>
  <c r="BE23" i="1"/>
  <c r="BD23" i="1"/>
  <c r="BC23" i="1"/>
  <c r="BA23" i="1"/>
  <c r="AX23" i="1"/>
  <c r="AW23" i="1"/>
  <c r="AV23" i="1"/>
  <c r="AU23" i="1"/>
  <c r="AT23" i="1"/>
  <c r="AN23" i="1"/>
  <c r="AE23" i="1"/>
  <c r="AB23" i="1"/>
  <c r="AP23" i="1" s="1"/>
  <c r="X23" i="1"/>
  <c r="F23" i="1"/>
  <c r="E23" i="1"/>
  <c r="D23" i="1"/>
  <c r="B23" i="1"/>
  <c r="A23" i="1"/>
  <c r="BM22" i="1"/>
  <c r="BK22" i="1"/>
  <c r="BL22" i="1" s="1"/>
  <c r="BE22" i="1"/>
  <c r="BD22" i="1"/>
  <c r="BC22" i="1"/>
  <c r="BA22" i="1"/>
  <c r="AX22" i="1"/>
  <c r="AW22" i="1"/>
  <c r="AV22" i="1"/>
  <c r="AU22" i="1"/>
  <c r="AT22" i="1"/>
  <c r="AN22" i="1"/>
  <c r="AE22" i="1"/>
  <c r="AB22" i="1"/>
  <c r="AP22" i="1" s="1"/>
  <c r="X22" i="1"/>
  <c r="F22" i="1"/>
  <c r="E22" i="1"/>
  <c r="D22" i="1"/>
  <c r="B22" i="1"/>
  <c r="BB22" i="1" s="1"/>
  <c r="A22" i="1"/>
  <c r="BM21" i="1"/>
  <c r="BK21" i="1"/>
  <c r="BL21" i="1" s="1"/>
  <c r="BE21" i="1"/>
  <c r="BD21" i="1"/>
  <c r="BC21" i="1"/>
  <c r="BA21" i="1"/>
  <c r="AX21" i="1"/>
  <c r="AW21" i="1"/>
  <c r="AV21" i="1"/>
  <c r="AU21" i="1"/>
  <c r="AT21" i="1"/>
  <c r="AN21" i="1"/>
  <c r="AE21" i="1"/>
  <c r="AB21" i="1"/>
  <c r="X21" i="1"/>
  <c r="F21" i="1"/>
  <c r="E21" i="1"/>
  <c r="D21" i="1"/>
  <c r="B21" i="1"/>
  <c r="BB21" i="1" s="1"/>
  <c r="A21" i="1"/>
  <c r="BM20" i="1"/>
  <c r="BK20" i="1"/>
  <c r="BL20" i="1" s="1"/>
  <c r="BE20" i="1"/>
  <c r="BD20" i="1"/>
  <c r="BC20" i="1"/>
  <c r="BA20" i="1"/>
  <c r="AX20" i="1"/>
  <c r="AW20" i="1"/>
  <c r="AV20" i="1"/>
  <c r="AU20" i="1"/>
  <c r="AT20" i="1"/>
  <c r="AN20" i="1"/>
  <c r="AE20" i="1"/>
  <c r="AB20" i="1"/>
  <c r="AP20" i="1" s="1"/>
  <c r="X20" i="1"/>
  <c r="F20" i="1"/>
  <c r="E20" i="1"/>
  <c r="D20" i="1"/>
  <c r="B20" i="1"/>
  <c r="BB20" i="1" s="1"/>
  <c r="A20" i="1"/>
  <c r="BM19" i="1"/>
  <c r="BK19" i="1"/>
  <c r="BL19" i="1" s="1"/>
  <c r="BE19" i="1"/>
  <c r="BD19" i="1"/>
  <c r="BC19" i="1"/>
  <c r="BA19" i="1"/>
  <c r="AX19" i="1"/>
  <c r="AW19" i="1"/>
  <c r="AV19" i="1"/>
  <c r="AU19" i="1"/>
  <c r="AT19" i="1"/>
  <c r="AN19" i="1"/>
  <c r="AE19" i="1"/>
  <c r="AB19" i="1"/>
  <c r="AP19" i="1" s="1"/>
  <c r="X19" i="1"/>
  <c r="F19" i="1"/>
  <c r="E19" i="1"/>
  <c r="D19" i="1"/>
  <c r="B19" i="1"/>
  <c r="A19" i="1"/>
  <c r="BM18" i="1"/>
  <c r="BK18" i="1"/>
  <c r="BL18" i="1" s="1"/>
  <c r="BE18" i="1"/>
  <c r="BD18" i="1"/>
  <c r="BC18" i="1"/>
  <c r="BA18" i="1"/>
  <c r="AX18" i="1"/>
  <c r="AW18" i="1"/>
  <c r="AV18" i="1"/>
  <c r="AU18" i="1"/>
  <c r="AT18" i="1"/>
  <c r="AN18" i="1"/>
  <c r="AE18" i="1"/>
  <c r="AB18" i="1"/>
  <c r="AP18" i="1" s="1"/>
  <c r="X18" i="1"/>
  <c r="F18" i="1"/>
  <c r="E18" i="1"/>
  <c r="D18" i="1"/>
  <c r="B18" i="1"/>
  <c r="BB18" i="1" s="1"/>
  <c r="A18" i="1"/>
  <c r="BM17" i="1"/>
  <c r="BK17" i="1"/>
  <c r="BL17" i="1" s="1"/>
  <c r="BE17" i="1"/>
  <c r="BD17" i="1"/>
  <c r="BC17" i="1"/>
  <c r="BA17" i="1"/>
  <c r="AX17" i="1"/>
  <c r="AW17" i="1"/>
  <c r="AV17" i="1"/>
  <c r="AU17" i="1"/>
  <c r="AT17" i="1"/>
  <c r="AO17" i="1"/>
  <c r="AN17" i="1"/>
  <c r="AB17" i="1"/>
  <c r="AP17" i="1" s="1"/>
  <c r="X17" i="1"/>
  <c r="F17" i="1"/>
  <c r="E17" i="1"/>
  <c r="D17" i="1"/>
  <c r="B17" i="1"/>
  <c r="A17" i="1"/>
  <c r="BM16" i="1"/>
  <c r="BK16" i="1"/>
  <c r="BL16" i="1" s="1"/>
  <c r="BE16" i="1"/>
  <c r="BD16" i="1"/>
  <c r="BC16" i="1"/>
  <c r="BA16" i="1"/>
  <c r="AX16" i="1"/>
  <c r="AW16" i="1"/>
  <c r="AV16" i="1"/>
  <c r="AU16" i="1"/>
  <c r="AT16" i="1"/>
  <c r="AN16" i="1"/>
  <c r="AE16" i="1"/>
  <c r="AB16" i="1"/>
  <c r="AP16" i="1" s="1"/>
  <c r="X16" i="1"/>
  <c r="F16" i="1"/>
  <c r="E16" i="1"/>
  <c r="D16" i="1"/>
  <c r="B16" i="1"/>
  <c r="BB16" i="1" s="1"/>
  <c r="A16" i="1"/>
  <c r="BM15" i="1"/>
  <c r="BK15" i="1"/>
  <c r="BL15" i="1" s="1"/>
  <c r="BE15" i="1"/>
  <c r="BD15" i="1"/>
  <c r="BC15" i="1"/>
  <c r="BA15" i="1"/>
  <c r="AX15" i="1"/>
  <c r="AW15" i="1"/>
  <c r="AV15" i="1"/>
  <c r="AU15" i="1"/>
  <c r="AT15" i="1"/>
  <c r="AN15" i="1"/>
  <c r="AE15" i="1"/>
  <c r="AB15" i="1"/>
  <c r="AP15" i="1" s="1"/>
  <c r="X15" i="1"/>
  <c r="F15" i="1"/>
  <c r="E15" i="1"/>
  <c r="D15" i="1"/>
  <c r="B15" i="1"/>
  <c r="BB15" i="1" s="1"/>
  <c r="A15" i="1"/>
  <c r="BM14" i="1"/>
  <c r="BK14" i="1"/>
  <c r="BL14" i="1" s="1"/>
  <c r="BE14" i="1"/>
  <c r="BD14" i="1"/>
  <c r="BC14" i="1"/>
  <c r="BA14" i="1"/>
  <c r="AX14" i="1"/>
  <c r="AW14" i="1"/>
  <c r="AV14" i="1"/>
  <c r="AU14" i="1"/>
  <c r="AT14" i="1"/>
  <c r="AN14" i="1"/>
  <c r="AE14" i="1"/>
  <c r="AB14" i="1"/>
  <c r="AP14" i="1" s="1"/>
  <c r="X14" i="1"/>
  <c r="F14" i="1"/>
  <c r="E14" i="1"/>
  <c r="D14" i="1"/>
  <c r="B14" i="1"/>
  <c r="A14" i="1"/>
  <c r="BM13" i="1"/>
  <c r="BK13" i="1"/>
  <c r="BL13" i="1" s="1"/>
  <c r="BE13" i="1"/>
  <c r="BD13" i="1"/>
  <c r="BC13" i="1"/>
  <c r="BA13" i="1"/>
  <c r="AX13" i="1"/>
  <c r="AW13" i="1"/>
  <c r="AV13" i="1"/>
  <c r="AU13" i="1"/>
  <c r="AT13" i="1"/>
  <c r="AN13" i="1"/>
  <c r="AE13" i="1"/>
  <c r="AB13" i="1"/>
  <c r="AP13" i="1" s="1"/>
  <c r="X13" i="1"/>
  <c r="F13" i="1"/>
  <c r="E13" i="1"/>
  <c r="D13" i="1"/>
  <c r="B13" i="1"/>
  <c r="BB13" i="1" s="1"/>
  <c r="A13" i="1"/>
  <c r="BM12" i="1"/>
  <c r="BK12" i="1"/>
  <c r="BL12" i="1" s="1"/>
  <c r="BE12" i="1"/>
  <c r="BD12" i="1"/>
  <c r="BC12" i="1"/>
  <c r="BA12" i="1"/>
  <c r="AX12" i="1"/>
  <c r="AW12" i="1"/>
  <c r="AV12" i="1"/>
  <c r="AU12" i="1"/>
  <c r="AT12" i="1"/>
  <c r="AN12" i="1"/>
  <c r="AE12" i="1"/>
  <c r="AB12" i="1"/>
  <c r="AP12" i="1" s="1"/>
  <c r="X12" i="1"/>
  <c r="F12" i="1"/>
  <c r="E12" i="1"/>
  <c r="D12" i="1"/>
  <c r="B12" i="1"/>
  <c r="BB12" i="1" s="1"/>
  <c r="A12" i="1"/>
  <c r="BM11" i="1"/>
  <c r="BK11" i="1"/>
  <c r="BL11" i="1" s="1"/>
  <c r="BE11" i="1"/>
  <c r="BD11" i="1"/>
  <c r="BC11" i="1"/>
  <c r="BA11" i="1"/>
  <c r="AX11" i="1"/>
  <c r="AW11" i="1"/>
  <c r="AV11" i="1"/>
  <c r="AU11" i="1"/>
  <c r="AT11" i="1"/>
  <c r="AN11" i="1"/>
  <c r="AE11" i="1"/>
  <c r="AB11" i="1"/>
  <c r="AP11" i="1" s="1"/>
  <c r="X11" i="1"/>
  <c r="F11" i="1"/>
  <c r="E11" i="1"/>
  <c r="D11" i="1"/>
  <c r="B11" i="1"/>
  <c r="A11" i="1"/>
  <c r="BM10" i="1"/>
  <c r="BK10" i="1"/>
  <c r="BL10" i="1" s="1"/>
  <c r="BE10" i="1"/>
  <c r="BD10" i="1"/>
  <c r="BC10" i="1"/>
  <c r="BA10" i="1"/>
  <c r="AX10" i="1"/>
  <c r="AW10" i="1"/>
  <c r="AV10" i="1"/>
  <c r="AU10" i="1"/>
  <c r="AT10" i="1"/>
  <c r="AQ10" i="1"/>
  <c r="AR10" i="1" s="1"/>
  <c r="AP10" i="1"/>
  <c r="AO10" i="1"/>
  <c r="AN10" i="1"/>
  <c r="AB10" i="1"/>
  <c r="AA10" i="1" s="1"/>
  <c r="X10" i="1"/>
  <c r="F10" i="1"/>
  <c r="E10" i="1"/>
  <c r="D10" i="1"/>
  <c r="B10" i="1"/>
  <c r="BB10" i="1" s="1"/>
  <c r="A10" i="1"/>
  <c r="BM9" i="1"/>
  <c r="BK9" i="1"/>
  <c r="BL9" i="1" s="1"/>
  <c r="BE9" i="1"/>
  <c r="BD9" i="1"/>
  <c r="BC9" i="1"/>
  <c r="BA9" i="1"/>
  <c r="AX9" i="1"/>
  <c r="AW9" i="1"/>
  <c r="AV9" i="1"/>
  <c r="AU9" i="1"/>
  <c r="AT9" i="1"/>
  <c r="AQ9" i="1"/>
  <c r="AR9" i="1" s="1"/>
  <c r="AP9" i="1"/>
  <c r="AO9" i="1"/>
  <c r="AB9" i="1"/>
  <c r="X9" i="1"/>
  <c r="F9" i="1"/>
  <c r="E9" i="1"/>
  <c r="D9" i="1"/>
  <c r="B9" i="1"/>
  <c r="A9" i="1"/>
  <c r="BM8" i="1"/>
  <c r="BK8" i="1"/>
  <c r="BL8" i="1" s="1"/>
  <c r="BE8" i="1"/>
  <c r="BD8" i="1"/>
  <c r="BC8" i="1"/>
  <c r="BA8" i="1"/>
  <c r="AX8" i="1"/>
  <c r="AW8" i="1"/>
  <c r="AV8" i="1"/>
  <c r="AU8" i="1"/>
  <c r="AT8" i="1"/>
  <c r="AQ8" i="1"/>
  <c r="AR8" i="1" s="1"/>
  <c r="AP8" i="1"/>
  <c r="AO8" i="1"/>
  <c r="AB8" i="1"/>
  <c r="X8" i="1"/>
  <c r="F8" i="1"/>
  <c r="E8" i="1"/>
  <c r="D8" i="1"/>
  <c r="B8" i="1"/>
  <c r="BB8" i="1" s="1"/>
  <c r="A8" i="1"/>
  <c r="BM7" i="1"/>
  <c r="BK7" i="1"/>
  <c r="BL7" i="1" s="1"/>
  <c r="BE7" i="1"/>
  <c r="BD7" i="1"/>
  <c r="BC7" i="1"/>
  <c r="BA7" i="1"/>
  <c r="AX7" i="1"/>
  <c r="AW7" i="1"/>
  <c r="AV7" i="1"/>
  <c r="AU7" i="1"/>
  <c r="AT7" i="1"/>
  <c r="AQ7" i="1"/>
  <c r="AR7" i="1" s="1"/>
  <c r="AP7" i="1"/>
  <c r="AO7" i="1"/>
  <c r="AB7" i="1"/>
  <c r="X7" i="1"/>
  <c r="F7" i="1"/>
  <c r="E7" i="1"/>
  <c r="D7" i="1"/>
  <c r="B7" i="1"/>
  <c r="BB7" i="1" s="1"/>
  <c r="A7" i="1"/>
  <c r="BM6" i="1"/>
  <c r="BK6" i="1"/>
  <c r="BL6" i="1" s="1"/>
  <c r="BE6" i="1"/>
  <c r="BD6" i="1"/>
  <c r="BC6" i="1"/>
  <c r="BA6" i="1"/>
  <c r="AX6" i="1"/>
  <c r="AW6" i="1"/>
  <c r="AV6" i="1"/>
  <c r="AU6" i="1"/>
  <c r="AT6" i="1"/>
  <c r="AO6" i="1"/>
  <c r="AN6" i="1"/>
  <c r="AB6" i="1"/>
  <c r="X6" i="1"/>
  <c r="F6" i="1"/>
  <c r="E6" i="1"/>
  <c r="D6" i="1"/>
  <c r="B6" i="1"/>
  <c r="BB6" i="1" s="1"/>
  <c r="A6" i="1"/>
  <c r="AP6" i="1" l="1"/>
  <c r="AA6" i="1"/>
  <c r="AW529" i="1"/>
  <c r="AM540" i="1"/>
  <c r="BK540" i="1" s="1"/>
  <c r="BL540" i="1" s="1"/>
  <c r="AW538" i="1"/>
  <c r="AM539" i="1"/>
  <c r="BK539" i="1" s="1"/>
  <c r="BL539" i="1" s="1"/>
  <c r="AM513" i="1"/>
  <c r="AP514" i="1"/>
  <c r="BJ514" i="1" s="1"/>
  <c r="AQ516" i="1"/>
  <c r="AW474" i="1"/>
  <c r="AA474" i="1"/>
  <c r="AW475" i="1"/>
  <c r="AA475" i="1"/>
  <c r="AM477" i="1"/>
  <c r="AA477" i="1"/>
  <c r="BE478" i="1"/>
  <c r="AA478" i="1"/>
  <c r="AM480" i="1"/>
  <c r="AA480" i="1"/>
  <c r="AW476" i="1"/>
  <c r="AA476" i="1"/>
  <c r="AM479" i="1"/>
  <c r="AA479" i="1"/>
  <c r="AQ473" i="1"/>
  <c r="AA473" i="1"/>
  <c r="AM472" i="1"/>
  <c r="AA472" i="1"/>
  <c r="AQ471" i="1"/>
  <c r="AA471" i="1"/>
  <c r="B535" i="1"/>
  <c r="BB535" i="1" s="1"/>
  <c r="B515" i="1"/>
  <c r="BB515" i="1" s="1"/>
  <c r="F540" i="1"/>
  <c r="A538" i="1"/>
  <c r="A522" i="1"/>
  <c r="AS522" i="1" s="1"/>
  <c r="B530" i="1"/>
  <c r="BB530" i="1" s="1"/>
  <c r="A540" i="1"/>
  <c r="F396" i="1"/>
  <c r="F397" i="1"/>
  <c r="F398" i="1"/>
  <c r="F399" i="1"/>
  <c r="F404" i="1"/>
  <c r="F406" i="1"/>
  <c r="F407" i="1"/>
  <c r="F410" i="1"/>
  <c r="F420" i="1"/>
  <c r="F426" i="1"/>
  <c r="A484" i="1"/>
  <c r="AS484" i="1" s="1"/>
  <c r="A488" i="1"/>
  <c r="A489" i="1"/>
  <c r="AS489" i="1" s="1"/>
  <c r="A491" i="1"/>
  <c r="B496" i="1"/>
  <c r="AY496" i="1" s="1"/>
  <c r="B499" i="1"/>
  <c r="AY499" i="1" s="1"/>
  <c r="B500" i="1"/>
  <c r="AY500" i="1" s="1"/>
  <c r="B510" i="1"/>
  <c r="AY510" i="1" s="1"/>
  <c r="B511" i="1"/>
  <c r="BB511" i="1" s="1"/>
  <c r="B524" i="1"/>
  <c r="BB524" i="1" s="1"/>
  <c r="A516" i="1"/>
  <c r="A517" i="1"/>
  <c r="A519" i="1"/>
  <c r="A533" i="1"/>
  <c r="A537" i="1"/>
  <c r="B538" i="1"/>
  <c r="BB538" i="1" s="1"/>
  <c r="B540" i="1"/>
  <c r="BB540" i="1" s="1"/>
  <c r="A539" i="1"/>
  <c r="F539" i="1"/>
  <c r="A495" i="1"/>
  <c r="AS495" i="1" s="1"/>
  <c r="B498" i="1"/>
  <c r="AY498" i="1" s="1"/>
  <c r="B501" i="1"/>
  <c r="AY501" i="1" s="1"/>
  <c r="B506" i="1"/>
  <c r="AY506" i="1" s="1"/>
  <c r="B508" i="1"/>
  <c r="AY508" i="1" s="1"/>
  <c r="B527" i="1"/>
  <c r="BB527" i="1" s="1"/>
  <c r="A514" i="1"/>
  <c r="A518" i="1"/>
  <c r="A521" i="1"/>
  <c r="B528" i="1"/>
  <c r="AZ528" i="1" s="1"/>
  <c r="A515" i="1"/>
  <c r="AS515" i="1" s="1"/>
  <c r="F515" i="1"/>
  <c r="A531" i="1"/>
  <c r="AS531" i="1" s="1"/>
  <c r="F531" i="1"/>
  <c r="F402" i="1"/>
  <c r="F403" i="1"/>
  <c r="F405" i="1"/>
  <c r="F408" i="1"/>
  <c r="F409" i="1"/>
  <c r="F411" i="1"/>
  <c r="F424" i="1"/>
  <c r="A485" i="1"/>
  <c r="A486" i="1"/>
  <c r="A487" i="1"/>
  <c r="AS487" i="1" s="1"/>
  <c r="A490" i="1"/>
  <c r="B497" i="1"/>
  <c r="AY497" i="1" s="1"/>
  <c r="B502" i="1"/>
  <c r="AY502" i="1" s="1"/>
  <c r="B503" i="1"/>
  <c r="AY503" i="1" s="1"/>
  <c r="B525" i="1"/>
  <c r="BB525" i="1" s="1"/>
  <c r="B526" i="1"/>
  <c r="BB526" i="1" s="1"/>
  <c r="B532" i="1"/>
  <c r="BB532" i="1" s="1"/>
  <c r="A534" i="1"/>
  <c r="A536" i="1"/>
  <c r="A541" i="1"/>
  <c r="AS541" i="1" s="1"/>
  <c r="A528" i="1"/>
  <c r="BB539" i="1"/>
  <c r="AY539" i="1"/>
  <c r="AG539" i="1"/>
  <c r="AF539" i="1" s="1"/>
  <c r="AG540" i="1"/>
  <c r="AF540" i="1" s="1"/>
  <c r="BK535" i="1"/>
  <c r="BL535" i="1" s="1"/>
  <c r="BH535" i="1"/>
  <c r="BI535" i="1" s="1"/>
  <c r="AG535" i="1"/>
  <c r="AF535" i="1" s="1"/>
  <c r="AY531" i="1"/>
  <c r="AZ531" i="1"/>
  <c r="AG531" i="1"/>
  <c r="AF531" i="1" s="1"/>
  <c r="BH531" i="1"/>
  <c r="BI531" i="1" s="1"/>
  <c r="BK531" i="1"/>
  <c r="BL531" i="1" s="1"/>
  <c r="BH522" i="1"/>
  <c r="BI522" i="1" s="1"/>
  <c r="AZ530" i="1"/>
  <c r="BK530" i="1"/>
  <c r="BL530" i="1" s="1"/>
  <c r="AG530" i="1"/>
  <c r="AF530" i="1" s="1"/>
  <c r="AG522" i="1"/>
  <c r="AF522" i="1" s="1"/>
  <c r="AY522" i="1"/>
  <c r="AZ522" i="1"/>
  <c r="AR522" i="1"/>
  <c r="AZ515" i="1"/>
  <c r="BK515" i="1"/>
  <c r="BL515" i="1" s="1"/>
  <c r="BH515" i="1"/>
  <c r="BI515" i="1" s="1"/>
  <c r="AG515" i="1"/>
  <c r="AF515" i="1" s="1"/>
  <c r="AG538" i="1"/>
  <c r="AF538" i="1" s="1"/>
  <c r="AM538" i="1"/>
  <c r="BK538" i="1" s="1"/>
  <c r="BL538" i="1" s="1"/>
  <c r="AG528" i="1"/>
  <c r="AF528" i="1" s="1"/>
  <c r="AM528" i="1"/>
  <c r="BK528" i="1" s="1"/>
  <c r="BL528" i="1" s="1"/>
  <c r="AY343" i="1"/>
  <c r="AY340" i="1"/>
  <c r="AG55" i="1"/>
  <c r="AF55" i="1" s="1"/>
  <c r="AO55" i="1" s="1"/>
  <c r="AG107" i="1"/>
  <c r="AF107" i="1" s="1"/>
  <c r="AO107" i="1" s="1"/>
  <c r="AY108" i="1"/>
  <c r="AZ136" i="1"/>
  <c r="AY21" i="1"/>
  <c r="AY94" i="1"/>
  <c r="AZ185" i="1"/>
  <c r="AG313" i="1"/>
  <c r="AF313" i="1" s="1"/>
  <c r="AO313" i="1" s="1"/>
  <c r="AY81" i="1"/>
  <c r="AG87" i="1"/>
  <c r="AF87" i="1" s="1"/>
  <c r="AO87" i="1" s="1"/>
  <c r="AY101" i="1"/>
  <c r="AG52" i="1"/>
  <c r="AF52" i="1" s="1"/>
  <c r="AO52" i="1" s="1"/>
  <c r="AY476" i="1"/>
  <c r="AY35" i="1"/>
  <c r="AY64" i="1"/>
  <c r="AY133" i="1"/>
  <c r="AG340" i="1"/>
  <c r="AF340" i="1" s="1"/>
  <c r="AY326" i="1"/>
  <c r="AG88" i="1"/>
  <c r="AF88" i="1" s="1"/>
  <c r="AO88" i="1" s="1"/>
  <c r="AY41" i="1"/>
  <c r="AY103" i="1"/>
  <c r="AG325" i="1"/>
  <c r="AF325" i="1" s="1"/>
  <c r="AO325" i="1" s="1"/>
  <c r="AG116" i="1"/>
  <c r="AF116" i="1" s="1"/>
  <c r="AO116" i="1" s="1"/>
  <c r="AY36" i="1"/>
  <c r="AG53" i="1"/>
  <c r="AF53" i="1" s="1"/>
  <c r="AO53" i="1" s="1"/>
  <c r="AG84" i="1"/>
  <c r="AF84" i="1" s="1"/>
  <c r="AO84" i="1" s="1"/>
  <c r="AY97" i="1"/>
  <c r="AY106" i="1"/>
  <c r="AG112" i="1"/>
  <c r="AF112" i="1" s="1"/>
  <c r="AO112" i="1" s="1"/>
  <c r="AY293" i="1"/>
  <c r="AY332" i="1"/>
  <c r="AY7" i="1"/>
  <c r="AY79" i="1"/>
  <c r="AG537" i="1"/>
  <c r="AF537" i="1" s="1"/>
  <c r="AY58" i="1"/>
  <c r="AG65" i="1"/>
  <c r="AF65" i="1" s="1"/>
  <c r="AO65" i="1" s="1"/>
  <c r="BK146" i="1"/>
  <c r="BL146" i="1" s="1"/>
  <c r="AG78" i="1"/>
  <c r="AF78" i="1" s="1"/>
  <c r="AO78" i="1" s="1"/>
  <c r="AY69" i="1"/>
  <c r="AG85" i="1"/>
  <c r="AF85" i="1" s="1"/>
  <c r="AO85" i="1" s="1"/>
  <c r="AY86" i="1"/>
  <c r="AG92" i="1"/>
  <c r="AF92" i="1" s="1"/>
  <c r="AO92" i="1" s="1"/>
  <c r="AY349" i="1"/>
  <c r="AG32" i="1"/>
  <c r="AF32" i="1" s="1"/>
  <c r="AO32" i="1" s="1"/>
  <c r="AY33" i="1"/>
  <c r="AY59" i="1"/>
  <c r="AG66" i="1"/>
  <c r="AF66" i="1" s="1"/>
  <c r="AO66" i="1" s="1"/>
  <c r="AY67" i="1"/>
  <c r="AG74" i="1"/>
  <c r="AF74" i="1" s="1"/>
  <c r="AO74" i="1" s="1"/>
  <c r="AY77" i="1"/>
  <c r="AY469" i="1"/>
  <c r="AS431" i="1"/>
  <c r="AY10" i="1"/>
  <c r="AG86" i="1"/>
  <c r="AF86" i="1" s="1"/>
  <c r="AO86" i="1" s="1"/>
  <c r="BB256" i="1"/>
  <c r="AY48" i="1"/>
  <c r="AS249" i="1"/>
  <c r="AY22" i="1"/>
  <c r="AG59" i="1"/>
  <c r="AF59" i="1" s="1"/>
  <c r="AO59" i="1" s="1"/>
  <c r="AY89" i="1"/>
  <c r="AY120" i="1"/>
  <c r="AY285" i="1"/>
  <c r="AY297" i="1"/>
  <c r="AY311" i="1"/>
  <c r="AY53" i="1"/>
  <c r="AY70" i="1"/>
  <c r="AY305" i="1"/>
  <c r="AG323" i="1"/>
  <c r="AF323" i="1" s="1"/>
  <c r="AO323" i="1" s="1"/>
  <c r="AY324" i="1"/>
  <c r="AP450" i="1"/>
  <c r="AY15" i="1"/>
  <c r="AY42" i="1"/>
  <c r="AY49" i="1"/>
  <c r="AY80" i="1"/>
  <c r="AG90" i="1"/>
  <c r="AF90" i="1" s="1"/>
  <c r="AO90" i="1" s="1"/>
  <c r="AY91" i="1"/>
  <c r="AY98" i="1"/>
  <c r="AY104" i="1"/>
  <c r="AY134" i="1"/>
  <c r="AY333" i="1"/>
  <c r="BK141" i="1"/>
  <c r="BL141" i="1" s="1"/>
  <c r="AS154" i="1"/>
  <c r="AY315" i="1"/>
  <c r="AY463" i="1"/>
  <c r="AS512" i="1"/>
  <c r="AG130" i="1"/>
  <c r="AF130" i="1" s="1"/>
  <c r="AO130" i="1" s="1"/>
  <c r="BD342" i="1"/>
  <c r="AY460" i="1"/>
  <c r="BD512" i="1"/>
  <c r="AY6" i="1"/>
  <c r="AZ144" i="1"/>
  <c r="AY135" i="1"/>
  <c r="BB144" i="1"/>
  <c r="AY470" i="1"/>
  <c r="AY96" i="1"/>
  <c r="AY328" i="1"/>
  <c r="AY334" i="1"/>
  <c r="AG98" i="1"/>
  <c r="AF98" i="1" s="1"/>
  <c r="AO98" i="1" s="1"/>
  <c r="AP444" i="1"/>
  <c r="AS509" i="1"/>
  <c r="AG527" i="1"/>
  <c r="AF527" i="1" s="1"/>
  <c r="AY16" i="1"/>
  <c r="AY40" i="1"/>
  <c r="AY60" i="1"/>
  <c r="AG72" i="1"/>
  <c r="AF72" i="1" s="1"/>
  <c r="AO72" i="1" s="1"/>
  <c r="AY73" i="1"/>
  <c r="AY88" i="1"/>
  <c r="AY93" i="1"/>
  <c r="AY110" i="1"/>
  <c r="AG165" i="1"/>
  <c r="AF165" i="1" s="1"/>
  <c r="AO165" i="1" s="1"/>
  <c r="AZ177" i="1"/>
  <c r="AY290" i="1"/>
  <c r="AS302" i="1"/>
  <c r="AY302" i="1"/>
  <c r="AY299" i="1"/>
  <c r="AY312" i="1"/>
  <c r="AS305" i="1"/>
  <c r="AP165" i="1"/>
  <c r="AY309" i="1"/>
  <c r="AG507" i="1"/>
  <c r="AF507" i="1" s="1"/>
  <c r="AY38" i="1"/>
  <c r="AG62" i="1"/>
  <c r="AF62" i="1" s="1"/>
  <c r="AO62" i="1" s="1"/>
  <c r="AY71" i="1"/>
  <c r="AG75" i="1"/>
  <c r="AF75" i="1" s="1"/>
  <c r="AO75" i="1" s="1"/>
  <c r="AY109" i="1"/>
  <c r="AS287" i="1"/>
  <c r="AY287" i="1"/>
  <c r="AY331" i="1"/>
  <c r="AY337" i="1"/>
  <c r="AY355" i="1"/>
  <c r="AS441" i="1"/>
  <c r="AV481" i="1"/>
  <c r="AG408" i="1"/>
  <c r="AF408" i="1" s="1"/>
  <c r="AO408" i="1" s="1"/>
  <c r="AE429" i="1"/>
  <c r="AG429" i="1" s="1"/>
  <c r="AF429" i="1" s="1"/>
  <c r="BB182" i="1"/>
  <c r="AM537" i="1"/>
  <c r="BK537" i="1" s="1"/>
  <c r="BL537" i="1" s="1"/>
  <c r="BB544" i="1"/>
  <c r="AG526" i="1"/>
  <c r="AF526" i="1" s="1"/>
  <c r="AP245" i="1"/>
  <c r="AY18" i="1"/>
  <c r="AY25" i="1"/>
  <c r="BB136" i="1"/>
  <c r="AS181" i="1"/>
  <c r="AY318" i="1"/>
  <c r="AE376" i="1"/>
  <c r="AG376" i="1" s="1"/>
  <c r="AF376" i="1" s="1"/>
  <c r="AE450" i="1"/>
  <c r="AG450" i="1" s="1"/>
  <c r="AF450" i="1" s="1"/>
  <c r="AG490" i="1"/>
  <c r="AF490" i="1" s="1"/>
  <c r="AE149" i="1"/>
  <c r="AG149" i="1" s="1"/>
  <c r="AF149" i="1" s="1"/>
  <c r="AG229" i="1"/>
  <c r="AF229" i="1" s="1"/>
  <c r="AO229" i="1" s="1"/>
  <c r="BK229" i="1" s="1"/>
  <c r="BL229" i="1" s="1"/>
  <c r="AG276" i="1"/>
  <c r="AF276" i="1" s="1"/>
  <c r="AP234" i="1"/>
  <c r="AZ248" i="1"/>
  <c r="AG512" i="1"/>
  <c r="AF512" i="1" s="1"/>
  <c r="AY119" i="1"/>
  <c r="BK140" i="1"/>
  <c r="BL140" i="1" s="1"/>
  <c r="AS176" i="1"/>
  <c r="AG224" i="1"/>
  <c r="AF224" i="1" s="1"/>
  <c r="AO224" i="1" s="1"/>
  <c r="BK224" i="1" s="1"/>
  <c r="BL224" i="1" s="1"/>
  <c r="AG30" i="1"/>
  <c r="AF30" i="1" s="1"/>
  <c r="AO30" i="1" s="1"/>
  <c r="AY99" i="1"/>
  <c r="AY116" i="1"/>
  <c r="AY131" i="1"/>
  <c r="AG175" i="1"/>
  <c r="AF175" i="1" s="1"/>
  <c r="AO175" i="1" s="1"/>
  <c r="BH175" i="1" s="1"/>
  <c r="BI175" i="1" s="1"/>
  <c r="AG232" i="1"/>
  <c r="AF232" i="1" s="1"/>
  <c r="AO232" i="1" s="1"/>
  <c r="BK232" i="1" s="1"/>
  <c r="BL232" i="1" s="1"/>
  <c r="BB245" i="1"/>
  <c r="BB248" i="1"/>
  <c r="AY283" i="1"/>
  <c r="AY335" i="1"/>
  <c r="AY338" i="1"/>
  <c r="AY356" i="1"/>
  <c r="AS380" i="1"/>
  <c r="AS382" i="1"/>
  <c r="AG142" i="1"/>
  <c r="AF142" i="1" s="1"/>
  <c r="AG239" i="1"/>
  <c r="AF239" i="1" s="1"/>
  <c r="AO239" i="1" s="1"/>
  <c r="BH239" i="1" s="1"/>
  <c r="BI239" i="1" s="1"/>
  <c r="AG199" i="1"/>
  <c r="AF199" i="1" s="1"/>
  <c r="AO199" i="1" s="1"/>
  <c r="BK199" i="1" s="1"/>
  <c r="BL199" i="1" s="1"/>
  <c r="BC341" i="1"/>
  <c r="AS139" i="1"/>
  <c r="AY300" i="1"/>
  <c r="AY303" i="1"/>
  <c r="AY462" i="1"/>
  <c r="AY468" i="1"/>
  <c r="AG209" i="1"/>
  <c r="AF209" i="1" s="1"/>
  <c r="AO209" i="1" s="1"/>
  <c r="BK209" i="1" s="1"/>
  <c r="BL209" i="1" s="1"/>
  <c r="AP432" i="1"/>
  <c r="AZ174" i="1"/>
  <c r="AY44" i="1"/>
  <c r="AG206" i="1"/>
  <c r="AF206" i="1" s="1"/>
  <c r="AO206" i="1" s="1"/>
  <c r="BK206" i="1" s="1"/>
  <c r="BL206" i="1" s="1"/>
  <c r="AG508" i="1"/>
  <c r="AF508" i="1" s="1"/>
  <c r="AE265" i="1"/>
  <c r="AG265" i="1" s="1"/>
  <c r="AF265" i="1" s="1"/>
  <c r="AP408" i="1"/>
  <c r="AS152" i="1"/>
  <c r="AY126" i="1"/>
  <c r="AS274" i="1"/>
  <c r="AY292" i="1"/>
  <c r="AS297" i="1"/>
  <c r="AY327" i="1"/>
  <c r="AY330" i="1"/>
  <c r="AS449" i="1"/>
  <c r="AY459" i="1"/>
  <c r="AS465" i="1"/>
  <c r="AG36" i="1"/>
  <c r="AF36" i="1" s="1"/>
  <c r="AO36" i="1" s="1"/>
  <c r="AY51" i="1"/>
  <c r="AY61" i="1"/>
  <c r="AG73" i="1"/>
  <c r="AF73" i="1" s="1"/>
  <c r="AO73" i="1" s="1"/>
  <c r="AG114" i="1"/>
  <c r="AF114" i="1" s="1"/>
  <c r="AO114" i="1" s="1"/>
  <c r="AG211" i="1"/>
  <c r="AF211" i="1" s="1"/>
  <c r="AO211" i="1" s="1"/>
  <c r="BK211" i="1" s="1"/>
  <c r="BL211" i="1" s="1"/>
  <c r="AZ256" i="1"/>
  <c r="AY322" i="1"/>
  <c r="AS420" i="1"/>
  <c r="AY452" i="1"/>
  <c r="AP504" i="1"/>
  <c r="AE524" i="1"/>
  <c r="AG524" i="1" s="1"/>
  <c r="AF524" i="1" s="1"/>
  <c r="AY533" i="1"/>
  <c r="BB129" i="1"/>
  <c r="AY129" i="1"/>
  <c r="BB127" i="1"/>
  <c r="AY127" i="1"/>
  <c r="AQ147" i="1"/>
  <c r="AP147" i="1"/>
  <c r="AY176" i="1"/>
  <c r="BB176" i="1"/>
  <c r="AP395" i="1"/>
  <c r="BB473" i="1"/>
  <c r="AY473" i="1"/>
  <c r="BB124" i="1"/>
  <c r="AY124" i="1"/>
  <c r="AY145" i="1"/>
  <c r="AZ145" i="1"/>
  <c r="AQ240" i="1"/>
  <c r="AR240" i="1" s="1"/>
  <c r="AE240" i="1"/>
  <c r="AG240" i="1" s="1"/>
  <c r="AF240" i="1" s="1"/>
  <c r="BB345" i="1"/>
  <c r="AY345" i="1"/>
  <c r="AZ542" i="1"/>
  <c r="AG31" i="1"/>
  <c r="AF31" i="1" s="1"/>
  <c r="AO31" i="1" s="1"/>
  <c r="AY37" i="1"/>
  <c r="BB39" i="1"/>
  <c r="AY39" i="1"/>
  <c r="AG113" i="1"/>
  <c r="AF113" i="1" s="1"/>
  <c r="AO113" i="1" s="1"/>
  <c r="AY114" i="1"/>
  <c r="AP144" i="1"/>
  <c r="AG341" i="1"/>
  <c r="AF341" i="1" s="1"/>
  <c r="BB461" i="1"/>
  <c r="AY461" i="1"/>
  <c r="BB464" i="1"/>
  <c r="AY464" i="1"/>
  <c r="BB118" i="1"/>
  <c r="AY118" i="1"/>
  <c r="BB542" i="1"/>
  <c r="AQ416" i="1"/>
  <c r="AR416" i="1" s="1"/>
  <c r="AP416" i="1"/>
  <c r="AM186" i="1"/>
  <c r="AS186" i="1" s="1"/>
  <c r="AG186" i="1"/>
  <c r="AF186" i="1" s="1"/>
  <c r="AO186" i="1" s="1"/>
  <c r="AE488" i="1"/>
  <c r="AG488" i="1" s="1"/>
  <c r="AF488" i="1" s="1"/>
  <c r="AG546" i="1"/>
  <c r="AF546" i="1" s="1"/>
  <c r="AE263" i="1"/>
  <c r="AG263" i="1" s="1"/>
  <c r="AF263" i="1" s="1"/>
  <c r="BB102" i="1"/>
  <c r="AY102" i="1"/>
  <c r="AY87" i="1"/>
  <c r="AS294" i="1"/>
  <c r="AY294" i="1"/>
  <c r="BB46" i="1"/>
  <c r="AY46" i="1"/>
  <c r="AW271" i="1"/>
  <c r="AG271" i="1"/>
  <c r="AF271" i="1" s="1"/>
  <c r="BB17" i="1"/>
  <c r="AY17" i="1"/>
  <c r="AY62" i="1"/>
  <c r="AG80" i="1"/>
  <c r="AF80" i="1" s="1"/>
  <c r="AO80" i="1" s="1"/>
  <c r="AP162" i="1"/>
  <c r="AM273" i="1"/>
  <c r="AS273" i="1" s="1"/>
  <c r="AG273" i="1"/>
  <c r="AF273" i="1" s="1"/>
  <c r="BB291" i="1"/>
  <c r="AY291" i="1"/>
  <c r="AQ384" i="1"/>
  <c r="AR384" i="1" s="1"/>
  <c r="AP384" i="1"/>
  <c r="AE384" i="1"/>
  <c r="AG384" i="1" s="1"/>
  <c r="AF384" i="1" s="1"/>
  <c r="BB57" i="1"/>
  <c r="AY57" i="1"/>
  <c r="AG69" i="1"/>
  <c r="AF69" i="1" s="1"/>
  <c r="AO69" i="1" s="1"/>
  <c r="AY82" i="1"/>
  <c r="AG202" i="1"/>
  <c r="AF202" i="1" s="1"/>
  <c r="AO202" i="1" s="1"/>
  <c r="BK202" i="1" s="1"/>
  <c r="BL202" i="1" s="1"/>
  <c r="AG207" i="1"/>
  <c r="AF207" i="1" s="1"/>
  <c r="AO207" i="1" s="1"/>
  <c r="BK207" i="1" s="1"/>
  <c r="BL207" i="1" s="1"/>
  <c r="AY252" i="1"/>
  <c r="AZ252" i="1"/>
  <c r="BB132" i="1"/>
  <c r="AY132" i="1"/>
  <c r="BB23" i="1"/>
  <c r="AY23" i="1"/>
  <c r="AY8" i="1"/>
  <c r="AG54" i="1"/>
  <c r="AF54" i="1" s="1"/>
  <c r="AO54" i="1" s="1"/>
  <c r="AY55" i="1"/>
  <c r="AG134" i="1"/>
  <c r="AF134" i="1" s="1"/>
  <c r="AO134" i="1" s="1"/>
  <c r="AS281" i="1"/>
  <c r="AY281" i="1"/>
  <c r="BB288" i="1"/>
  <c r="AY288" i="1"/>
  <c r="AG505" i="1"/>
  <c r="AF505" i="1" s="1"/>
  <c r="AO505" i="1" s="1"/>
  <c r="BH505" i="1" s="1"/>
  <c r="BI505" i="1" s="1"/>
  <c r="AZ544" i="1"/>
  <c r="AG542" i="1"/>
  <c r="AF542" i="1" s="1"/>
  <c r="BB137" i="1"/>
  <c r="AG225" i="1"/>
  <c r="AF225" i="1" s="1"/>
  <c r="AO225" i="1" s="1"/>
  <c r="BK225" i="1" s="1"/>
  <c r="BL225" i="1" s="1"/>
  <c r="AP269" i="1"/>
  <c r="AG506" i="1"/>
  <c r="AF506" i="1" s="1"/>
  <c r="AE407" i="1"/>
  <c r="AG407" i="1" s="1"/>
  <c r="AF407" i="1" s="1"/>
  <c r="AG178" i="1"/>
  <c r="AF178" i="1" s="1"/>
  <c r="AO178" i="1" s="1"/>
  <c r="BH178" i="1" s="1"/>
  <c r="BI178" i="1" s="1"/>
  <c r="AG274" i="1"/>
  <c r="AF274" i="1" s="1"/>
  <c r="AS285" i="1"/>
  <c r="AG544" i="1"/>
  <c r="AF544" i="1" s="1"/>
  <c r="AE189" i="1"/>
  <c r="AG189" i="1" s="1"/>
  <c r="AF189" i="1" s="1"/>
  <c r="AE249" i="1"/>
  <c r="AG249" i="1" s="1"/>
  <c r="AF249" i="1" s="1"/>
  <c r="AE412" i="1"/>
  <c r="AG412" i="1" s="1"/>
  <c r="AF412" i="1" s="1"/>
  <c r="AE437" i="1"/>
  <c r="AG437" i="1" s="1"/>
  <c r="AF437" i="1" s="1"/>
  <c r="AP145" i="1"/>
  <c r="AP148" i="1"/>
  <c r="AG241" i="1"/>
  <c r="AF241" i="1" s="1"/>
  <c r="AO241" i="1" s="1"/>
  <c r="BH241" i="1" s="1"/>
  <c r="BI241" i="1" s="1"/>
  <c r="AG264" i="1"/>
  <c r="AF264" i="1" s="1"/>
  <c r="AO264" i="1" s="1"/>
  <c r="AP412" i="1"/>
  <c r="AS463" i="1"/>
  <c r="AE484" i="1"/>
  <c r="AG484" i="1" s="1"/>
  <c r="AF484" i="1" s="1"/>
  <c r="AY13" i="1"/>
  <c r="AG33" i="1"/>
  <c r="AF33" i="1" s="1"/>
  <c r="AO33" i="1" s="1"/>
  <c r="AY43" i="1"/>
  <c r="AY78" i="1"/>
  <c r="BK139" i="1"/>
  <c r="BL139" i="1" s="1"/>
  <c r="BB177" i="1"/>
  <c r="AZ182" i="1"/>
  <c r="AG183" i="1"/>
  <c r="AF183" i="1" s="1"/>
  <c r="AO183" i="1" s="1"/>
  <c r="BH183" i="1" s="1"/>
  <c r="BI183" i="1" s="1"/>
  <c r="AS184" i="1"/>
  <c r="AG201" i="1"/>
  <c r="AF201" i="1" s="1"/>
  <c r="AO201" i="1" s="1"/>
  <c r="BK201" i="1" s="1"/>
  <c r="BL201" i="1" s="1"/>
  <c r="AG221" i="1"/>
  <c r="AF221" i="1" s="1"/>
  <c r="AO221" i="1" s="1"/>
  <c r="BH221" i="1" s="1"/>
  <c r="BI221" i="1" s="1"/>
  <c r="AS263" i="1"/>
  <c r="AP264" i="1"/>
  <c r="AE277" i="1"/>
  <c r="AG277" i="1" s="1"/>
  <c r="AF277" i="1" s="1"/>
  <c r="AS283" i="1"/>
  <c r="AE442" i="1"/>
  <c r="AG442" i="1" s="1"/>
  <c r="AF442" i="1" s="1"/>
  <c r="AG173" i="1"/>
  <c r="AF173" i="1" s="1"/>
  <c r="AO173" i="1" s="1"/>
  <c r="AG163" i="1"/>
  <c r="AF163" i="1" s="1"/>
  <c r="AO163" i="1" s="1"/>
  <c r="AP173" i="1"/>
  <c r="BB185" i="1"/>
  <c r="AG205" i="1"/>
  <c r="AF205" i="1" s="1"/>
  <c r="AO205" i="1" s="1"/>
  <c r="BK205" i="1" s="1"/>
  <c r="BL205" i="1" s="1"/>
  <c r="AG210" i="1"/>
  <c r="AF210" i="1" s="1"/>
  <c r="AO210" i="1" s="1"/>
  <c r="AG390" i="1"/>
  <c r="AF390" i="1" s="1"/>
  <c r="AO390" i="1" s="1"/>
  <c r="AP442" i="1"/>
  <c r="AG489" i="1"/>
  <c r="AF489" i="1" s="1"/>
  <c r="AO489" i="1" s="1"/>
  <c r="BH489" i="1" s="1"/>
  <c r="BI489" i="1" s="1"/>
  <c r="AP163" i="1"/>
  <c r="AP170" i="1"/>
  <c r="AG203" i="1"/>
  <c r="AF203" i="1" s="1"/>
  <c r="AO203" i="1" s="1"/>
  <c r="BK203" i="1" s="1"/>
  <c r="BL203" i="1" s="1"/>
  <c r="AG213" i="1"/>
  <c r="AF213" i="1" s="1"/>
  <c r="AO213" i="1" s="1"/>
  <c r="BH213" i="1" s="1"/>
  <c r="BI213" i="1" s="1"/>
  <c r="AE261" i="1"/>
  <c r="AG261" i="1" s="1"/>
  <c r="AF261" i="1" s="1"/>
  <c r="AG171" i="1"/>
  <c r="AF171" i="1" s="1"/>
  <c r="AO171" i="1" s="1"/>
  <c r="AG487" i="1"/>
  <c r="AF487" i="1" s="1"/>
  <c r="AO487" i="1" s="1"/>
  <c r="BH487" i="1" s="1"/>
  <c r="BI487" i="1" s="1"/>
  <c r="AY26" i="1"/>
  <c r="AY29" i="1"/>
  <c r="AG38" i="1"/>
  <c r="AF38" i="1" s="1"/>
  <c r="AO38" i="1" s="1"/>
  <c r="AG51" i="1"/>
  <c r="AF51" i="1" s="1"/>
  <c r="AO51" i="1" s="1"/>
  <c r="AG63" i="1"/>
  <c r="AF63" i="1" s="1"/>
  <c r="AO63" i="1" s="1"/>
  <c r="AY84" i="1"/>
  <c r="AY107" i="1"/>
  <c r="AG115" i="1"/>
  <c r="AF115" i="1" s="1"/>
  <c r="AO115" i="1" s="1"/>
  <c r="AP171" i="1"/>
  <c r="AZ184" i="1"/>
  <c r="AG270" i="1"/>
  <c r="AF270" i="1" s="1"/>
  <c r="AS307" i="1"/>
  <c r="AP388" i="1"/>
  <c r="AP391" i="1"/>
  <c r="AG504" i="1"/>
  <c r="AF504" i="1" s="1"/>
  <c r="AO504" i="1" s="1"/>
  <c r="AG485" i="1"/>
  <c r="AF485" i="1" s="1"/>
  <c r="AO485" i="1" s="1"/>
  <c r="AG383" i="1"/>
  <c r="AF383" i="1" s="1"/>
  <c r="AO383" i="1" s="1"/>
  <c r="BK383" i="1" s="1"/>
  <c r="BL383" i="1" s="1"/>
  <c r="AG480" i="1"/>
  <c r="AF480" i="1" s="1"/>
  <c r="AE379" i="1"/>
  <c r="AG379" i="1" s="1"/>
  <c r="AF379" i="1" s="1"/>
  <c r="AG397" i="1"/>
  <c r="AF397" i="1" s="1"/>
  <c r="AO397" i="1" s="1"/>
  <c r="BH397" i="1" s="1"/>
  <c r="BI397" i="1" s="1"/>
  <c r="AG511" i="1"/>
  <c r="AF511" i="1" s="1"/>
  <c r="AS293" i="1"/>
  <c r="AS376" i="1"/>
  <c r="AP497" i="1"/>
  <c r="AG140" i="1"/>
  <c r="AF140" i="1" s="1"/>
  <c r="AG491" i="1"/>
  <c r="AF491" i="1" s="1"/>
  <c r="AE243" i="1"/>
  <c r="AG243" i="1" s="1"/>
  <c r="AF243" i="1" s="1"/>
  <c r="AG269" i="1"/>
  <c r="AF269" i="1" s="1"/>
  <c r="AO269" i="1" s="1"/>
  <c r="AG138" i="1"/>
  <c r="AF138" i="1" s="1"/>
  <c r="BB270" i="1"/>
  <c r="AG422" i="1"/>
  <c r="AF422" i="1" s="1"/>
  <c r="AE151" i="1"/>
  <c r="AG151" i="1" s="1"/>
  <c r="AF151" i="1" s="1"/>
  <c r="AG228" i="1"/>
  <c r="AF228" i="1" s="1"/>
  <c r="AO228" i="1" s="1"/>
  <c r="BK228" i="1" s="1"/>
  <c r="BL228" i="1" s="1"/>
  <c r="AP379" i="1"/>
  <c r="AP427" i="1"/>
  <c r="AP266" i="1"/>
  <c r="AE143" i="1"/>
  <c r="AG143" i="1" s="1"/>
  <c r="AF143" i="1" s="1"/>
  <c r="AP258" i="1"/>
  <c r="AE415" i="1"/>
  <c r="AG415" i="1" s="1"/>
  <c r="AF415" i="1" s="1"/>
  <c r="AP437" i="1"/>
  <c r="AG56" i="1"/>
  <c r="AF56" i="1" s="1"/>
  <c r="AO56" i="1" s="1"/>
  <c r="AG61" i="1"/>
  <c r="AF61" i="1" s="1"/>
  <c r="AO61" i="1" s="1"/>
  <c r="BB184" i="1"/>
  <c r="AE234" i="1"/>
  <c r="AG234" i="1" s="1"/>
  <c r="AF234" i="1" s="1"/>
  <c r="AG242" i="1"/>
  <c r="AF242" i="1" s="1"/>
  <c r="AO242" i="1" s="1"/>
  <c r="BH242" i="1" s="1"/>
  <c r="BI242" i="1" s="1"/>
  <c r="AP250" i="1"/>
  <c r="BH265" i="1"/>
  <c r="BI265" i="1" s="1"/>
  <c r="AP277" i="1"/>
  <c r="AE444" i="1"/>
  <c r="AG444" i="1" s="1"/>
  <c r="AF444" i="1" s="1"/>
  <c r="AS461" i="1"/>
  <c r="AS483" i="1"/>
  <c r="AG236" i="1"/>
  <c r="AF236" i="1" s="1"/>
  <c r="AO236" i="1" s="1"/>
  <c r="BH236" i="1" s="1"/>
  <c r="BI236" i="1" s="1"/>
  <c r="BB282" i="1"/>
  <c r="AY282" i="1"/>
  <c r="AP150" i="1"/>
  <c r="BB174" i="1"/>
  <c r="AQ267" i="1"/>
  <c r="AR267" i="1" s="1"/>
  <c r="AE267" i="1"/>
  <c r="AG267" i="1" s="1"/>
  <c r="AF267" i="1" s="1"/>
  <c r="AP267" i="1"/>
  <c r="BB280" i="1"/>
  <c r="AY280" i="1"/>
  <c r="AM409" i="1"/>
  <c r="AS409" i="1" s="1"/>
  <c r="AV409" i="1"/>
  <c r="AM253" i="1"/>
  <c r="BK253" i="1" s="1"/>
  <c r="BL253" i="1" s="1"/>
  <c r="AE253" i="1"/>
  <c r="AG253" i="1" s="1"/>
  <c r="AF253" i="1" s="1"/>
  <c r="BB123" i="1"/>
  <c r="AY123" i="1"/>
  <c r="AM188" i="1"/>
  <c r="AG188" i="1"/>
  <c r="AF188" i="1" s="1"/>
  <c r="AO188" i="1" s="1"/>
  <c r="AQ411" i="1"/>
  <c r="AP411" i="1"/>
  <c r="BB32" i="1"/>
  <c r="AY32" i="1"/>
  <c r="BB14" i="1"/>
  <c r="AY14" i="1"/>
  <c r="AG29" i="1"/>
  <c r="AF29" i="1" s="1"/>
  <c r="AO29" i="1" s="1"/>
  <c r="AY344" i="1"/>
  <c r="AY30" i="1"/>
  <c r="AQ486" i="1"/>
  <c r="AR486" i="1" s="1"/>
  <c r="AP486" i="1"/>
  <c r="AE486" i="1"/>
  <c r="AG486" i="1" s="1"/>
  <c r="AF486" i="1" s="1"/>
  <c r="AM496" i="1"/>
  <c r="BH496" i="1" s="1"/>
  <c r="BI496" i="1" s="1"/>
  <c r="AE496" i="1"/>
  <c r="AG496" i="1" s="1"/>
  <c r="AF496" i="1" s="1"/>
  <c r="BB317" i="1"/>
  <c r="AY317" i="1"/>
  <c r="AG216" i="1"/>
  <c r="AF216" i="1" s="1"/>
  <c r="AO216" i="1" s="1"/>
  <c r="BH216" i="1" s="1"/>
  <c r="BI216" i="1" s="1"/>
  <c r="BB27" i="1"/>
  <c r="AY27" i="1"/>
  <c r="AS187" i="1"/>
  <c r="AQ248" i="1"/>
  <c r="AP248" i="1"/>
  <c r="AE394" i="1"/>
  <c r="AG394" i="1" s="1"/>
  <c r="AF394" i="1" s="1"/>
  <c r="AY75" i="1"/>
  <c r="AW137" i="1"/>
  <c r="AG137" i="1"/>
  <c r="AF137" i="1" s="1"/>
  <c r="AG180" i="1"/>
  <c r="AF180" i="1" s="1"/>
  <c r="AO180" i="1" s="1"/>
  <c r="BH180" i="1" s="1"/>
  <c r="BI180" i="1" s="1"/>
  <c r="AY187" i="1"/>
  <c r="BB187" i="1"/>
  <c r="AZ187" i="1"/>
  <c r="AM260" i="1"/>
  <c r="BK260" i="1" s="1"/>
  <c r="BL260" i="1" s="1"/>
  <c r="AV260" i="1"/>
  <c r="AG260" i="1"/>
  <c r="AF260" i="1" s="1"/>
  <c r="BB301" i="1"/>
  <c r="AY301" i="1"/>
  <c r="AS156" i="1"/>
  <c r="AS179" i="1"/>
  <c r="BB296" i="1"/>
  <c r="AY296" i="1"/>
  <c r="AY339" i="1"/>
  <c r="BB466" i="1"/>
  <c r="AY466" i="1"/>
  <c r="BB336" i="1"/>
  <c r="AY336" i="1"/>
  <c r="BB457" i="1"/>
  <c r="AY457" i="1"/>
  <c r="AP21" i="1"/>
  <c r="AQ21" i="1"/>
  <c r="AR21" i="1" s="1"/>
  <c r="AQ168" i="1"/>
  <c r="AR168" i="1" s="1"/>
  <c r="AP168" i="1"/>
  <c r="AG168" i="1"/>
  <c r="AF168" i="1" s="1"/>
  <c r="AO168" i="1" s="1"/>
  <c r="AQ223" i="1"/>
  <c r="AR223" i="1" s="1"/>
  <c r="AE223" i="1"/>
  <c r="AG223" i="1" s="1"/>
  <c r="AF223" i="1" s="1"/>
  <c r="AP223" i="1"/>
  <c r="AM435" i="1"/>
  <c r="AS435" i="1" s="1"/>
  <c r="AE435" i="1"/>
  <c r="AG435" i="1" s="1"/>
  <c r="AF435" i="1" s="1"/>
  <c r="AY151" i="1"/>
  <c r="BB151" i="1"/>
  <c r="BB128" i="1"/>
  <c r="AY128" i="1"/>
  <c r="BB9" i="1"/>
  <c r="AY9" i="1"/>
  <c r="BB47" i="1"/>
  <c r="AY47" i="1"/>
  <c r="BB105" i="1"/>
  <c r="AY105" i="1"/>
  <c r="AY179" i="1"/>
  <c r="BB179" i="1"/>
  <c r="BB19" i="1"/>
  <c r="AY19" i="1"/>
  <c r="BB45" i="1"/>
  <c r="AY45" i="1"/>
  <c r="AG70" i="1"/>
  <c r="AF70" i="1" s="1"/>
  <c r="AO70" i="1" s="1"/>
  <c r="AZ151" i="1"/>
  <c r="AM185" i="1"/>
  <c r="AS185" i="1" s="1"/>
  <c r="AG185" i="1"/>
  <c r="AF185" i="1" s="1"/>
  <c r="AO185" i="1" s="1"/>
  <c r="AY244" i="1"/>
  <c r="BB244" i="1"/>
  <c r="AZ244" i="1"/>
  <c r="BB323" i="1"/>
  <c r="AY323" i="1"/>
  <c r="AM177" i="1"/>
  <c r="AS177" i="1" s="1"/>
  <c r="AG177" i="1"/>
  <c r="AF177" i="1" s="1"/>
  <c r="AO177" i="1" s="1"/>
  <c r="BB11" i="1"/>
  <c r="AY11" i="1"/>
  <c r="AQ160" i="1"/>
  <c r="AR160" i="1" s="1"/>
  <c r="AP160" i="1"/>
  <c r="AG160" i="1"/>
  <c r="AF160" i="1" s="1"/>
  <c r="AO160" i="1" s="1"/>
  <c r="AG40" i="1"/>
  <c r="AF40" i="1" s="1"/>
  <c r="AO40" i="1" s="1"/>
  <c r="BB66" i="1"/>
  <c r="AY66" i="1"/>
  <c r="AG404" i="1"/>
  <c r="AF404" i="1" s="1"/>
  <c r="AO404" i="1" s="1"/>
  <c r="BK404" i="1" s="1"/>
  <c r="BL404" i="1" s="1"/>
  <c r="AY12" i="1"/>
  <c r="AY20" i="1"/>
  <c r="AY28" i="1"/>
  <c r="AG34" i="1"/>
  <c r="AF34" i="1" s="1"/>
  <c r="AO34" i="1" s="1"/>
  <c r="AG68" i="1"/>
  <c r="AF68" i="1" s="1"/>
  <c r="AO68" i="1" s="1"/>
  <c r="AY112" i="1"/>
  <c r="AY121" i="1"/>
  <c r="AY130" i="1"/>
  <c r="AG214" i="1"/>
  <c r="AF214" i="1" s="1"/>
  <c r="AO214" i="1" s="1"/>
  <c r="BH214" i="1" s="1"/>
  <c r="BI214" i="1" s="1"/>
  <c r="AM251" i="1"/>
  <c r="BH251" i="1" s="1"/>
  <c r="BI251" i="1" s="1"/>
  <c r="AE251" i="1"/>
  <c r="AG251" i="1" s="1"/>
  <c r="AF251" i="1" s="1"/>
  <c r="BB289" i="1"/>
  <c r="AY289" i="1"/>
  <c r="BB321" i="1"/>
  <c r="AY321" i="1"/>
  <c r="BB347" i="1"/>
  <c r="AY347" i="1"/>
  <c r="AS385" i="1"/>
  <c r="AE389" i="1"/>
  <c r="AG389" i="1" s="1"/>
  <c r="AF389" i="1" s="1"/>
  <c r="AQ417" i="1"/>
  <c r="AR417" i="1" s="1"/>
  <c r="AP417" i="1"/>
  <c r="BB252" i="1"/>
  <c r="AZ272" i="1"/>
  <c r="BK275" i="1"/>
  <c r="BL275" i="1" s="1"/>
  <c r="AM392" i="1"/>
  <c r="AS392" i="1" s="1"/>
  <c r="AE392" i="1"/>
  <c r="AG392" i="1" s="1"/>
  <c r="AF392" i="1" s="1"/>
  <c r="AQ402" i="1"/>
  <c r="AR402" i="1" s="1"/>
  <c r="AE402" i="1"/>
  <c r="AG402" i="1" s="1"/>
  <c r="AF402" i="1" s="1"/>
  <c r="BB454" i="1"/>
  <c r="AY454" i="1"/>
  <c r="BB307" i="1"/>
  <c r="AY307" i="1"/>
  <c r="BB520" i="1"/>
  <c r="AY520" i="1"/>
  <c r="AE174" i="1"/>
  <c r="AG174" i="1" s="1"/>
  <c r="AF174" i="1" s="1"/>
  <c r="AS178" i="1"/>
  <c r="AZ181" i="1"/>
  <c r="AG182" i="1"/>
  <c r="AF182" i="1" s="1"/>
  <c r="AO182" i="1" s="1"/>
  <c r="BH182" i="1" s="1"/>
  <c r="BI182" i="1" s="1"/>
  <c r="AE212" i="1"/>
  <c r="AG212" i="1" s="1"/>
  <c r="AF212" i="1" s="1"/>
  <c r="AG219" i="1"/>
  <c r="AF219" i="1" s="1"/>
  <c r="AO219" i="1" s="1"/>
  <c r="BH219" i="1" s="1"/>
  <c r="BI219" i="1" s="1"/>
  <c r="AG230" i="1"/>
  <c r="AF230" i="1" s="1"/>
  <c r="AO230" i="1" s="1"/>
  <c r="BK230" i="1" s="1"/>
  <c r="BL230" i="1" s="1"/>
  <c r="BH249" i="1"/>
  <c r="BI249" i="1" s="1"/>
  <c r="BB272" i="1"/>
  <c r="AG339" i="1"/>
  <c r="AF339" i="1" s="1"/>
  <c r="AQ381" i="1"/>
  <c r="AR381" i="1" s="1"/>
  <c r="AP381" i="1"/>
  <c r="BB467" i="1"/>
  <c r="AY467" i="1"/>
  <c r="AY541" i="1"/>
  <c r="AY31" i="1"/>
  <c r="AG37" i="1"/>
  <c r="AF37" i="1" s="1"/>
  <c r="AO37" i="1" s="1"/>
  <c r="AG39" i="1"/>
  <c r="AF39" i="1" s="1"/>
  <c r="AO39" i="1" s="1"/>
  <c r="AG41" i="1"/>
  <c r="AF41" i="1" s="1"/>
  <c r="AO41" i="1" s="1"/>
  <c r="AY65" i="1"/>
  <c r="AY72" i="1"/>
  <c r="AY74" i="1"/>
  <c r="AG91" i="1"/>
  <c r="AF91" i="1" s="1"/>
  <c r="AO91" i="1" s="1"/>
  <c r="AG93" i="1"/>
  <c r="AF93" i="1" s="1"/>
  <c r="AO93" i="1" s="1"/>
  <c r="AG94" i="1"/>
  <c r="AF94" i="1" s="1"/>
  <c r="AO94" i="1" s="1"/>
  <c r="AG108" i="1"/>
  <c r="AF108" i="1" s="1"/>
  <c r="AO108" i="1" s="1"/>
  <c r="AY115" i="1"/>
  <c r="AY122" i="1"/>
  <c r="AG136" i="1"/>
  <c r="AF136" i="1" s="1"/>
  <c r="AZ138" i="1"/>
  <c r="BB145" i="1"/>
  <c r="AZ150" i="1"/>
  <c r="AG161" i="1"/>
  <c r="AF161" i="1" s="1"/>
  <c r="AO161" i="1" s="1"/>
  <c r="AG169" i="1"/>
  <c r="AF169" i="1" s="1"/>
  <c r="AO169" i="1" s="1"/>
  <c r="AS175" i="1"/>
  <c r="AZ178" i="1"/>
  <c r="AG179" i="1"/>
  <c r="AF179" i="1" s="1"/>
  <c r="AO179" i="1" s="1"/>
  <c r="BH179" i="1" s="1"/>
  <c r="BI179" i="1" s="1"/>
  <c r="BB181" i="1"/>
  <c r="AS183" i="1"/>
  <c r="AZ186" i="1"/>
  <c r="AG187" i="1"/>
  <c r="AF187" i="1" s="1"/>
  <c r="AO187" i="1" s="1"/>
  <c r="BH187" i="1" s="1"/>
  <c r="BI187" i="1" s="1"/>
  <c r="AS196" i="1"/>
  <c r="AP197" i="1"/>
  <c r="AG208" i="1"/>
  <c r="AF208" i="1" s="1"/>
  <c r="AO208" i="1" s="1"/>
  <c r="BK208" i="1" s="1"/>
  <c r="BL208" i="1" s="1"/>
  <c r="AG217" i="1"/>
  <c r="AF217" i="1" s="1"/>
  <c r="AO217" i="1" s="1"/>
  <c r="BH217" i="1" s="1"/>
  <c r="BI217" i="1" s="1"/>
  <c r="AG226" i="1"/>
  <c r="AF226" i="1" s="1"/>
  <c r="AO226" i="1" s="1"/>
  <c r="BK226" i="1" s="1"/>
  <c r="BL226" i="1" s="1"/>
  <c r="AG268" i="1"/>
  <c r="AF268" i="1" s="1"/>
  <c r="AO268" i="1" s="1"/>
  <c r="BH268" i="1" s="1"/>
  <c r="BI268" i="1" s="1"/>
  <c r="AS295" i="1"/>
  <c r="AY295" i="1"/>
  <c r="BB310" i="1"/>
  <c r="AY310" i="1"/>
  <c r="AY316" i="1"/>
  <c r="BB329" i="1"/>
  <c r="AY329" i="1"/>
  <c r="AP377" i="1"/>
  <c r="AM405" i="1"/>
  <c r="AS405" i="1" s="1"/>
  <c r="AE405" i="1"/>
  <c r="AG405" i="1" s="1"/>
  <c r="AF405" i="1" s="1"/>
  <c r="AM433" i="1"/>
  <c r="AS433" i="1" s="1"/>
  <c r="AE433" i="1"/>
  <c r="AG433" i="1" s="1"/>
  <c r="AF433" i="1" s="1"/>
  <c r="AQ448" i="1"/>
  <c r="AR448" i="1" s="1"/>
  <c r="AE448" i="1"/>
  <c r="AG448" i="1" s="1"/>
  <c r="AF448" i="1" s="1"/>
  <c r="BB455" i="1"/>
  <c r="AY455" i="1"/>
  <c r="AY523" i="1"/>
  <c r="BB534" i="1"/>
  <c r="AY534" i="1"/>
  <c r="BB536" i="1"/>
  <c r="AY536" i="1"/>
  <c r="AQ400" i="1"/>
  <c r="AR400" i="1" s="1"/>
  <c r="AE400" i="1"/>
  <c r="AG400" i="1" s="1"/>
  <c r="AF400" i="1" s="1"/>
  <c r="AE146" i="1"/>
  <c r="AG146" i="1" s="1"/>
  <c r="AF146" i="1" s="1"/>
  <c r="AP256" i="1"/>
  <c r="AY90" i="1"/>
  <c r="AY92" i="1"/>
  <c r="AY95" i="1"/>
  <c r="AG106" i="1"/>
  <c r="AF106" i="1" s="1"/>
  <c r="AO106" i="1" s="1"/>
  <c r="AY113" i="1"/>
  <c r="BB138" i="1"/>
  <c r="AS140" i="1"/>
  <c r="BB150" i="1"/>
  <c r="AE159" i="1"/>
  <c r="AG159" i="1" s="1"/>
  <c r="AF159" i="1" s="1"/>
  <c r="AP161" i="1"/>
  <c r="AP169" i="1"/>
  <c r="AP174" i="1"/>
  <c r="AZ175" i="1"/>
  <c r="AG176" i="1"/>
  <c r="AF176" i="1" s="1"/>
  <c r="AO176" i="1" s="1"/>
  <c r="BH176" i="1" s="1"/>
  <c r="BI176" i="1" s="1"/>
  <c r="BB178" i="1"/>
  <c r="AS180" i="1"/>
  <c r="AZ183" i="1"/>
  <c r="AG184" i="1"/>
  <c r="AF184" i="1" s="1"/>
  <c r="AO184" i="1" s="1"/>
  <c r="BH184" i="1" s="1"/>
  <c r="BI184" i="1" s="1"/>
  <c r="BB186" i="1"/>
  <c r="AS194" i="1"/>
  <c r="AG204" i="1"/>
  <c r="AF204" i="1" s="1"/>
  <c r="AO204" i="1" s="1"/>
  <c r="BK204" i="1" s="1"/>
  <c r="BL204" i="1" s="1"/>
  <c r="AG215" i="1"/>
  <c r="AF215" i="1" s="1"/>
  <c r="AO215" i="1" s="1"/>
  <c r="BH215" i="1" s="1"/>
  <c r="BI215" i="1" s="1"/>
  <c r="AG235" i="1"/>
  <c r="AF235" i="1" s="1"/>
  <c r="AO235" i="1" s="1"/>
  <c r="BH235" i="1" s="1"/>
  <c r="BI235" i="1" s="1"/>
  <c r="AE247" i="1"/>
  <c r="AG247" i="1" s="1"/>
  <c r="AF247" i="1" s="1"/>
  <c r="AZ271" i="1"/>
  <c r="AS308" i="1"/>
  <c r="AY308" i="1"/>
  <c r="AQ378" i="1"/>
  <c r="AR378" i="1" s="1"/>
  <c r="AP378" i="1"/>
  <c r="AS394" i="1"/>
  <c r="AS397" i="1"/>
  <c r="AQ482" i="1"/>
  <c r="AR482" i="1" s="1"/>
  <c r="AE482" i="1"/>
  <c r="AG482" i="1" s="1"/>
  <c r="AF482" i="1" s="1"/>
  <c r="AQ498" i="1"/>
  <c r="AP498" i="1"/>
  <c r="AM525" i="1"/>
  <c r="AQ525" i="1"/>
  <c r="AP525" i="1"/>
  <c r="BB189" i="1"/>
  <c r="AP166" i="1"/>
  <c r="BB313" i="1"/>
  <c r="AY313" i="1"/>
  <c r="AQ396" i="1"/>
  <c r="AR396" i="1" s="1"/>
  <c r="AE396" i="1"/>
  <c r="AG396" i="1" s="1"/>
  <c r="AF396" i="1" s="1"/>
  <c r="AY24" i="1"/>
  <c r="AY50" i="1"/>
  <c r="AY52" i="1"/>
  <c r="AY54" i="1"/>
  <c r="AY56" i="1"/>
  <c r="AY63" i="1"/>
  <c r="AG67" i="1"/>
  <c r="AF67" i="1" s="1"/>
  <c r="AO67" i="1" s="1"/>
  <c r="AG79" i="1"/>
  <c r="AF79" i="1" s="1"/>
  <c r="AO79" i="1" s="1"/>
  <c r="AG81" i="1"/>
  <c r="AF81" i="1" s="1"/>
  <c r="AO81" i="1" s="1"/>
  <c r="AG82" i="1"/>
  <c r="AF82" i="1" s="1"/>
  <c r="AO82" i="1" s="1"/>
  <c r="AY83" i="1"/>
  <c r="AY85" i="1"/>
  <c r="AY100" i="1"/>
  <c r="AY111" i="1"/>
  <c r="AY125" i="1"/>
  <c r="AG167" i="1"/>
  <c r="AF167" i="1" s="1"/>
  <c r="AO167" i="1" s="1"/>
  <c r="BB175" i="1"/>
  <c r="AZ180" i="1"/>
  <c r="AG181" i="1"/>
  <c r="AF181" i="1" s="1"/>
  <c r="AO181" i="1" s="1"/>
  <c r="BH181" i="1" s="1"/>
  <c r="BI181" i="1" s="1"/>
  <c r="BB183" i="1"/>
  <c r="AZ188" i="1"/>
  <c r="AS192" i="1"/>
  <c r="AG198" i="1"/>
  <c r="AF198" i="1" s="1"/>
  <c r="AO198" i="1" s="1"/>
  <c r="BK198" i="1" s="1"/>
  <c r="BL198" i="1" s="1"/>
  <c r="AG200" i="1"/>
  <c r="AF200" i="1" s="1"/>
  <c r="AO200" i="1" s="1"/>
  <c r="BK200" i="1" s="1"/>
  <c r="BL200" i="1" s="1"/>
  <c r="AG233" i="1"/>
  <c r="AF233" i="1" s="1"/>
  <c r="AO233" i="1" s="1"/>
  <c r="BK233" i="1" s="1"/>
  <c r="BL233" i="1" s="1"/>
  <c r="AE245" i="1"/>
  <c r="AG245" i="1" s="1"/>
  <c r="AF245" i="1" s="1"/>
  <c r="AN245" i="1" s="1"/>
  <c r="AP252" i="1"/>
  <c r="AG259" i="1"/>
  <c r="AF259" i="1" s="1"/>
  <c r="AO259" i="1" s="1"/>
  <c r="BB271" i="1"/>
  <c r="AY306" i="1"/>
  <c r="AG324" i="1"/>
  <c r="AF324" i="1" s="1"/>
  <c r="AO324" i="1" s="1"/>
  <c r="AS389" i="1"/>
  <c r="AG393" i="1"/>
  <c r="AF393" i="1" s="1"/>
  <c r="AO393" i="1" s="1"/>
  <c r="AP400" i="1"/>
  <c r="AE418" i="1"/>
  <c r="AG418" i="1" s="1"/>
  <c r="AF418" i="1" s="1"/>
  <c r="AS429" i="1"/>
  <c r="AP430" i="1"/>
  <c r="AQ485" i="1"/>
  <c r="AR485" i="1" s="1"/>
  <c r="AP485" i="1"/>
  <c r="AE197" i="1"/>
  <c r="AG197" i="1" s="1"/>
  <c r="AF197" i="1" s="1"/>
  <c r="AG166" i="1"/>
  <c r="AF166" i="1" s="1"/>
  <c r="AO166" i="1" s="1"/>
  <c r="AQ237" i="1"/>
  <c r="AR237" i="1" s="1"/>
  <c r="AE237" i="1"/>
  <c r="AG237" i="1" s="1"/>
  <c r="AF237" i="1" s="1"/>
  <c r="AX548" i="1"/>
  <c r="AX1" i="1" s="1"/>
  <c r="AG172" i="1"/>
  <c r="AF172" i="1" s="1"/>
  <c r="AO172" i="1" s="1"/>
  <c r="AQ259" i="1"/>
  <c r="AR259" i="1" s="1"/>
  <c r="AP259" i="1"/>
  <c r="AS404" i="1"/>
  <c r="AS419" i="1"/>
  <c r="AS426" i="1"/>
  <c r="AY34" i="1"/>
  <c r="AG60" i="1"/>
  <c r="AF60" i="1" s="1"/>
  <c r="AO60" i="1" s="1"/>
  <c r="AY68" i="1"/>
  <c r="AG110" i="1"/>
  <c r="AF110" i="1" s="1"/>
  <c r="AO110" i="1" s="1"/>
  <c r="AY117" i="1"/>
  <c r="AZ137" i="1"/>
  <c r="AS158" i="1"/>
  <c r="AP159" i="1"/>
  <c r="AP164" i="1"/>
  <c r="AP172" i="1"/>
  <c r="AG231" i="1"/>
  <c r="AF231" i="1" s="1"/>
  <c r="AO231" i="1" s="1"/>
  <c r="BK231" i="1" s="1"/>
  <c r="BL231" i="1" s="1"/>
  <c r="AG238" i="1"/>
  <c r="AF238" i="1" s="1"/>
  <c r="AO238" i="1" s="1"/>
  <c r="BH238" i="1" s="1"/>
  <c r="BI238" i="1" s="1"/>
  <c r="AS246" i="1"/>
  <c r="AS284" i="1"/>
  <c r="AY284" i="1"/>
  <c r="AS286" i="1"/>
  <c r="AY286" i="1"/>
  <c r="BB320" i="1"/>
  <c r="AY320" i="1"/>
  <c r="AG322" i="1"/>
  <c r="AF322" i="1" s="1"/>
  <c r="AO322" i="1" s="1"/>
  <c r="AQ374" i="1"/>
  <c r="AR374" i="1" s="1"/>
  <c r="AP374" i="1"/>
  <c r="AE374" i="1"/>
  <c r="AG374" i="1" s="1"/>
  <c r="AF374" i="1" s="1"/>
  <c r="AG382" i="1"/>
  <c r="AF382" i="1" s="1"/>
  <c r="AO382" i="1" s="1"/>
  <c r="BK382" i="1" s="1"/>
  <c r="BL382" i="1" s="1"/>
  <c r="AP390" i="1"/>
  <c r="AS399" i="1"/>
  <c r="AS407" i="1"/>
  <c r="AQ440" i="1"/>
  <c r="AR440" i="1" s="1"/>
  <c r="AE440" i="1"/>
  <c r="AG440" i="1" s="1"/>
  <c r="AF440" i="1" s="1"/>
  <c r="AS447" i="1"/>
  <c r="BB456" i="1"/>
  <c r="AY456" i="1"/>
  <c r="BB471" i="1"/>
  <c r="AY471" i="1"/>
  <c r="AP482" i="1"/>
  <c r="AQ499" i="1"/>
  <c r="AR499" i="1" s="1"/>
  <c r="AP499" i="1"/>
  <c r="AE499" i="1"/>
  <c r="AG499" i="1" s="1"/>
  <c r="AF499" i="1" s="1"/>
  <c r="AQ502" i="1"/>
  <c r="AR502" i="1" s="1"/>
  <c r="AP502" i="1"/>
  <c r="AE502" i="1"/>
  <c r="AG502" i="1" s="1"/>
  <c r="AF502" i="1" s="1"/>
  <c r="AT548" i="1"/>
  <c r="AT1" i="1" s="1"/>
  <c r="AZ189" i="1"/>
  <c r="AP244" i="1"/>
  <c r="AM387" i="1"/>
  <c r="AS387" i="1" s="1"/>
  <c r="AE387" i="1"/>
  <c r="AG387" i="1" s="1"/>
  <c r="AF387" i="1" s="1"/>
  <c r="AP212" i="1"/>
  <c r="BB319" i="1"/>
  <c r="AY319" i="1"/>
  <c r="AS146" i="1"/>
  <c r="AP167" i="1"/>
  <c r="BB180" i="1"/>
  <c r="AS182" i="1"/>
  <c r="BB188" i="1"/>
  <c r="AS190" i="1"/>
  <c r="AP240" i="1"/>
  <c r="AM257" i="1"/>
  <c r="BK257" i="1" s="1"/>
  <c r="BL257" i="1" s="1"/>
  <c r="AP261" i="1"/>
  <c r="AY350" i="1"/>
  <c r="AS383" i="1"/>
  <c r="AP393" i="1"/>
  <c r="AP396" i="1"/>
  <c r="AQ398" i="1"/>
  <c r="AR398" i="1" s="1"/>
  <c r="AP398" i="1"/>
  <c r="AQ434" i="1"/>
  <c r="AP434" i="1"/>
  <c r="AQ446" i="1"/>
  <c r="AR446" i="1" s="1"/>
  <c r="AP446" i="1"/>
  <c r="AG409" i="1"/>
  <c r="AF409" i="1" s="1"/>
  <c r="AU548" i="1"/>
  <c r="AU1" i="1" s="1"/>
  <c r="AY342" i="1"/>
  <c r="AG139" i="1"/>
  <c r="AF139" i="1" s="1"/>
  <c r="AW272" i="1"/>
  <c r="AG272" i="1"/>
  <c r="AF272" i="1" s="1"/>
  <c r="AP151" i="1"/>
  <c r="AG164" i="1"/>
  <c r="AF164" i="1" s="1"/>
  <c r="AO164" i="1" s="1"/>
  <c r="AP254" i="1"/>
  <c r="AG58" i="1"/>
  <c r="AF58" i="1" s="1"/>
  <c r="AO58" i="1" s="1"/>
  <c r="AG109" i="1"/>
  <c r="AF109" i="1" s="1"/>
  <c r="AO109" i="1" s="1"/>
  <c r="AG162" i="1"/>
  <c r="AF162" i="1" s="1"/>
  <c r="AO162" i="1" s="1"/>
  <c r="AG170" i="1"/>
  <c r="AF170" i="1" s="1"/>
  <c r="AO170" i="1" s="1"/>
  <c r="AP189" i="1"/>
  <c r="AG218" i="1"/>
  <c r="AF218" i="1" s="1"/>
  <c r="AO218" i="1" s="1"/>
  <c r="BH218" i="1" s="1"/>
  <c r="BI218" i="1" s="1"/>
  <c r="AG227" i="1"/>
  <c r="AF227" i="1" s="1"/>
  <c r="AO227" i="1" s="1"/>
  <c r="BK227" i="1" s="1"/>
  <c r="BL227" i="1" s="1"/>
  <c r="AE255" i="1"/>
  <c r="AG255" i="1" s="1"/>
  <c r="AF255" i="1" s="1"/>
  <c r="AE257" i="1"/>
  <c r="AG257" i="1" s="1"/>
  <c r="AF257" i="1" s="1"/>
  <c r="AZ270" i="1"/>
  <c r="AS296" i="1"/>
  <c r="BB298" i="1"/>
  <c r="AY298" i="1"/>
  <c r="AY304" i="1"/>
  <c r="BB314" i="1"/>
  <c r="AY314" i="1"/>
  <c r="BB325" i="1"/>
  <c r="AY325" i="1"/>
  <c r="AG338" i="1"/>
  <c r="AF338" i="1" s="1"/>
  <c r="AY341" i="1"/>
  <c r="BB346" i="1"/>
  <c r="AY346" i="1"/>
  <c r="AE398" i="1"/>
  <c r="AG398" i="1" s="1"/>
  <c r="AF398" i="1" s="1"/>
  <c r="AQ406" i="1"/>
  <c r="AR406" i="1" s="1"/>
  <c r="AP406" i="1"/>
  <c r="AG416" i="1"/>
  <c r="AF416" i="1" s="1"/>
  <c r="AO416" i="1" s="1"/>
  <c r="AP418" i="1"/>
  <c r="AE446" i="1"/>
  <c r="AG446" i="1" s="1"/>
  <c r="AF446" i="1" s="1"/>
  <c r="AG536" i="1"/>
  <c r="AF536" i="1" s="1"/>
  <c r="AG541" i="1"/>
  <c r="AF541" i="1" s="1"/>
  <c r="AG545" i="1"/>
  <c r="AF545" i="1" s="1"/>
  <c r="AG278" i="1"/>
  <c r="AF278" i="1" s="1"/>
  <c r="AO278" i="1" s="1"/>
  <c r="BH278" i="1" s="1"/>
  <c r="BI278" i="1" s="1"/>
  <c r="AS279" i="1"/>
  <c r="AG333" i="1"/>
  <c r="AF333" i="1" s="1"/>
  <c r="AO333" i="1" s="1"/>
  <c r="AS403" i="1"/>
  <c r="AG406" i="1"/>
  <c r="AF406" i="1" s="1"/>
  <c r="AO406" i="1" s="1"/>
  <c r="AG413" i="1"/>
  <c r="AF413" i="1" s="1"/>
  <c r="AO413" i="1" s="1"/>
  <c r="BH413" i="1" s="1"/>
  <c r="BI413" i="1" s="1"/>
  <c r="AS414" i="1"/>
  <c r="AS423" i="1"/>
  <c r="BD426" i="1"/>
  <c r="AS466" i="1"/>
  <c r="AS481" i="1"/>
  <c r="AS547" i="1"/>
  <c r="AG495" i="1"/>
  <c r="AF495" i="1" s="1"/>
  <c r="AG510" i="1"/>
  <c r="AF510" i="1" s="1"/>
  <c r="AY518" i="1"/>
  <c r="AY521" i="1"/>
  <c r="AS309" i="1"/>
  <c r="AG344" i="1"/>
  <c r="AF344" i="1" s="1"/>
  <c r="AG377" i="1"/>
  <c r="AF377" i="1" s="1"/>
  <c r="AO377" i="1" s="1"/>
  <c r="AG386" i="1"/>
  <c r="AF386" i="1" s="1"/>
  <c r="AO386" i="1" s="1"/>
  <c r="BH386" i="1" s="1"/>
  <c r="BI386" i="1" s="1"/>
  <c r="AG391" i="1"/>
  <c r="AF391" i="1" s="1"/>
  <c r="AO391" i="1" s="1"/>
  <c r="AS401" i="1"/>
  <c r="AG438" i="1"/>
  <c r="AF438" i="1" s="1"/>
  <c r="AO438" i="1" s="1"/>
  <c r="BH438" i="1" s="1"/>
  <c r="BI438" i="1" s="1"/>
  <c r="AS439" i="1"/>
  <c r="AY458" i="1"/>
  <c r="AS494" i="1"/>
  <c r="AY537" i="1"/>
  <c r="AY474" i="1"/>
  <c r="AS505" i="1"/>
  <c r="AZ546" i="1"/>
  <c r="AG426" i="1"/>
  <c r="AF426" i="1" s="1"/>
  <c r="AE431" i="1"/>
  <c r="AG431" i="1" s="1"/>
  <c r="AF431" i="1" s="1"/>
  <c r="AS529" i="1"/>
  <c r="AG532" i="1"/>
  <c r="AF532" i="1" s="1"/>
  <c r="AG543" i="1"/>
  <c r="AF543" i="1" s="1"/>
  <c r="AG222" i="1"/>
  <c r="AF222" i="1" s="1"/>
  <c r="AO222" i="1" s="1"/>
  <c r="BH222" i="1" s="1"/>
  <c r="BI222" i="1" s="1"/>
  <c r="BK255" i="1"/>
  <c r="BL255" i="1" s="1"/>
  <c r="AS280" i="1"/>
  <c r="AY348" i="1"/>
  <c r="AS375" i="1"/>
  <c r="AG378" i="1"/>
  <c r="AF378" i="1" s="1"/>
  <c r="AO378" i="1" s="1"/>
  <c r="AG403" i="1"/>
  <c r="AF403" i="1" s="1"/>
  <c r="AO403" i="1" s="1"/>
  <c r="BK403" i="1" s="1"/>
  <c r="BL403" i="1" s="1"/>
  <c r="AS410" i="1"/>
  <c r="AG414" i="1"/>
  <c r="AF414" i="1" s="1"/>
  <c r="AO414" i="1" s="1"/>
  <c r="BH414" i="1" s="1"/>
  <c r="BI414" i="1" s="1"/>
  <c r="AS415" i="1"/>
  <c r="AG421" i="1"/>
  <c r="AF421" i="1" s="1"/>
  <c r="AS425" i="1"/>
  <c r="AS445" i="1"/>
  <c r="AY453" i="1"/>
  <c r="AS467" i="1"/>
  <c r="AY472" i="1"/>
  <c r="AG478" i="1"/>
  <c r="AF478" i="1" s="1"/>
  <c r="AG479" i="1"/>
  <c r="AF479" i="1" s="1"/>
  <c r="AG481" i="1"/>
  <c r="AF481" i="1" s="1"/>
  <c r="AS513" i="1"/>
  <c r="AS545" i="1"/>
  <c r="BB546" i="1"/>
  <c r="AG547" i="1"/>
  <c r="AF547" i="1" s="1"/>
  <c r="AG220" i="1"/>
  <c r="AF220" i="1" s="1"/>
  <c r="AO220" i="1" s="1"/>
  <c r="BH220" i="1" s="1"/>
  <c r="BI220" i="1" s="1"/>
  <c r="AZ245" i="1"/>
  <c r="AS265" i="1"/>
  <c r="BK274" i="1"/>
  <c r="BL274" i="1" s="1"/>
  <c r="AS278" i="1"/>
  <c r="AS310" i="1"/>
  <c r="AG332" i="1"/>
  <c r="AF332" i="1" s="1"/>
  <c r="AO332" i="1" s="1"/>
  <c r="AG342" i="1"/>
  <c r="AF342" i="1" s="1"/>
  <c r="AS413" i="1"/>
  <c r="AP436" i="1"/>
  <c r="AG439" i="1"/>
  <c r="AF439" i="1" s="1"/>
  <c r="AO439" i="1" s="1"/>
  <c r="BH439" i="1" s="1"/>
  <c r="BI439" i="1" s="1"/>
  <c r="AS459" i="1"/>
  <c r="AY465" i="1"/>
  <c r="AP488" i="1"/>
  <c r="AG493" i="1"/>
  <c r="AF493" i="1" s="1"/>
  <c r="AG494" i="1"/>
  <c r="AF494" i="1" s="1"/>
  <c r="AY516" i="1"/>
  <c r="AY519" i="1"/>
  <c r="AG523" i="1"/>
  <c r="AF523" i="1" s="1"/>
  <c r="AG385" i="1"/>
  <c r="AF385" i="1" s="1"/>
  <c r="AO385" i="1" s="1"/>
  <c r="BH385" i="1" s="1"/>
  <c r="BI385" i="1" s="1"/>
  <c r="AS386" i="1"/>
  <c r="AG417" i="1"/>
  <c r="AF417" i="1" s="1"/>
  <c r="AO417" i="1" s="1"/>
  <c r="AS438" i="1"/>
  <c r="AS443" i="1"/>
  <c r="AY451" i="1"/>
  <c r="AS470" i="1"/>
  <c r="AY477" i="1"/>
  <c r="AS492" i="1"/>
  <c r="AS428" i="1"/>
  <c r="AY475" i="1"/>
  <c r="AG529" i="1"/>
  <c r="AF529" i="1" s="1"/>
  <c r="AE410" i="1"/>
  <c r="AG410" i="1" s="1"/>
  <c r="AF410" i="1" s="1"/>
  <c r="AG424" i="1"/>
  <c r="AF424" i="1" s="1"/>
  <c r="AG425" i="1"/>
  <c r="AF425" i="1" s="1"/>
  <c r="AE427" i="1"/>
  <c r="AG427" i="1" s="1"/>
  <c r="AF427" i="1" s="1"/>
  <c r="AS457" i="1"/>
  <c r="AS501" i="1"/>
  <c r="AE513" i="1"/>
  <c r="AG513" i="1" s="1"/>
  <c r="AF513" i="1" s="1"/>
  <c r="AS543" i="1"/>
  <c r="BH263" i="1"/>
  <c r="BI263" i="1" s="1"/>
  <c r="BA548" i="1"/>
  <c r="BA1" i="1" s="1"/>
  <c r="AM9" i="1"/>
  <c r="AS9" i="1" s="1"/>
  <c r="AM10" i="1"/>
  <c r="AM11" i="1"/>
  <c r="AQ11" i="1"/>
  <c r="AR11" i="1" s="1"/>
  <c r="AM12" i="1"/>
  <c r="AQ12" i="1"/>
  <c r="AR12" i="1" s="1"/>
  <c r="AM13" i="1"/>
  <c r="AQ13" i="1"/>
  <c r="AR13" i="1" s="1"/>
  <c r="AM14" i="1"/>
  <c r="AQ14" i="1"/>
  <c r="AR14" i="1" s="1"/>
  <c r="AM16" i="1"/>
  <c r="AQ17" i="1"/>
  <c r="AR17" i="1" s="1"/>
  <c r="AQ18" i="1"/>
  <c r="AR18" i="1" s="1"/>
  <c r="AM20" i="1"/>
  <c r="AS20" i="1" s="1"/>
  <c r="AQ20" i="1"/>
  <c r="AR20" i="1" s="1"/>
  <c r="AM21" i="1"/>
  <c r="AS21" i="1" s="1"/>
  <c r="AM22" i="1"/>
  <c r="AQ22" i="1"/>
  <c r="AR22" i="1" s="1"/>
  <c r="AQ23" i="1"/>
  <c r="AR23" i="1" s="1"/>
  <c r="AM24" i="1"/>
  <c r="AQ24" i="1"/>
  <c r="AR24" i="1" s="1"/>
  <c r="AM25" i="1"/>
  <c r="AS25" i="1" s="1"/>
  <c r="AM26" i="1"/>
  <c r="AS26" i="1" s="1"/>
  <c r="AM27" i="1"/>
  <c r="AS27" i="1" s="1"/>
  <c r="AM28" i="1"/>
  <c r="AS28" i="1" s="1"/>
  <c r="AQ28" i="1"/>
  <c r="AR28" i="1" s="1"/>
  <c r="AM29" i="1"/>
  <c r="AM30" i="1"/>
  <c r="AS30" i="1" s="1"/>
  <c r="AM31" i="1"/>
  <c r="AM32" i="1"/>
  <c r="AS32" i="1" s="1"/>
  <c r="AM33" i="1"/>
  <c r="AM34" i="1"/>
  <c r="AS34" i="1" s="1"/>
  <c r="AM35" i="1"/>
  <c r="AQ35" i="1"/>
  <c r="AR35" i="1" s="1"/>
  <c r="AM36" i="1"/>
  <c r="AM37" i="1"/>
  <c r="AS37" i="1" s="1"/>
  <c r="AM39" i="1"/>
  <c r="AS39" i="1" s="1"/>
  <c r="AM40" i="1"/>
  <c r="AM41" i="1"/>
  <c r="AS41" i="1" s="1"/>
  <c r="AM42" i="1"/>
  <c r="AM43" i="1"/>
  <c r="AM44" i="1"/>
  <c r="AS44" i="1" s="1"/>
  <c r="AM45" i="1"/>
  <c r="AM46" i="1"/>
  <c r="AS46" i="1" s="1"/>
  <c r="AM47" i="1"/>
  <c r="AS47" i="1" s="1"/>
  <c r="AQ47" i="1"/>
  <c r="AM48" i="1"/>
  <c r="AQ48" i="1"/>
  <c r="AM49" i="1"/>
  <c r="AS49" i="1" s="1"/>
  <c r="AQ49" i="1"/>
  <c r="AM50" i="1"/>
  <c r="AQ50" i="1"/>
  <c r="AR50" i="1" s="1"/>
  <c r="AM51" i="1"/>
  <c r="AM52" i="1"/>
  <c r="AS52" i="1" s="1"/>
  <c r="AM53" i="1"/>
  <c r="AM54" i="1"/>
  <c r="AS54" i="1" s="1"/>
  <c r="AM55" i="1"/>
  <c r="AM56" i="1"/>
  <c r="AS56" i="1" s="1"/>
  <c r="AM57" i="1"/>
  <c r="AQ57" i="1"/>
  <c r="AR57" i="1" s="1"/>
  <c r="AM58" i="1"/>
  <c r="AS58" i="1" s="1"/>
  <c r="AM59" i="1"/>
  <c r="AM60" i="1"/>
  <c r="AS60" i="1" s="1"/>
  <c r="AM61" i="1"/>
  <c r="AM62" i="1"/>
  <c r="AS62" i="1" s="1"/>
  <c r="AM63" i="1"/>
  <c r="AM64" i="1"/>
  <c r="AS64" i="1" s="1"/>
  <c r="AQ64" i="1"/>
  <c r="AR64" i="1" s="1"/>
  <c r="AM65" i="1"/>
  <c r="AM66" i="1"/>
  <c r="AS66" i="1" s="1"/>
  <c r="AM67" i="1"/>
  <c r="AM68" i="1"/>
  <c r="AS68" i="1" s="1"/>
  <c r="AM69" i="1"/>
  <c r="AM70" i="1"/>
  <c r="AS70" i="1" s="1"/>
  <c r="AM71" i="1"/>
  <c r="AQ71" i="1"/>
  <c r="AR71" i="1" s="1"/>
  <c r="AM72" i="1"/>
  <c r="AM73" i="1"/>
  <c r="AS73" i="1" s="1"/>
  <c r="AM74" i="1"/>
  <c r="AM75" i="1"/>
  <c r="AS75" i="1" s="1"/>
  <c r="AM77" i="1"/>
  <c r="AQ77" i="1"/>
  <c r="AR77" i="1" s="1"/>
  <c r="AM78" i="1"/>
  <c r="AM79" i="1"/>
  <c r="AS79" i="1" s="1"/>
  <c r="AM80" i="1"/>
  <c r="AM81" i="1"/>
  <c r="AS81" i="1" s="1"/>
  <c r="AM82" i="1"/>
  <c r="AS82" i="1" s="1"/>
  <c r="AM83" i="1"/>
  <c r="AQ83" i="1"/>
  <c r="AR83" i="1" s="1"/>
  <c r="AM84" i="1"/>
  <c r="AM85" i="1"/>
  <c r="AS85" i="1" s="1"/>
  <c r="AM86" i="1"/>
  <c r="AM87" i="1"/>
  <c r="AS87" i="1" s="1"/>
  <c r="AM88" i="1"/>
  <c r="AS88" i="1" s="1"/>
  <c r="AM89" i="1"/>
  <c r="AQ89" i="1"/>
  <c r="AR89" i="1" s="1"/>
  <c r="AM90" i="1"/>
  <c r="AM91" i="1"/>
  <c r="AS91" i="1" s="1"/>
  <c r="AM92" i="1"/>
  <c r="AM93" i="1"/>
  <c r="AS93" i="1" s="1"/>
  <c r="AM94" i="1"/>
  <c r="AS94" i="1" s="1"/>
  <c r="AM95" i="1"/>
  <c r="AM96" i="1"/>
  <c r="AQ96" i="1"/>
  <c r="AR96" i="1" s="1"/>
  <c r="AM97" i="1"/>
  <c r="AQ97" i="1"/>
  <c r="AR97" i="1" s="1"/>
  <c r="AM98" i="1"/>
  <c r="AM99" i="1"/>
  <c r="AS99" i="1" s="1"/>
  <c r="AM100" i="1"/>
  <c r="AS100" i="1" s="1"/>
  <c r="AQ100" i="1"/>
  <c r="AR100" i="1" s="1"/>
  <c r="AM101" i="1"/>
  <c r="AS101" i="1" s="1"/>
  <c r="AM102" i="1"/>
  <c r="AS102" i="1" s="1"/>
  <c r="AQ102" i="1"/>
  <c r="AM103" i="1"/>
  <c r="AS103" i="1" s="1"/>
  <c r="AM104" i="1"/>
  <c r="AS104" i="1" s="1"/>
  <c r="AQ104" i="1"/>
  <c r="AR104" i="1" s="1"/>
  <c r="AM105" i="1"/>
  <c r="AS105" i="1" s="1"/>
  <c r="AQ105" i="1"/>
  <c r="AR105" i="1" s="1"/>
  <c r="AM106" i="1"/>
  <c r="AS106" i="1" s="1"/>
  <c r="AM107" i="1"/>
  <c r="AM108" i="1"/>
  <c r="AS108" i="1" s="1"/>
  <c r="AM109" i="1"/>
  <c r="AM110" i="1"/>
  <c r="AM111" i="1"/>
  <c r="AS111" i="1" s="1"/>
  <c r="AQ111" i="1"/>
  <c r="AR111" i="1" s="1"/>
  <c r="AM112" i="1"/>
  <c r="AS112" i="1" s="1"/>
  <c r="AM113" i="1"/>
  <c r="AM114" i="1"/>
  <c r="AS114" i="1" s="1"/>
  <c r="AM115" i="1"/>
  <c r="AM116" i="1"/>
  <c r="AM117" i="1"/>
  <c r="AS117" i="1" s="1"/>
  <c r="AM118" i="1"/>
  <c r="AQ118" i="1"/>
  <c r="AR118" i="1" s="1"/>
  <c r="AM119" i="1"/>
  <c r="AQ119" i="1"/>
  <c r="AR119" i="1" s="1"/>
  <c r="AM120" i="1"/>
  <c r="AM121" i="1"/>
  <c r="AQ121" i="1"/>
  <c r="AR121" i="1" s="1"/>
  <c r="AM122" i="1"/>
  <c r="AQ122" i="1"/>
  <c r="AR122" i="1" s="1"/>
  <c r="AM123" i="1"/>
  <c r="AM124" i="1"/>
  <c r="AM125" i="1"/>
  <c r="AQ125" i="1"/>
  <c r="AR125" i="1" s="1"/>
  <c r="AM126" i="1"/>
  <c r="AQ126" i="1"/>
  <c r="AR126" i="1" s="1"/>
  <c r="AM127" i="1"/>
  <c r="AM128" i="1"/>
  <c r="AQ128" i="1"/>
  <c r="AR128" i="1" s="1"/>
  <c r="AM129" i="1"/>
  <c r="AQ129" i="1"/>
  <c r="AR129" i="1" s="1"/>
  <c r="AM130" i="1"/>
  <c r="AM131" i="1"/>
  <c r="AS131" i="1" s="1"/>
  <c r="AQ131" i="1"/>
  <c r="AR131" i="1" s="1"/>
  <c r="AM132" i="1"/>
  <c r="AS132" i="1" s="1"/>
  <c r="AM133" i="1"/>
  <c r="AQ133" i="1"/>
  <c r="AR133" i="1" s="1"/>
  <c r="AM134" i="1"/>
  <c r="AM135" i="1"/>
  <c r="AS135" i="1" s="1"/>
  <c r="AQ135" i="1"/>
  <c r="AR135" i="1" s="1"/>
  <c r="AM136" i="1"/>
  <c r="AS136" i="1" s="1"/>
  <c r="AW136" i="1"/>
  <c r="AE141" i="1"/>
  <c r="AG141" i="1" s="1"/>
  <c r="AF141" i="1" s="1"/>
  <c r="BE141" i="1" s="1"/>
  <c r="AZ141" i="1"/>
  <c r="BB141" i="1"/>
  <c r="AZ142" i="1"/>
  <c r="BB142" i="1"/>
  <c r="AZ143" i="1"/>
  <c r="BB143" i="1"/>
  <c r="AE147" i="1"/>
  <c r="AG147" i="1" s="1"/>
  <c r="AF147" i="1" s="1"/>
  <c r="AN147" i="1" s="1"/>
  <c r="AE148" i="1"/>
  <c r="AG148" i="1" s="1"/>
  <c r="AF148" i="1" s="1"/>
  <c r="AN148" i="1" s="1"/>
  <c r="AZ149" i="1"/>
  <c r="BB149" i="1"/>
  <c r="AE153" i="1"/>
  <c r="AG153" i="1" s="1"/>
  <c r="AF153" i="1" s="1"/>
  <c r="AN153" i="1" s="1"/>
  <c r="BH153" i="1" s="1"/>
  <c r="BI153" i="1" s="1"/>
  <c r="AZ153" i="1"/>
  <c r="BB153" i="1"/>
  <c r="AE155" i="1"/>
  <c r="AG155" i="1" s="1"/>
  <c r="AF155" i="1" s="1"/>
  <c r="AN155" i="1" s="1"/>
  <c r="BH155" i="1" s="1"/>
  <c r="BI155" i="1" s="1"/>
  <c r="AZ155" i="1"/>
  <c r="BB155" i="1"/>
  <c r="AE157" i="1"/>
  <c r="AG157" i="1" s="1"/>
  <c r="AF157" i="1" s="1"/>
  <c r="AN157" i="1" s="1"/>
  <c r="BH157" i="1" s="1"/>
  <c r="BI157" i="1" s="1"/>
  <c r="AZ157" i="1"/>
  <c r="BB157" i="1"/>
  <c r="AZ159" i="1"/>
  <c r="BB159" i="1"/>
  <c r="AZ161" i="1"/>
  <c r="BB161" i="1"/>
  <c r="AZ163" i="1"/>
  <c r="BB163" i="1"/>
  <c r="AZ165" i="1"/>
  <c r="BB165" i="1"/>
  <c r="AZ167" i="1"/>
  <c r="BB167" i="1"/>
  <c r="AZ169" i="1"/>
  <c r="BB169" i="1"/>
  <c r="AZ171" i="1"/>
  <c r="BB171" i="1"/>
  <c r="AZ173" i="1"/>
  <c r="BB173" i="1"/>
  <c r="AE191" i="1"/>
  <c r="AG191" i="1" s="1"/>
  <c r="AF191" i="1" s="1"/>
  <c r="AN191" i="1" s="1"/>
  <c r="AZ191" i="1"/>
  <c r="BB191" i="1"/>
  <c r="AE193" i="1"/>
  <c r="AG193" i="1" s="1"/>
  <c r="AF193" i="1" s="1"/>
  <c r="AN193" i="1" s="1"/>
  <c r="AZ193" i="1"/>
  <c r="BB193" i="1"/>
  <c r="AE195" i="1"/>
  <c r="AG195" i="1" s="1"/>
  <c r="AF195" i="1" s="1"/>
  <c r="AN195" i="1" s="1"/>
  <c r="AZ195" i="1"/>
  <c r="BB195" i="1"/>
  <c r="AZ243" i="1"/>
  <c r="BB243" i="1"/>
  <c r="AZ247" i="1"/>
  <c r="BB247" i="1"/>
  <c r="AE250" i="1"/>
  <c r="AG250" i="1" s="1"/>
  <c r="AF250" i="1" s="1"/>
  <c r="AN250" i="1" s="1"/>
  <c r="AZ251" i="1"/>
  <c r="BB251" i="1"/>
  <c r="AE254" i="1"/>
  <c r="AG254" i="1" s="1"/>
  <c r="AF254" i="1" s="1"/>
  <c r="AN254" i="1" s="1"/>
  <c r="AZ255" i="1"/>
  <c r="BB255" i="1"/>
  <c r="AE258" i="1"/>
  <c r="AG258" i="1" s="1"/>
  <c r="AF258" i="1" s="1"/>
  <c r="AN258" i="1" s="1"/>
  <c r="AZ259" i="1"/>
  <c r="BB259" i="1"/>
  <c r="AE262" i="1"/>
  <c r="AG262" i="1" s="1"/>
  <c r="AF262" i="1" s="1"/>
  <c r="AN262" i="1" s="1"/>
  <c r="BH262" i="1" s="1"/>
  <c r="BI262" i="1" s="1"/>
  <c r="AZ262" i="1"/>
  <c r="BB262" i="1"/>
  <c r="AZ264" i="1"/>
  <c r="BB264" i="1"/>
  <c r="AE266" i="1"/>
  <c r="AG266" i="1" s="1"/>
  <c r="AF266" i="1" s="1"/>
  <c r="AN266" i="1" s="1"/>
  <c r="AZ269" i="1"/>
  <c r="BB269" i="1"/>
  <c r="AE275" i="1"/>
  <c r="AG275" i="1" s="1"/>
  <c r="AF275" i="1" s="1"/>
  <c r="BE275" i="1" s="1"/>
  <c r="AZ275" i="1"/>
  <c r="BB275" i="1"/>
  <c r="BH308" i="1"/>
  <c r="BI308" i="1" s="1"/>
  <c r="AM6" i="1"/>
  <c r="AQ6" i="1"/>
  <c r="AM7" i="1"/>
  <c r="AM8" i="1"/>
  <c r="AM15" i="1"/>
  <c r="AQ15" i="1"/>
  <c r="AR15" i="1" s="1"/>
  <c r="AQ16" i="1"/>
  <c r="AR16" i="1" s="1"/>
  <c r="AM17" i="1"/>
  <c r="AM18" i="1"/>
  <c r="AM19" i="1"/>
  <c r="AQ19" i="1"/>
  <c r="AR19" i="1" s="1"/>
  <c r="AM23" i="1"/>
  <c r="AM38" i="1"/>
  <c r="AE6" i="1"/>
  <c r="AG6" i="1" s="1"/>
  <c r="AF6" i="1" s="1"/>
  <c r="AZ6" i="1"/>
  <c r="AE7" i="1"/>
  <c r="AG7" i="1" s="1"/>
  <c r="AF7" i="1" s="1"/>
  <c r="AN7" i="1" s="1"/>
  <c r="AZ7" i="1"/>
  <c r="AE8" i="1"/>
  <c r="AG8" i="1" s="1"/>
  <c r="AF8" i="1" s="1"/>
  <c r="AN8" i="1" s="1"/>
  <c r="AZ8" i="1"/>
  <c r="AE9" i="1"/>
  <c r="AG9" i="1" s="1"/>
  <c r="AF9" i="1" s="1"/>
  <c r="AN9" i="1" s="1"/>
  <c r="AZ9" i="1"/>
  <c r="AE10" i="1"/>
  <c r="AG10" i="1" s="1"/>
  <c r="AF10" i="1" s="1"/>
  <c r="AZ10" i="1"/>
  <c r="AG11" i="1"/>
  <c r="AF11" i="1" s="1"/>
  <c r="AO11" i="1" s="1"/>
  <c r="AZ11" i="1"/>
  <c r="AG12" i="1"/>
  <c r="AF12" i="1" s="1"/>
  <c r="AO12" i="1" s="1"/>
  <c r="AZ12" i="1"/>
  <c r="AG13" i="1"/>
  <c r="AF13" i="1" s="1"/>
  <c r="AO13" i="1" s="1"/>
  <c r="AZ13" i="1"/>
  <c r="AG14" i="1"/>
  <c r="AF14" i="1" s="1"/>
  <c r="AO14" i="1" s="1"/>
  <c r="AZ14" i="1"/>
  <c r="AG15" i="1"/>
  <c r="AF15" i="1" s="1"/>
  <c r="AO15" i="1" s="1"/>
  <c r="AZ15" i="1"/>
  <c r="AG16" i="1"/>
  <c r="AF16" i="1" s="1"/>
  <c r="AO16" i="1" s="1"/>
  <c r="AZ16" i="1"/>
  <c r="AE17" i="1"/>
  <c r="AG17" i="1" s="1"/>
  <c r="AF17" i="1" s="1"/>
  <c r="AZ17" i="1"/>
  <c r="AG18" i="1"/>
  <c r="AF18" i="1" s="1"/>
  <c r="AO18" i="1" s="1"/>
  <c r="AZ18" i="1"/>
  <c r="AG19" i="1"/>
  <c r="AF19" i="1" s="1"/>
  <c r="AO19" i="1" s="1"/>
  <c r="AZ19" i="1"/>
  <c r="AG20" i="1"/>
  <c r="AF20" i="1" s="1"/>
  <c r="AO20" i="1" s="1"/>
  <c r="AZ20" i="1"/>
  <c r="AG21" i="1"/>
  <c r="AF21" i="1" s="1"/>
  <c r="AO21" i="1" s="1"/>
  <c r="AZ21" i="1"/>
  <c r="AG22" i="1"/>
  <c r="AF22" i="1" s="1"/>
  <c r="AO22" i="1" s="1"/>
  <c r="AZ22" i="1"/>
  <c r="AG23" i="1"/>
  <c r="AF23" i="1" s="1"/>
  <c r="AO23" i="1" s="1"/>
  <c r="AZ23" i="1"/>
  <c r="AE24" i="1"/>
  <c r="AG24" i="1" s="1"/>
  <c r="AF24" i="1" s="1"/>
  <c r="AZ24" i="1"/>
  <c r="AE25" i="1"/>
  <c r="AG25" i="1" s="1"/>
  <c r="AF25" i="1" s="1"/>
  <c r="AN25" i="1" s="1"/>
  <c r="AZ25" i="1"/>
  <c r="AE26" i="1"/>
  <c r="AG26" i="1" s="1"/>
  <c r="AF26" i="1" s="1"/>
  <c r="AN26" i="1" s="1"/>
  <c r="AZ26" i="1"/>
  <c r="AE27" i="1"/>
  <c r="AG27" i="1" s="1"/>
  <c r="AF27" i="1" s="1"/>
  <c r="AN27" i="1" s="1"/>
  <c r="AZ27" i="1"/>
  <c r="AE28" i="1"/>
  <c r="AG28" i="1" s="1"/>
  <c r="AF28" i="1" s="1"/>
  <c r="AZ28" i="1"/>
  <c r="AZ29" i="1"/>
  <c r="AZ30" i="1"/>
  <c r="AZ31" i="1"/>
  <c r="AZ32" i="1"/>
  <c r="AZ33" i="1"/>
  <c r="AZ34" i="1"/>
  <c r="AE35" i="1"/>
  <c r="AG35" i="1" s="1"/>
  <c r="AF35" i="1" s="1"/>
  <c r="AZ35" i="1"/>
  <c r="AZ36" i="1"/>
  <c r="AZ37" i="1"/>
  <c r="AZ38" i="1"/>
  <c r="AZ39" i="1"/>
  <c r="AZ40" i="1"/>
  <c r="AZ41" i="1"/>
  <c r="AE42" i="1"/>
  <c r="AG42" i="1" s="1"/>
  <c r="AF42" i="1" s="1"/>
  <c r="AZ42" i="1"/>
  <c r="AE43" i="1"/>
  <c r="AG43" i="1" s="1"/>
  <c r="AF43" i="1" s="1"/>
  <c r="AN43" i="1" s="1"/>
  <c r="AZ43" i="1"/>
  <c r="AE44" i="1"/>
  <c r="AG44" i="1" s="1"/>
  <c r="AF44" i="1" s="1"/>
  <c r="AN44" i="1" s="1"/>
  <c r="AZ44" i="1"/>
  <c r="AE45" i="1"/>
  <c r="AG45" i="1" s="1"/>
  <c r="AF45" i="1" s="1"/>
  <c r="AN45" i="1" s="1"/>
  <c r="AZ45" i="1"/>
  <c r="AE46" i="1"/>
  <c r="AG46" i="1" s="1"/>
  <c r="AF46" i="1" s="1"/>
  <c r="AZ46" i="1"/>
  <c r="AE47" i="1"/>
  <c r="AG47" i="1" s="1"/>
  <c r="AF47" i="1" s="1"/>
  <c r="AN47" i="1" s="1"/>
  <c r="AZ47" i="1"/>
  <c r="AE48" i="1"/>
  <c r="AG48" i="1" s="1"/>
  <c r="AF48" i="1" s="1"/>
  <c r="AN48" i="1" s="1"/>
  <c r="AZ48" i="1"/>
  <c r="AE49" i="1"/>
  <c r="AG49" i="1" s="1"/>
  <c r="AF49" i="1" s="1"/>
  <c r="AN49" i="1" s="1"/>
  <c r="AZ49" i="1"/>
  <c r="AE50" i="1"/>
  <c r="AG50" i="1" s="1"/>
  <c r="AF50" i="1" s="1"/>
  <c r="AZ50" i="1"/>
  <c r="AZ51" i="1"/>
  <c r="AZ52" i="1"/>
  <c r="AZ53" i="1"/>
  <c r="AZ54" i="1"/>
  <c r="AZ55" i="1"/>
  <c r="AZ56" i="1"/>
  <c r="AE57" i="1"/>
  <c r="AG57" i="1" s="1"/>
  <c r="AF57" i="1" s="1"/>
  <c r="AZ57" i="1"/>
  <c r="AZ58" i="1"/>
  <c r="AZ59" i="1"/>
  <c r="AZ60" i="1"/>
  <c r="AZ61" i="1"/>
  <c r="AZ62" i="1"/>
  <c r="AZ63" i="1"/>
  <c r="AE64" i="1"/>
  <c r="AG64" i="1" s="1"/>
  <c r="AF64" i="1" s="1"/>
  <c r="AZ64" i="1"/>
  <c r="AZ65" i="1"/>
  <c r="AZ66" i="1"/>
  <c r="AZ67" i="1"/>
  <c r="AZ68" i="1"/>
  <c r="AZ69" i="1"/>
  <c r="AZ70" i="1"/>
  <c r="AE71" i="1"/>
  <c r="AG71" i="1" s="1"/>
  <c r="AF71" i="1" s="1"/>
  <c r="AZ71" i="1"/>
  <c r="AZ72" i="1"/>
  <c r="AZ73" i="1"/>
  <c r="AZ74" i="1"/>
  <c r="AZ75" i="1"/>
  <c r="AE77" i="1"/>
  <c r="AG77" i="1" s="1"/>
  <c r="AF77" i="1" s="1"/>
  <c r="AZ77" i="1"/>
  <c r="AZ78" i="1"/>
  <c r="AZ79" i="1"/>
  <c r="AZ80" i="1"/>
  <c r="AZ81" i="1"/>
  <c r="AZ82" i="1"/>
  <c r="AE83" i="1"/>
  <c r="AG83" i="1" s="1"/>
  <c r="AF83" i="1" s="1"/>
  <c r="AZ83" i="1"/>
  <c r="AZ84" i="1"/>
  <c r="AZ85" i="1"/>
  <c r="AZ86" i="1"/>
  <c r="AZ87" i="1"/>
  <c r="AZ88" i="1"/>
  <c r="AE89" i="1"/>
  <c r="AG89" i="1" s="1"/>
  <c r="AF89" i="1" s="1"/>
  <c r="AZ89" i="1"/>
  <c r="AZ90" i="1"/>
  <c r="AZ91" i="1"/>
  <c r="AZ92" i="1"/>
  <c r="AZ93" i="1"/>
  <c r="AZ94" i="1"/>
  <c r="AE95" i="1"/>
  <c r="AG95" i="1" s="1"/>
  <c r="AF95" i="1" s="1"/>
  <c r="AZ95" i="1"/>
  <c r="AG96" i="1"/>
  <c r="AF96" i="1" s="1"/>
  <c r="AO96" i="1" s="1"/>
  <c r="AZ96" i="1"/>
  <c r="AE97" i="1"/>
  <c r="AG97" i="1" s="1"/>
  <c r="AF97" i="1" s="1"/>
  <c r="AZ97" i="1"/>
  <c r="AZ98" i="1"/>
  <c r="AE99" i="1"/>
  <c r="AG99" i="1" s="1"/>
  <c r="AF99" i="1" s="1"/>
  <c r="AZ99" i="1"/>
  <c r="AG100" i="1"/>
  <c r="AF100" i="1" s="1"/>
  <c r="AO100" i="1" s="1"/>
  <c r="AZ100" i="1"/>
  <c r="AE101" i="1"/>
  <c r="AG101" i="1" s="1"/>
  <c r="AF101" i="1" s="1"/>
  <c r="AZ101" i="1"/>
  <c r="AE102" i="1"/>
  <c r="AG102" i="1" s="1"/>
  <c r="AF102" i="1" s="1"/>
  <c r="AN102" i="1" s="1"/>
  <c r="AZ102" i="1"/>
  <c r="AE103" i="1"/>
  <c r="AG103" i="1" s="1"/>
  <c r="AF103" i="1" s="1"/>
  <c r="AZ103" i="1"/>
  <c r="AG104" i="1"/>
  <c r="AF104" i="1" s="1"/>
  <c r="AO104" i="1" s="1"/>
  <c r="AZ104" i="1"/>
  <c r="AE105" i="1"/>
  <c r="AG105" i="1" s="1"/>
  <c r="AF105" i="1" s="1"/>
  <c r="AZ105" i="1"/>
  <c r="AZ106" i="1"/>
  <c r="AZ107" i="1"/>
  <c r="AZ108" i="1"/>
  <c r="AZ109" i="1"/>
  <c r="AZ110" i="1"/>
  <c r="AE111" i="1"/>
  <c r="AG111" i="1" s="1"/>
  <c r="AF111" i="1" s="1"/>
  <c r="AZ111" i="1"/>
  <c r="AZ112" i="1"/>
  <c r="AZ113" i="1"/>
  <c r="AZ114" i="1"/>
  <c r="AZ115" i="1"/>
  <c r="AZ116" i="1"/>
  <c r="AE117" i="1"/>
  <c r="AG117" i="1" s="1"/>
  <c r="AF117" i="1" s="1"/>
  <c r="AZ117" i="1"/>
  <c r="AG118" i="1"/>
  <c r="AF118" i="1" s="1"/>
  <c r="AO118" i="1" s="1"/>
  <c r="AZ118" i="1"/>
  <c r="AG119" i="1"/>
  <c r="AF119" i="1" s="1"/>
  <c r="AO119" i="1" s="1"/>
  <c r="AZ119" i="1"/>
  <c r="AE120" i="1"/>
  <c r="AG120" i="1" s="1"/>
  <c r="AF120" i="1" s="1"/>
  <c r="AZ120" i="1"/>
  <c r="AG121" i="1"/>
  <c r="AF121" i="1" s="1"/>
  <c r="AO121" i="1" s="1"/>
  <c r="AZ121" i="1"/>
  <c r="AG122" i="1"/>
  <c r="AF122" i="1" s="1"/>
  <c r="AO122" i="1" s="1"/>
  <c r="AZ122" i="1"/>
  <c r="AG123" i="1"/>
  <c r="AF123" i="1" s="1"/>
  <c r="AZ123" i="1"/>
  <c r="AE124" i="1"/>
  <c r="AG124" i="1" s="1"/>
  <c r="AF124" i="1" s="1"/>
  <c r="AZ124" i="1"/>
  <c r="AG125" i="1"/>
  <c r="AF125" i="1" s="1"/>
  <c r="AO125" i="1" s="1"/>
  <c r="AZ125" i="1"/>
  <c r="AG126" i="1"/>
  <c r="AF126" i="1" s="1"/>
  <c r="AO126" i="1" s="1"/>
  <c r="AZ126" i="1"/>
  <c r="AG127" i="1"/>
  <c r="AF127" i="1" s="1"/>
  <c r="AO127" i="1" s="1"/>
  <c r="AZ127" i="1"/>
  <c r="AG128" i="1"/>
  <c r="AF128" i="1" s="1"/>
  <c r="AO128" i="1" s="1"/>
  <c r="AZ128" i="1"/>
  <c r="AE129" i="1"/>
  <c r="AG129" i="1" s="1"/>
  <c r="AF129" i="1" s="1"/>
  <c r="AZ129" i="1"/>
  <c r="AZ130" i="1"/>
  <c r="AE131" i="1"/>
  <c r="AG131" i="1" s="1"/>
  <c r="AF131" i="1" s="1"/>
  <c r="AZ131" i="1"/>
  <c r="AE132" i="1"/>
  <c r="AG132" i="1" s="1"/>
  <c r="AF132" i="1" s="1"/>
  <c r="AN132" i="1" s="1"/>
  <c r="AZ132" i="1"/>
  <c r="AE133" i="1"/>
  <c r="AG133" i="1" s="1"/>
  <c r="AF133" i="1" s="1"/>
  <c r="AZ133" i="1"/>
  <c r="AZ134" i="1"/>
  <c r="AG135" i="1"/>
  <c r="AF135" i="1" s="1"/>
  <c r="AO135" i="1" s="1"/>
  <c r="AZ135" i="1"/>
  <c r="BC139" i="1"/>
  <c r="AY139" i="1"/>
  <c r="AZ139" i="1"/>
  <c r="BB139" i="1"/>
  <c r="AZ140" i="1"/>
  <c r="BB140" i="1"/>
  <c r="BD140" i="1"/>
  <c r="AS141" i="1"/>
  <c r="AS143" i="1"/>
  <c r="BH143" i="1"/>
  <c r="BI143" i="1" s="1"/>
  <c r="AE144" i="1"/>
  <c r="AG144" i="1" s="1"/>
  <c r="AF144" i="1" s="1"/>
  <c r="AN144" i="1" s="1"/>
  <c r="AE145" i="1"/>
  <c r="AG145" i="1" s="1"/>
  <c r="AF145" i="1" s="1"/>
  <c r="AN145" i="1" s="1"/>
  <c r="AZ146" i="1"/>
  <c r="BB146" i="1"/>
  <c r="AZ147" i="1"/>
  <c r="BB147" i="1"/>
  <c r="AZ148" i="1"/>
  <c r="BB148" i="1"/>
  <c r="AS149" i="1"/>
  <c r="BH149" i="1"/>
  <c r="BI149" i="1" s="1"/>
  <c r="AE150" i="1"/>
  <c r="AG150" i="1" s="1"/>
  <c r="AF150" i="1" s="1"/>
  <c r="AN150" i="1" s="1"/>
  <c r="AE152" i="1"/>
  <c r="AG152" i="1" s="1"/>
  <c r="AF152" i="1" s="1"/>
  <c r="AN152" i="1" s="1"/>
  <c r="BH152" i="1" s="1"/>
  <c r="BI152" i="1" s="1"/>
  <c r="AZ152" i="1"/>
  <c r="BB152" i="1"/>
  <c r="AS153" i="1"/>
  <c r="AE154" i="1"/>
  <c r="AG154" i="1" s="1"/>
  <c r="AF154" i="1" s="1"/>
  <c r="AN154" i="1" s="1"/>
  <c r="BH154" i="1" s="1"/>
  <c r="BI154" i="1" s="1"/>
  <c r="AZ154" i="1"/>
  <c r="BB154" i="1"/>
  <c r="AS155" i="1"/>
  <c r="AE156" i="1"/>
  <c r="AG156" i="1" s="1"/>
  <c r="AF156" i="1" s="1"/>
  <c r="AN156" i="1" s="1"/>
  <c r="BH156" i="1" s="1"/>
  <c r="BI156" i="1" s="1"/>
  <c r="AZ156" i="1"/>
  <c r="BB156" i="1"/>
  <c r="AS157" i="1"/>
  <c r="AE158" i="1"/>
  <c r="AG158" i="1" s="1"/>
  <c r="AF158" i="1" s="1"/>
  <c r="AN158" i="1" s="1"/>
  <c r="BH158" i="1" s="1"/>
  <c r="BI158" i="1" s="1"/>
  <c r="AZ158" i="1"/>
  <c r="BB158" i="1"/>
  <c r="AS159" i="1"/>
  <c r="BH159" i="1"/>
  <c r="BI159" i="1" s="1"/>
  <c r="AZ160" i="1"/>
  <c r="BB160" i="1"/>
  <c r="AZ162" i="1"/>
  <c r="BB162" i="1"/>
  <c r="AZ164" i="1"/>
  <c r="BB164" i="1"/>
  <c r="AZ166" i="1"/>
  <c r="BB166" i="1"/>
  <c r="AZ168" i="1"/>
  <c r="BB168" i="1"/>
  <c r="AZ170" i="1"/>
  <c r="BB170" i="1"/>
  <c r="AZ172" i="1"/>
  <c r="BB172" i="1"/>
  <c r="AE190" i="1"/>
  <c r="AG190" i="1" s="1"/>
  <c r="AF190" i="1" s="1"/>
  <c r="AN190" i="1" s="1"/>
  <c r="BK190" i="1" s="1"/>
  <c r="BL190" i="1" s="1"/>
  <c r="AZ190" i="1"/>
  <c r="BB190" i="1"/>
  <c r="AS191" i="1"/>
  <c r="AE192" i="1"/>
  <c r="AG192" i="1" s="1"/>
  <c r="AF192" i="1" s="1"/>
  <c r="AN192" i="1" s="1"/>
  <c r="BK192" i="1" s="1"/>
  <c r="BL192" i="1" s="1"/>
  <c r="AZ192" i="1"/>
  <c r="BB192" i="1"/>
  <c r="AS193" i="1"/>
  <c r="AE194" i="1"/>
  <c r="AG194" i="1" s="1"/>
  <c r="AF194" i="1" s="1"/>
  <c r="AN194" i="1" s="1"/>
  <c r="BK194" i="1" s="1"/>
  <c r="BL194" i="1" s="1"/>
  <c r="AZ194" i="1"/>
  <c r="BB194" i="1"/>
  <c r="AS195" i="1"/>
  <c r="AE196" i="1"/>
  <c r="AG196" i="1" s="1"/>
  <c r="AF196" i="1" s="1"/>
  <c r="AN196" i="1" s="1"/>
  <c r="BK196" i="1" s="1"/>
  <c r="BL196" i="1" s="1"/>
  <c r="AZ196" i="1"/>
  <c r="BB196" i="1"/>
  <c r="AZ197" i="1"/>
  <c r="BB197" i="1"/>
  <c r="AS198" i="1"/>
  <c r="AZ198" i="1"/>
  <c r="BB198" i="1"/>
  <c r="AS199" i="1"/>
  <c r="AZ199" i="1"/>
  <c r="BB199" i="1"/>
  <c r="AS200" i="1"/>
  <c r="AZ200" i="1"/>
  <c r="BB200" i="1"/>
  <c r="AS201" i="1"/>
  <c r="AZ201" i="1"/>
  <c r="BB201" i="1"/>
  <c r="AS202" i="1"/>
  <c r="AZ202" i="1"/>
  <c r="BB202" i="1"/>
  <c r="AS203" i="1"/>
  <c r="AZ203" i="1"/>
  <c r="BB203" i="1"/>
  <c r="AS204" i="1"/>
  <c r="AZ204" i="1"/>
  <c r="BB204" i="1"/>
  <c r="AS205" i="1"/>
  <c r="AZ205" i="1"/>
  <c r="BB205" i="1"/>
  <c r="AS206" i="1"/>
  <c r="AZ206" i="1"/>
  <c r="BB206" i="1"/>
  <c r="AS207" i="1"/>
  <c r="AZ207" i="1"/>
  <c r="BB207" i="1"/>
  <c r="AS208" i="1"/>
  <c r="AZ208" i="1"/>
  <c r="BB208" i="1"/>
  <c r="AS209" i="1"/>
  <c r="AZ209" i="1"/>
  <c r="BB209" i="1"/>
  <c r="AS210" i="1"/>
  <c r="AZ210" i="1"/>
  <c r="BB210" i="1"/>
  <c r="AS211" i="1"/>
  <c r="AZ211" i="1"/>
  <c r="BB211" i="1"/>
  <c r="AZ212" i="1"/>
  <c r="BB212" i="1"/>
  <c r="AS213" i="1"/>
  <c r="AZ213" i="1"/>
  <c r="BB213" i="1"/>
  <c r="AS214" i="1"/>
  <c r="AZ214" i="1"/>
  <c r="BB214" i="1"/>
  <c r="AS215" i="1"/>
  <c r="AZ215" i="1"/>
  <c r="BB215" i="1"/>
  <c r="AS216" i="1"/>
  <c r="AZ216" i="1"/>
  <c r="BB216" i="1"/>
  <c r="AS217" i="1"/>
  <c r="AZ217" i="1"/>
  <c r="BB217" i="1"/>
  <c r="AS218" i="1"/>
  <c r="AZ218" i="1"/>
  <c r="BB218" i="1"/>
  <c r="AS219" i="1"/>
  <c r="AZ219" i="1"/>
  <c r="BB219" i="1"/>
  <c r="AS220" i="1"/>
  <c r="AZ220" i="1"/>
  <c r="BB220" i="1"/>
  <c r="AS221" i="1"/>
  <c r="AZ221" i="1"/>
  <c r="BB221" i="1"/>
  <c r="AS222" i="1"/>
  <c r="AZ222" i="1"/>
  <c r="BB222" i="1"/>
  <c r="AZ223" i="1"/>
  <c r="BB223" i="1"/>
  <c r="AS224" i="1"/>
  <c r="AZ224" i="1"/>
  <c r="BB224" i="1"/>
  <c r="AS225" i="1"/>
  <c r="AZ225" i="1"/>
  <c r="BB225" i="1"/>
  <c r="AS226" i="1"/>
  <c r="AZ226" i="1"/>
  <c r="BB226" i="1"/>
  <c r="AS227" i="1"/>
  <c r="AZ227" i="1"/>
  <c r="BB227" i="1"/>
  <c r="AS228" i="1"/>
  <c r="AZ228" i="1"/>
  <c r="BB228" i="1"/>
  <c r="AS229" i="1"/>
  <c r="AZ229" i="1"/>
  <c r="BB229" i="1"/>
  <c r="AS230" i="1"/>
  <c r="AZ230" i="1"/>
  <c r="BB230" i="1"/>
  <c r="AS231" i="1"/>
  <c r="AZ231" i="1"/>
  <c r="BB231" i="1"/>
  <c r="AS232" i="1"/>
  <c r="AZ232" i="1"/>
  <c r="BB232" i="1"/>
  <c r="AS233" i="1"/>
  <c r="AZ233" i="1"/>
  <c r="BB233" i="1"/>
  <c r="AZ234" i="1"/>
  <c r="BB234" i="1"/>
  <c r="AS235" i="1"/>
  <c r="AZ235" i="1"/>
  <c r="BB235" i="1"/>
  <c r="AS236" i="1"/>
  <c r="AZ236" i="1"/>
  <c r="BB236" i="1"/>
  <c r="AZ237" i="1"/>
  <c r="BB237" i="1"/>
  <c r="AS238" i="1"/>
  <c r="AZ238" i="1"/>
  <c r="BB238" i="1"/>
  <c r="AS239" i="1"/>
  <c r="AZ239" i="1"/>
  <c r="BB239" i="1"/>
  <c r="AZ240" i="1"/>
  <c r="BB240" i="1"/>
  <c r="AS241" i="1"/>
  <c r="AZ241" i="1"/>
  <c r="BB241" i="1"/>
  <c r="AS242" i="1"/>
  <c r="AZ242" i="1"/>
  <c r="BB242" i="1"/>
  <c r="AS243" i="1"/>
  <c r="BH243" i="1"/>
  <c r="BI243" i="1" s="1"/>
  <c r="AE244" i="1"/>
  <c r="AG244" i="1" s="1"/>
  <c r="AF244" i="1" s="1"/>
  <c r="AN244" i="1" s="1"/>
  <c r="AE246" i="1"/>
  <c r="AG246" i="1" s="1"/>
  <c r="AF246" i="1" s="1"/>
  <c r="AN246" i="1" s="1"/>
  <c r="BH246" i="1" s="1"/>
  <c r="BI246" i="1" s="1"/>
  <c r="AZ246" i="1"/>
  <c r="BB246" i="1"/>
  <c r="AS247" i="1"/>
  <c r="BH247" i="1"/>
  <c r="BI247" i="1" s="1"/>
  <c r="AE248" i="1"/>
  <c r="AG248" i="1" s="1"/>
  <c r="AF248" i="1" s="1"/>
  <c r="AN248" i="1" s="1"/>
  <c r="AZ249" i="1"/>
  <c r="BB249" i="1"/>
  <c r="AZ250" i="1"/>
  <c r="BB250" i="1"/>
  <c r="AE252" i="1"/>
  <c r="AG252" i="1" s="1"/>
  <c r="AF252" i="1" s="1"/>
  <c r="AN252" i="1" s="1"/>
  <c r="AZ253" i="1"/>
  <c r="BB253" i="1"/>
  <c r="AZ254" i="1"/>
  <c r="BB254" i="1"/>
  <c r="AS255" i="1"/>
  <c r="AE256" i="1"/>
  <c r="AG256" i="1" s="1"/>
  <c r="AF256" i="1" s="1"/>
  <c r="AN256" i="1" s="1"/>
  <c r="AZ257" i="1"/>
  <c r="BB257" i="1"/>
  <c r="AZ258" i="1"/>
  <c r="BB258" i="1"/>
  <c r="AZ260" i="1"/>
  <c r="BB260" i="1"/>
  <c r="AZ261" i="1"/>
  <c r="BB261" i="1"/>
  <c r="AS262" i="1"/>
  <c r="AZ263" i="1"/>
  <c r="BB263" i="1"/>
  <c r="AZ265" i="1"/>
  <c r="BB265" i="1"/>
  <c r="AZ266" i="1"/>
  <c r="BB266" i="1"/>
  <c r="AZ267" i="1"/>
  <c r="BB267" i="1"/>
  <c r="AS268" i="1"/>
  <c r="AZ268" i="1"/>
  <c r="BB268" i="1"/>
  <c r="BC273" i="1"/>
  <c r="AY273" i="1"/>
  <c r="AZ273" i="1"/>
  <c r="BB273" i="1"/>
  <c r="AZ274" i="1"/>
  <c r="BB274" i="1"/>
  <c r="BD274" i="1"/>
  <c r="AS275" i="1"/>
  <c r="BH287" i="1"/>
  <c r="BI287" i="1" s="1"/>
  <c r="BH297" i="1"/>
  <c r="BI297" i="1" s="1"/>
  <c r="BH302" i="1"/>
  <c r="BI302" i="1" s="1"/>
  <c r="BH310" i="1"/>
  <c r="BI310" i="1" s="1"/>
  <c r="AZ276" i="1"/>
  <c r="BB276" i="1"/>
  <c r="AZ277" i="1"/>
  <c r="BB277" i="1"/>
  <c r="AZ278" i="1"/>
  <c r="BB278" i="1"/>
  <c r="AG279" i="1"/>
  <c r="AF279" i="1" s="1"/>
  <c r="AO279" i="1" s="1"/>
  <c r="AR279" i="1"/>
  <c r="AZ279" i="1"/>
  <c r="BB279" i="1"/>
  <c r="AG280" i="1"/>
  <c r="AF280" i="1" s="1"/>
  <c r="AO280" i="1" s="1"/>
  <c r="BH280" i="1" s="1"/>
  <c r="BI280" i="1" s="1"/>
  <c r="AR280" i="1"/>
  <c r="AZ280" i="1"/>
  <c r="AG281" i="1"/>
  <c r="AF281" i="1" s="1"/>
  <c r="AO281" i="1" s="1"/>
  <c r="BH281" i="1" s="1"/>
  <c r="BI281" i="1" s="1"/>
  <c r="AR281" i="1"/>
  <c r="AZ281" i="1"/>
  <c r="AE282" i="1"/>
  <c r="AG282" i="1" s="1"/>
  <c r="AF282" i="1" s="1"/>
  <c r="AP282" i="1"/>
  <c r="AZ282" i="1"/>
  <c r="AG283" i="1"/>
  <c r="AF283" i="1" s="1"/>
  <c r="AO283" i="1" s="1"/>
  <c r="BH283" i="1" s="1"/>
  <c r="BI283" i="1" s="1"/>
  <c r="AR283" i="1"/>
  <c r="AZ283" i="1"/>
  <c r="AG284" i="1"/>
  <c r="AF284" i="1" s="1"/>
  <c r="AO284" i="1" s="1"/>
  <c r="AR284" i="1"/>
  <c r="AZ284" i="1"/>
  <c r="AG285" i="1"/>
  <c r="AF285" i="1" s="1"/>
  <c r="AO285" i="1" s="1"/>
  <c r="BH285" i="1" s="1"/>
  <c r="BI285" i="1" s="1"/>
  <c r="AR285" i="1"/>
  <c r="AZ285" i="1"/>
  <c r="AG286" i="1"/>
  <c r="AF286" i="1" s="1"/>
  <c r="AO286" i="1" s="1"/>
  <c r="AR286" i="1"/>
  <c r="AZ286" i="1"/>
  <c r="AE287" i="1"/>
  <c r="AG287" i="1" s="1"/>
  <c r="AF287" i="1" s="1"/>
  <c r="AR287" i="1"/>
  <c r="AZ287" i="1"/>
  <c r="AG288" i="1"/>
  <c r="AF288" i="1" s="1"/>
  <c r="AO288" i="1" s="1"/>
  <c r="AP288" i="1"/>
  <c r="AZ288" i="1"/>
  <c r="AG289" i="1"/>
  <c r="AF289" i="1" s="1"/>
  <c r="AO289" i="1" s="1"/>
  <c r="AP289" i="1"/>
  <c r="AZ289" i="1"/>
  <c r="AG290" i="1"/>
  <c r="AF290" i="1" s="1"/>
  <c r="AO290" i="1" s="1"/>
  <c r="AP290" i="1"/>
  <c r="AZ290" i="1"/>
  <c r="AG291" i="1"/>
  <c r="AF291" i="1" s="1"/>
  <c r="AO291" i="1" s="1"/>
  <c r="AP291" i="1"/>
  <c r="AZ291" i="1"/>
  <c r="AE292" i="1"/>
  <c r="AG292" i="1" s="1"/>
  <c r="AF292" i="1" s="1"/>
  <c r="AP292" i="1"/>
  <c r="AZ292" i="1"/>
  <c r="AG293" i="1"/>
  <c r="AF293" i="1" s="1"/>
  <c r="AO293" i="1" s="1"/>
  <c r="AR293" i="1"/>
  <c r="AZ293" i="1"/>
  <c r="AG294" i="1"/>
  <c r="AF294" i="1" s="1"/>
  <c r="AO294" i="1" s="1"/>
  <c r="AR294" i="1"/>
  <c r="AZ294" i="1"/>
  <c r="AG295" i="1"/>
  <c r="AF295" i="1" s="1"/>
  <c r="AO295" i="1" s="1"/>
  <c r="BH295" i="1" s="1"/>
  <c r="BI295" i="1" s="1"/>
  <c r="AR295" i="1"/>
  <c r="AZ295" i="1"/>
  <c r="AG296" i="1"/>
  <c r="AF296" i="1" s="1"/>
  <c r="AO296" i="1" s="1"/>
  <c r="AR296" i="1"/>
  <c r="AZ296" i="1"/>
  <c r="AE297" i="1"/>
  <c r="AG297" i="1" s="1"/>
  <c r="AF297" i="1" s="1"/>
  <c r="AR297" i="1"/>
  <c r="AZ297" i="1"/>
  <c r="AG298" i="1"/>
  <c r="AF298" i="1" s="1"/>
  <c r="AO298" i="1" s="1"/>
  <c r="AP298" i="1"/>
  <c r="AZ298" i="1"/>
  <c r="AG299" i="1"/>
  <c r="AF299" i="1" s="1"/>
  <c r="AO299" i="1" s="1"/>
  <c r="AP299" i="1"/>
  <c r="AZ299" i="1"/>
  <c r="AG300" i="1"/>
  <c r="AF300" i="1" s="1"/>
  <c r="AO300" i="1" s="1"/>
  <c r="AP300" i="1"/>
  <c r="AZ300" i="1"/>
  <c r="AG301" i="1"/>
  <c r="AF301" i="1" s="1"/>
  <c r="AO301" i="1" s="1"/>
  <c r="AP301" i="1"/>
  <c r="AZ301" i="1"/>
  <c r="AE302" i="1"/>
  <c r="AG302" i="1" s="1"/>
  <c r="AF302" i="1" s="1"/>
  <c r="AR302" i="1"/>
  <c r="AZ302" i="1"/>
  <c r="AE303" i="1"/>
  <c r="AG303" i="1" s="1"/>
  <c r="AF303" i="1" s="1"/>
  <c r="AN303" i="1" s="1"/>
  <c r="AP303" i="1"/>
  <c r="AZ303" i="1"/>
  <c r="AE304" i="1"/>
  <c r="AG304" i="1" s="1"/>
  <c r="AF304" i="1" s="1"/>
  <c r="AP304" i="1"/>
  <c r="AZ304" i="1"/>
  <c r="AE305" i="1"/>
  <c r="AG305" i="1" s="1"/>
  <c r="AF305" i="1" s="1"/>
  <c r="AN305" i="1" s="1"/>
  <c r="AR305" i="1"/>
  <c r="AZ305" i="1"/>
  <c r="AE306" i="1"/>
  <c r="AG306" i="1" s="1"/>
  <c r="AF306" i="1" s="1"/>
  <c r="AP306" i="1"/>
  <c r="AZ306" i="1"/>
  <c r="AE307" i="1"/>
  <c r="AG307" i="1" s="1"/>
  <c r="AF307" i="1" s="1"/>
  <c r="AN307" i="1" s="1"/>
  <c r="BH307" i="1" s="1"/>
  <c r="BI307" i="1" s="1"/>
  <c r="AR307" i="1"/>
  <c r="AZ307" i="1"/>
  <c r="AE308" i="1"/>
  <c r="AG308" i="1" s="1"/>
  <c r="AF308" i="1" s="1"/>
  <c r="AR308" i="1"/>
  <c r="AZ308" i="1"/>
  <c r="AE309" i="1"/>
  <c r="AG309" i="1" s="1"/>
  <c r="AF309" i="1" s="1"/>
  <c r="AN309" i="1" s="1"/>
  <c r="AR309" i="1"/>
  <c r="AZ309" i="1"/>
  <c r="AE310" i="1"/>
  <c r="AG310" i="1" s="1"/>
  <c r="AF310" i="1" s="1"/>
  <c r="AR310" i="1"/>
  <c r="AZ310" i="1"/>
  <c r="AE311" i="1"/>
  <c r="AG311" i="1" s="1"/>
  <c r="AF311" i="1" s="1"/>
  <c r="AN311" i="1" s="1"/>
  <c r="AP311" i="1"/>
  <c r="AZ311" i="1"/>
  <c r="AE312" i="1"/>
  <c r="AG312" i="1" s="1"/>
  <c r="AF312" i="1" s="1"/>
  <c r="AP312" i="1"/>
  <c r="AZ312" i="1"/>
  <c r="AM313" i="1"/>
  <c r="AS313" i="1" s="1"/>
  <c r="AM137" i="1"/>
  <c r="AM138" i="1"/>
  <c r="AM142" i="1"/>
  <c r="AM144" i="1"/>
  <c r="AS144" i="1" s="1"/>
  <c r="AM145" i="1"/>
  <c r="AM147" i="1"/>
  <c r="AS147" i="1" s="1"/>
  <c r="AM148" i="1"/>
  <c r="AM150" i="1"/>
  <c r="AM151" i="1"/>
  <c r="AM160" i="1"/>
  <c r="AS160" i="1" s="1"/>
  <c r="AM161" i="1"/>
  <c r="AM162" i="1"/>
  <c r="AS162" i="1" s="1"/>
  <c r="AM163" i="1"/>
  <c r="AM164" i="1"/>
  <c r="AS164" i="1" s="1"/>
  <c r="AM165" i="1"/>
  <c r="AM166" i="1"/>
  <c r="AS166" i="1" s="1"/>
  <c r="AM167" i="1"/>
  <c r="AM168" i="1"/>
  <c r="AS168" i="1" s="1"/>
  <c r="AM169" i="1"/>
  <c r="AM170" i="1"/>
  <c r="AS170" i="1" s="1"/>
  <c r="AM171" i="1"/>
  <c r="AM172" i="1"/>
  <c r="AS172" i="1" s="1"/>
  <c r="AM173" i="1"/>
  <c r="AM174" i="1"/>
  <c r="AS174" i="1" s="1"/>
  <c r="AM189" i="1"/>
  <c r="AM197" i="1"/>
  <c r="AM212" i="1"/>
  <c r="AM223" i="1"/>
  <c r="AM234" i="1"/>
  <c r="AM237" i="1"/>
  <c r="AM240" i="1"/>
  <c r="AM244" i="1"/>
  <c r="AS244" i="1" s="1"/>
  <c r="AM245" i="1"/>
  <c r="AM248" i="1"/>
  <c r="AS248" i="1" s="1"/>
  <c r="AM250" i="1"/>
  <c r="AM252" i="1"/>
  <c r="AS252" i="1" s="1"/>
  <c r="AM254" i="1"/>
  <c r="AM256" i="1"/>
  <c r="AM258" i="1"/>
  <c r="AM259" i="1"/>
  <c r="AS259" i="1" s="1"/>
  <c r="AM261" i="1"/>
  <c r="AM264" i="1"/>
  <c r="AM266" i="1"/>
  <c r="AM267" i="1"/>
  <c r="AS267" i="1" s="1"/>
  <c r="AM269" i="1"/>
  <c r="AM270" i="1"/>
  <c r="AM271" i="1"/>
  <c r="AM272" i="1"/>
  <c r="AM276" i="1"/>
  <c r="AM277" i="1"/>
  <c r="AM282" i="1"/>
  <c r="AS282" i="1" s="1"/>
  <c r="AM288" i="1"/>
  <c r="AM289" i="1"/>
  <c r="AM290" i="1"/>
  <c r="AM291" i="1"/>
  <c r="AM292" i="1"/>
  <c r="AM298" i="1"/>
  <c r="AS298" i="1" s="1"/>
  <c r="AM299" i="1"/>
  <c r="AS299" i="1" s="1"/>
  <c r="AM300" i="1"/>
  <c r="AS300" i="1" s="1"/>
  <c r="AM301" i="1"/>
  <c r="AS301" i="1" s="1"/>
  <c r="AM303" i="1"/>
  <c r="AM304" i="1"/>
  <c r="AM306" i="1"/>
  <c r="AS306" i="1" s="1"/>
  <c r="AM311" i="1"/>
  <c r="AS311" i="1" s="1"/>
  <c r="AM312" i="1"/>
  <c r="AS312" i="1" s="1"/>
  <c r="AP314" i="1"/>
  <c r="AE314" i="1"/>
  <c r="AG314" i="1" s="1"/>
  <c r="AF314" i="1" s="1"/>
  <c r="AM314" i="1"/>
  <c r="AM315" i="1"/>
  <c r="AM316" i="1"/>
  <c r="AM317" i="1"/>
  <c r="AS317" i="1" s="1"/>
  <c r="AQ317" i="1"/>
  <c r="AM318" i="1"/>
  <c r="AS318" i="1" s="1"/>
  <c r="AQ318" i="1"/>
  <c r="AR318" i="1" s="1"/>
  <c r="AM319" i="1"/>
  <c r="AS319" i="1" s="1"/>
  <c r="AQ319" i="1"/>
  <c r="AR319" i="1" s="1"/>
  <c r="AM320" i="1"/>
  <c r="AS320" i="1" s="1"/>
  <c r="AM321" i="1"/>
  <c r="AQ321" i="1"/>
  <c r="AR321" i="1" s="1"/>
  <c r="AM322" i="1"/>
  <c r="AM323" i="1"/>
  <c r="AS323" i="1" s="1"/>
  <c r="AM324" i="1"/>
  <c r="AM325" i="1"/>
  <c r="AS325" i="1" s="1"/>
  <c r="AM326" i="1"/>
  <c r="AQ326" i="1"/>
  <c r="AR326" i="1" s="1"/>
  <c r="AM327" i="1"/>
  <c r="AM328" i="1"/>
  <c r="AM329" i="1"/>
  <c r="AQ329" i="1"/>
  <c r="AR329" i="1" s="1"/>
  <c r="AM330" i="1"/>
  <c r="AM331" i="1"/>
  <c r="AQ331" i="1"/>
  <c r="AR331" i="1" s="1"/>
  <c r="AM332" i="1"/>
  <c r="AM333" i="1"/>
  <c r="AS333" i="1" s="1"/>
  <c r="AM334" i="1"/>
  <c r="AQ334" i="1"/>
  <c r="AR334" i="1" s="1"/>
  <c r="AM335" i="1"/>
  <c r="AQ335" i="1"/>
  <c r="AR335" i="1" s="1"/>
  <c r="AM336" i="1"/>
  <c r="AM337" i="1"/>
  <c r="AS337" i="1" s="1"/>
  <c r="AQ337" i="1"/>
  <c r="AM338" i="1"/>
  <c r="AS338" i="1" s="1"/>
  <c r="AW338" i="1"/>
  <c r="AM339" i="1"/>
  <c r="AS339" i="1" s="1"/>
  <c r="AW339" i="1"/>
  <c r="AM340" i="1"/>
  <c r="AS340" i="1" s="1"/>
  <c r="AW340" i="1"/>
  <c r="AM341" i="1"/>
  <c r="AS341" i="1" s="1"/>
  <c r="AM342" i="1"/>
  <c r="AM343" i="1"/>
  <c r="AS343" i="1" s="1"/>
  <c r="AM344" i="1"/>
  <c r="BE344" i="1"/>
  <c r="AM345" i="1"/>
  <c r="AQ345" i="1"/>
  <c r="AR345" i="1" s="1"/>
  <c r="AM346" i="1"/>
  <c r="AS346" i="1" s="1"/>
  <c r="AQ346" i="1"/>
  <c r="AR346" i="1" s="1"/>
  <c r="AM347" i="1"/>
  <c r="AM348" i="1"/>
  <c r="AQ348" i="1"/>
  <c r="AM349" i="1"/>
  <c r="AS349" i="1" s="1"/>
  <c r="AQ349" i="1"/>
  <c r="AM350" i="1"/>
  <c r="AQ350" i="1"/>
  <c r="AM351" i="1"/>
  <c r="AS351" i="1" s="1"/>
  <c r="AY351" i="1"/>
  <c r="AM352" i="1"/>
  <c r="AS352" i="1" s="1"/>
  <c r="AQ352" i="1"/>
  <c r="AY352" i="1"/>
  <c r="AM353" i="1"/>
  <c r="AQ353" i="1"/>
  <c r="AY353" i="1"/>
  <c r="AM354" i="1"/>
  <c r="AS354" i="1" s="1"/>
  <c r="AQ354" i="1"/>
  <c r="AY354" i="1"/>
  <c r="AM355" i="1"/>
  <c r="AQ355" i="1"/>
  <c r="AM356" i="1"/>
  <c r="AQ356" i="1"/>
  <c r="AM357" i="1"/>
  <c r="AQ357" i="1"/>
  <c r="AR357" i="1" s="1"/>
  <c r="AY357" i="1"/>
  <c r="AM358" i="1"/>
  <c r="AS358" i="1" s="1"/>
  <c r="AY358" i="1"/>
  <c r="AM359" i="1"/>
  <c r="AY359" i="1"/>
  <c r="AM360" i="1"/>
  <c r="AS360" i="1" s="1"/>
  <c r="AY360" i="1"/>
  <c r="AM361" i="1"/>
  <c r="AY361" i="1"/>
  <c r="AM362" i="1"/>
  <c r="AS362" i="1" s="1"/>
  <c r="AQ362" i="1"/>
  <c r="AR362" i="1" s="1"/>
  <c r="AY362" i="1"/>
  <c r="AM363" i="1"/>
  <c r="AQ363" i="1"/>
  <c r="AR363" i="1" s="1"/>
  <c r="AY363" i="1"/>
  <c r="AM364" i="1"/>
  <c r="AS364" i="1" s="1"/>
  <c r="AQ364" i="1"/>
  <c r="AR364" i="1" s="1"/>
  <c r="AY364" i="1"/>
  <c r="AM365" i="1"/>
  <c r="AQ365" i="1"/>
  <c r="AR365" i="1" s="1"/>
  <c r="AY365" i="1"/>
  <c r="AM366" i="1"/>
  <c r="AS366" i="1" s="1"/>
  <c r="AQ366" i="1"/>
  <c r="AR366" i="1" s="1"/>
  <c r="AY366" i="1"/>
  <c r="AM367" i="1"/>
  <c r="AQ367" i="1"/>
  <c r="AR367" i="1" s="1"/>
  <c r="AY367" i="1"/>
  <c r="AM368" i="1"/>
  <c r="AS368" i="1" s="1"/>
  <c r="AQ368" i="1"/>
  <c r="AR368" i="1" s="1"/>
  <c r="AY368" i="1"/>
  <c r="AM369" i="1"/>
  <c r="AY369" i="1"/>
  <c r="AM370" i="1"/>
  <c r="AY370" i="1"/>
  <c r="AM371" i="1"/>
  <c r="AS371" i="1" s="1"/>
  <c r="AY371" i="1"/>
  <c r="AM372" i="1"/>
  <c r="AS372" i="1" s="1"/>
  <c r="AQ372" i="1"/>
  <c r="AR372" i="1" s="1"/>
  <c r="AY372" i="1"/>
  <c r="AE373" i="1"/>
  <c r="AG373" i="1" s="1"/>
  <c r="AF373" i="1" s="1"/>
  <c r="AN373" i="1" s="1"/>
  <c r="BH373" i="1" s="1"/>
  <c r="BI373" i="1" s="1"/>
  <c r="AZ373" i="1"/>
  <c r="BB373" i="1"/>
  <c r="BH389" i="1"/>
  <c r="BI389" i="1" s="1"/>
  <c r="BK423" i="1"/>
  <c r="BL423" i="1" s="1"/>
  <c r="AZ313" i="1"/>
  <c r="AZ314" i="1"/>
  <c r="AE315" i="1"/>
  <c r="AG315" i="1" s="1"/>
  <c r="AF315" i="1" s="1"/>
  <c r="AN315" i="1" s="1"/>
  <c r="AZ315" i="1"/>
  <c r="AE316" i="1"/>
  <c r="AG316" i="1" s="1"/>
  <c r="AF316" i="1" s="1"/>
  <c r="AZ316" i="1"/>
  <c r="AE317" i="1"/>
  <c r="AG317" i="1" s="1"/>
  <c r="AF317" i="1" s="1"/>
  <c r="AN317" i="1" s="1"/>
  <c r="AZ317" i="1"/>
  <c r="AG318" i="1"/>
  <c r="AF318" i="1" s="1"/>
  <c r="AO318" i="1" s="1"/>
  <c r="AZ318" i="1"/>
  <c r="AG319" i="1"/>
  <c r="AF319" i="1" s="1"/>
  <c r="AO319" i="1" s="1"/>
  <c r="AZ319" i="1"/>
  <c r="AG320" i="1"/>
  <c r="AF320" i="1" s="1"/>
  <c r="AZ320" i="1"/>
  <c r="AE321" i="1"/>
  <c r="AG321" i="1" s="1"/>
  <c r="AF321" i="1" s="1"/>
  <c r="AZ321" i="1"/>
  <c r="AZ322" i="1"/>
  <c r="AZ323" i="1"/>
  <c r="AZ324" i="1"/>
  <c r="AZ325" i="1"/>
  <c r="AE326" i="1"/>
  <c r="AG326" i="1" s="1"/>
  <c r="AF326" i="1" s="1"/>
  <c r="AZ326" i="1"/>
  <c r="AE327" i="1"/>
  <c r="AG327" i="1" s="1"/>
  <c r="AF327" i="1" s="1"/>
  <c r="AN327" i="1" s="1"/>
  <c r="AZ327" i="1"/>
  <c r="AE328" i="1"/>
  <c r="AG328" i="1" s="1"/>
  <c r="AF328" i="1" s="1"/>
  <c r="AN328" i="1" s="1"/>
  <c r="AZ328" i="1"/>
  <c r="AE329" i="1"/>
  <c r="AG329" i="1" s="1"/>
  <c r="AF329" i="1" s="1"/>
  <c r="AZ329" i="1"/>
  <c r="AE330" i="1"/>
  <c r="AG330" i="1" s="1"/>
  <c r="AF330" i="1" s="1"/>
  <c r="AN330" i="1" s="1"/>
  <c r="AZ330" i="1"/>
  <c r="AE331" i="1"/>
  <c r="AG331" i="1" s="1"/>
  <c r="AF331" i="1" s="1"/>
  <c r="AZ331" i="1"/>
  <c r="AZ332" i="1"/>
  <c r="AZ333" i="1"/>
  <c r="AG334" i="1"/>
  <c r="AF334" i="1" s="1"/>
  <c r="AO334" i="1" s="1"/>
  <c r="AZ334" i="1"/>
  <c r="AG335" i="1"/>
  <c r="AF335" i="1" s="1"/>
  <c r="AO335" i="1" s="1"/>
  <c r="AZ335" i="1"/>
  <c r="AE336" i="1"/>
  <c r="AG336" i="1" s="1"/>
  <c r="AF336" i="1" s="1"/>
  <c r="AZ336" i="1"/>
  <c r="AE337" i="1"/>
  <c r="AG337" i="1" s="1"/>
  <c r="AF337" i="1" s="1"/>
  <c r="AN337" i="1" s="1"/>
  <c r="AZ337" i="1"/>
  <c r="AZ338" i="1"/>
  <c r="AZ339" i="1"/>
  <c r="AZ340" i="1"/>
  <c r="AZ341" i="1"/>
  <c r="AZ342" i="1"/>
  <c r="BB342" i="1"/>
  <c r="AE343" i="1"/>
  <c r="AG343" i="1" s="1"/>
  <c r="AF343" i="1" s="1"/>
  <c r="BE343" i="1" s="1"/>
  <c r="AZ343" i="1"/>
  <c r="AZ344" i="1"/>
  <c r="AG345" i="1"/>
  <c r="AF345" i="1" s="1"/>
  <c r="AO345" i="1" s="1"/>
  <c r="AZ345" i="1"/>
  <c r="AG346" i="1"/>
  <c r="AF346" i="1" s="1"/>
  <c r="AO346" i="1" s="1"/>
  <c r="AZ346" i="1"/>
  <c r="AE347" i="1"/>
  <c r="AG347" i="1" s="1"/>
  <c r="AF347" i="1" s="1"/>
  <c r="AZ347" i="1"/>
  <c r="AE348" i="1"/>
  <c r="AG348" i="1" s="1"/>
  <c r="AF348" i="1" s="1"/>
  <c r="AN348" i="1" s="1"/>
  <c r="AZ348" i="1"/>
  <c r="AE349" i="1"/>
  <c r="AG349" i="1" s="1"/>
  <c r="AF349" i="1" s="1"/>
  <c r="AN349" i="1" s="1"/>
  <c r="AZ349" i="1"/>
  <c r="AE350" i="1"/>
  <c r="AG350" i="1" s="1"/>
  <c r="AF350" i="1" s="1"/>
  <c r="AN350" i="1" s="1"/>
  <c r="AZ350" i="1"/>
  <c r="AE351" i="1"/>
  <c r="AG351" i="1" s="1"/>
  <c r="AF351" i="1" s="1"/>
  <c r="AZ351" i="1"/>
  <c r="AE352" i="1"/>
  <c r="AG352" i="1" s="1"/>
  <c r="AF352" i="1" s="1"/>
  <c r="AN352" i="1" s="1"/>
  <c r="AZ352" i="1"/>
  <c r="AE353" i="1"/>
  <c r="AG353" i="1" s="1"/>
  <c r="AF353" i="1" s="1"/>
  <c r="AN353" i="1" s="1"/>
  <c r="AZ353" i="1"/>
  <c r="AE354" i="1"/>
  <c r="AG354" i="1" s="1"/>
  <c r="AF354" i="1" s="1"/>
  <c r="AN354" i="1" s="1"/>
  <c r="AZ354" i="1"/>
  <c r="AE355" i="1"/>
  <c r="AG355" i="1" s="1"/>
  <c r="AF355" i="1" s="1"/>
  <c r="AN355" i="1" s="1"/>
  <c r="AZ355" i="1"/>
  <c r="AE356" i="1"/>
  <c r="AG356" i="1" s="1"/>
  <c r="AF356" i="1" s="1"/>
  <c r="AN356" i="1" s="1"/>
  <c r="AZ356" i="1"/>
  <c r="AE357" i="1"/>
  <c r="AG357" i="1" s="1"/>
  <c r="AF357" i="1" s="1"/>
  <c r="AZ357" i="1"/>
  <c r="AE358" i="1"/>
  <c r="AG358" i="1" s="1"/>
  <c r="AF358" i="1" s="1"/>
  <c r="AN358" i="1" s="1"/>
  <c r="AZ358" i="1"/>
  <c r="AE359" i="1"/>
  <c r="AG359" i="1" s="1"/>
  <c r="AF359" i="1" s="1"/>
  <c r="AN359" i="1" s="1"/>
  <c r="AZ359" i="1"/>
  <c r="AE360" i="1"/>
  <c r="AG360" i="1" s="1"/>
  <c r="AF360" i="1" s="1"/>
  <c r="AN360" i="1" s="1"/>
  <c r="AZ360" i="1"/>
  <c r="AE361" i="1"/>
  <c r="AG361" i="1" s="1"/>
  <c r="AF361" i="1" s="1"/>
  <c r="AZ361" i="1"/>
  <c r="AG362" i="1"/>
  <c r="AF362" i="1" s="1"/>
  <c r="AO362" i="1" s="1"/>
  <c r="AZ362" i="1"/>
  <c r="AG363" i="1"/>
  <c r="AF363" i="1" s="1"/>
  <c r="AO363" i="1" s="1"/>
  <c r="AZ363" i="1"/>
  <c r="AG364" i="1"/>
  <c r="AF364" i="1" s="1"/>
  <c r="AO364" i="1" s="1"/>
  <c r="AZ364" i="1"/>
  <c r="AG365" i="1"/>
  <c r="AF365" i="1" s="1"/>
  <c r="AO365" i="1" s="1"/>
  <c r="AZ365" i="1"/>
  <c r="AG366" i="1"/>
  <c r="AF366" i="1" s="1"/>
  <c r="AO366" i="1" s="1"/>
  <c r="AZ366" i="1"/>
  <c r="AG367" i="1"/>
  <c r="AF367" i="1" s="1"/>
  <c r="AO367" i="1" s="1"/>
  <c r="AZ367" i="1"/>
  <c r="AE368" i="1"/>
  <c r="AG368" i="1" s="1"/>
  <c r="AF368" i="1" s="1"/>
  <c r="AZ368" i="1"/>
  <c r="AE369" i="1"/>
  <c r="AG369" i="1" s="1"/>
  <c r="AF369" i="1" s="1"/>
  <c r="AN369" i="1" s="1"/>
  <c r="AZ369" i="1"/>
  <c r="AE370" i="1"/>
  <c r="AG370" i="1" s="1"/>
  <c r="AF370" i="1" s="1"/>
  <c r="AN370" i="1" s="1"/>
  <c r="AZ370" i="1"/>
  <c r="AE371" i="1"/>
  <c r="AG371" i="1" s="1"/>
  <c r="AF371" i="1" s="1"/>
  <c r="AN371" i="1" s="1"/>
  <c r="AZ371" i="1"/>
  <c r="AE372" i="1"/>
  <c r="AG372" i="1" s="1"/>
  <c r="AF372" i="1" s="1"/>
  <c r="AZ372" i="1"/>
  <c r="AS373" i="1"/>
  <c r="AZ374" i="1"/>
  <c r="BB374" i="1"/>
  <c r="BH376" i="1"/>
  <c r="BI376" i="1" s="1"/>
  <c r="BH394" i="1"/>
  <c r="BI394" i="1" s="1"/>
  <c r="BK407" i="1"/>
  <c r="BL407" i="1" s="1"/>
  <c r="BH410" i="1"/>
  <c r="BI410" i="1" s="1"/>
  <c r="BH415" i="1"/>
  <c r="BI415" i="1" s="1"/>
  <c r="BK425" i="1"/>
  <c r="BL425" i="1" s="1"/>
  <c r="BK426" i="1"/>
  <c r="BL426" i="1" s="1"/>
  <c r="BH429" i="1"/>
  <c r="BI429" i="1" s="1"/>
  <c r="BH431" i="1"/>
  <c r="BI431" i="1" s="1"/>
  <c r="AM374" i="1"/>
  <c r="AS374" i="1" s="1"/>
  <c r="AY375" i="1"/>
  <c r="AY376" i="1"/>
  <c r="AM377" i="1"/>
  <c r="AS377" i="1" s="1"/>
  <c r="AY377" i="1"/>
  <c r="AM378" i="1"/>
  <c r="AY378" i="1"/>
  <c r="AM379" i="1"/>
  <c r="AY379" i="1"/>
  <c r="AY380" i="1"/>
  <c r="AM381" i="1"/>
  <c r="AS381" i="1" s="1"/>
  <c r="AY381" i="1"/>
  <c r="AY382" i="1"/>
  <c r="AY383" i="1"/>
  <c r="AM384" i="1"/>
  <c r="AY384" i="1"/>
  <c r="AY385" i="1"/>
  <c r="AY386" i="1"/>
  <c r="AY387" i="1"/>
  <c r="AM388" i="1"/>
  <c r="AY388" i="1"/>
  <c r="AY389" i="1"/>
  <c r="AM390" i="1"/>
  <c r="AY390" i="1"/>
  <c r="AM391" i="1"/>
  <c r="AS391" i="1" s="1"/>
  <c r="AY391" i="1"/>
  <c r="AY392" i="1"/>
  <c r="AM393" i="1"/>
  <c r="AY393" i="1"/>
  <c r="AY394" i="1"/>
  <c r="AM395" i="1"/>
  <c r="AY395" i="1"/>
  <c r="AM396" i="1"/>
  <c r="AS396" i="1" s="1"/>
  <c r="AY396" i="1"/>
  <c r="AY397" i="1"/>
  <c r="AM398" i="1"/>
  <c r="AY398" i="1"/>
  <c r="AY399" i="1"/>
  <c r="AM400" i="1"/>
  <c r="AS400" i="1" s="1"/>
  <c r="AY400" i="1"/>
  <c r="AY401" i="1"/>
  <c r="AM402" i="1"/>
  <c r="AY402" i="1"/>
  <c r="AY403" i="1"/>
  <c r="AY404" i="1"/>
  <c r="AY405" i="1"/>
  <c r="AM406" i="1"/>
  <c r="AS406" i="1" s="1"/>
  <c r="AY406" i="1"/>
  <c r="AY407" i="1"/>
  <c r="AM408" i="1"/>
  <c r="AS408" i="1" s="1"/>
  <c r="AY408" i="1"/>
  <c r="AY409" i="1"/>
  <c r="AY410" i="1"/>
  <c r="AM411" i="1"/>
  <c r="AY411" i="1"/>
  <c r="AM412" i="1"/>
  <c r="AS412" i="1" s="1"/>
  <c r="AY412" i="1"/>
  <c r="AY413" i="1"/>
  <c r="AY414" i="1"/>
  <c r="AY415" i="1"/>
  <c r="AM416" i="1"/>
  <c r="AY416" i="1"/>
  <c r="AM417" i="1"/>
  <c r="AY417" i="1"/>
  <c r="AM418" i="1"/>
  <c r="AY418" i="1"/>
  <c r="AY419" i="1"/>
  <c r="AY420" i="1"/>
  <c r="AM421" i="1"/>
  <c r="AY421" i="1"/>
  <c r="AM422" i="1"/>
  <c r="AY422" i="1"/>
  <c r="AY423" i="1"/>
  <c r="AM424" i="1"/>
  <c r="AS424" i="1" s="1"/>
  <c r="AY424" i="1"/>
  <c r="AY425" i="1"/>
  <c r="BC425" i="1"/>
  <c r="AY426" i="1"/>
  <c r="AM427" i="1"/>
  <c r="AY427" i="1"/>
  <c r="AY428" i="1"/>
  <c r="AY429" i="1"/>
  <c r="AM430" i="1"/>
  <c r="AY430" i="1"/>
  <c r="AY431" i="1"/>
  <c r="AM432" i="1"/>
  <c r="AS432" i="1" s="1"/>
  <c r="AY432" i="1"/>
  <c r="AY433" i="1"/>
  <c r="AM434" i="1"/>
  <c r="AY434" i="1"/>
  <c r="AY435" i="1"/>
  <c r="AM436" i="1"/>
  <c r="AY436" i="1"/>
  <c r="AM437" i="1"/>
  <c r="AS437" i="1" s="1"/>
  <c r="AY437" i="1"/>
  <c r="AY438" i="1"/>
  <c r="AY439" i="1"/>
  <c r="AM440" i="1"/>
  <c r="AY440" i="1"/>
  <c r="AY441" i="1"/>
  <c r="AM442" i="1"/>
  <c r="AY442" i="1"/>
  <c r="AY443" i="1"/>
  <c r="AM444" i="1"/>
  <c r="AY444" i="1"/>
  <c r="AY445" i="1"/>
  <c r="AM446" i="1"/>
  <c r="AY446" i="1"/>
  <c r="AY447" i="1"/>
  <c r="AM448" i="1"/>
  <c r="AY448" i="1"/>
  <c r="AY449" i="1"/>
  <c r="AM450" i="1"/>
  <c r="AY450" i="1"/>
  <c r="AP453" i="1"/>
  <c r="AM453" i="1"/>
  <c r="AQ453" i="1"/>
  <c r="BK466" i="1"/>
  <c r="BL466" i="1" s="1"/>
  <c r="AE375" i="1"/>
  <c r="AG375" i="1" s="1"/>
  <c r="AF375" i="1" s="1"/>
  <c r="AN375" i="1" s="1"/>
  <c r="BH375" i="1" s="1"/>
  <c r="BI375" i="1" s="1"/>
  <c r="AZ375" i="1"/>
  <c r="AZ376" i="1"/>
  <c r="AZ377" i="1"/>
  <c r="AZ378" i="1"/>
  <c r="AZ379" i="1"/>
  <c r="AE380" i="1"/>
  <c r="AG380" i="1" s="1"/>
  <c r="AF380" i="1" s="1"/>
  <c r="AN380" i="1" s="1"/>
  <c r="BK380" i="1" s="1"/>
  <c r="BL380" i="1" s="1"/>
  <c r="AZ380" i="1"/>
  <c r="AZ381" i="1"/>
  <c r="AZ382" i="1"/>
  <c r="AZ383" i="1"/>
  <c r="AZ384" i="1"/>
  <c r="AZ385" i="1"/>
  <c r="AZ386" i="1"/>
  <c r="AZ387" i="1"/>
  <c r="AE388" i="1"/>
  <c r="AG388" i="1" s="1"/>
  <c r="AF388" i="1" s="1"/>
  <c r="AN388" i="1" s="1"/>
  <c r="AZ388" i="1"/>
  <c r="AZ389" i="1"/>
  <c r="AZ390" i="1"/>
  <c r="AZ391" i="1"/>
  <c r="AZ392" i="1"/>
  <c r="AZ393" i="1"/>
  <c r="AZ394" i="1"/>
  <c r="AE395" i="1"/>
  <c r="AG395" i="1" s="1"/>
  <c r="AF395" i="1" s="1"/>
  <c r="AN395" i="1" s="1"/>
  <c r="AZ395" i="1"/>
  <c r="AZ396" i="1"/>
  <c r="AZ397" i="1"/>
  <c r="AZ398" i="1"/>
  <c r="AE399" i="1"/>
  <c r="AG399" i="1" s="1"/>
  <c r="AF399" i="1" s="1"/>
  <c r="AN399" i="1" s="1"/>
  <c r="AZ399" i="1"/>
  <c r="AZ400" i="1"/>
  <c r="AE401" i="1"/>
  <c r="AG401" i="1" s="1"/>
  <c r="AF401" i="1" s="1"/>
  <c r="AN401" i="1" s="1"/>
  <c r="BK401" i="1" s="1"/>
  <c r="BL401" i="1" s="1"/>
  <c r="AZ401" i="1"/>
  <c r="AZ402" i="1"/>
  <c r="AZ403" i="1"/>
  <c r="AZ404" i="1"/>
  <c r="AZ405" i="1"/>
  <c r="AZ406" i="1"/>
  <c r="AZ407" i="1"/>
  <c r="AZ408" i="1"/>
  <c r="AZ409" i="1"/>
  <c r="AZ410" i="1"/>
  <c r="AE411" i="1"/>
  <c r="AG411" i="1" s="1"/>
  <c r="AF411" i="1" s="1"/>
  <c r="AN411" i="1" s="1"/>
  <c r="AZ411" i="1"/>
  <c r="AZ412" i="1"/>
  <c r="AZ413" i="1"/>
  <c r="AZ414" i="1"/>
  <c r="AZ415" i="1"/>
  <c r="AZ416" i="1"/>
  <c r="AZ417" i="1"/>
  <c r="AZ418" i="1"/>
  <c r="AE419" i="1"/>
  <c r="AG419" i="1" s="1"/>
  <c r="AF419" i="1" s="1"/>
  <c r="AN419" i="1" s="1"/>
  <c r="BH419" i="1" s="1"/>
  <c r="BI419" i="1" s="1"/>
  <c r="AZ419" i="1"/>
  <c r="AE420" i="1"/>
  <c r="AG420" i="1" s="1"/>
  <c r="AF420" i="1" s="1"/>
  <c r="AN420" i="1" s="1"/>
  <c r="AZ420" i="1"/>
  <c r="AZ421" i="1"/>
  <c r="AZ422" i="1"/>
  <c r="AE423" i="1"/>
  <c r="AG423" i="1" s="1"/>
  <c r="AF423" i="1" s="1"/>
  <c r="BE423" i="1" s="1"/>
  <c r="AZ423" i="1"/>
  <c r="AZ424" i="1"/>
  <c r="AZ425" i="1"/>
  <c r="AZ426" i="1"/>
  <c r="BB426" i="1"/>
  <c r="AZ427" i="1"/>
  <c r="AE428" i="1"/>
  <c r="AG428" i="1" s="1"/>
  <c r="AF428" i="1" s="1"/>
  <c r="AN428" i="1" s="1"/>
  <c r="BH428" i="1" s="1"/>
  <c r="BI428" i="1" s="1"/>
  <c r="AZ428" i="1"/>
  <c r="AZ429" i="1"/>
  <c r="AE430" i="1"/>
  <c r="AG430" i="1" s="1"/>
  <c r="AF430" i="1" s="1"/>
  <c r="AN430" i="1" s="1"/>
  <c r="AZ430" i="1"/>
  <c r="AZ431" i="1"/>
  <c r="AE432" i="1"/>
  <c r="AG432" i="1" s="1"/>
  <c r="AF432" i="1" s="1"/>
  <c r="AN432" i="1" s="1"/>
  <c r="AZ432" i="1"/>
  <c r="AZ433" i="1"/>
  <c r="AE434" i="1"/>
  <c r="AG434" i="1" s="1"/>
  <c r="AF434" i="1" s="1"/>
  <c r="AN434" i="1" s="1"/>
  <c r="AZ434" i="1"/>
  <c r="AZ435" i="1"/>
  <c r="AE436" i="1"/>
  <c r="AG436" i="1" s="1"/>
  <c r="AF436" i="1" s="1"/>
  <c r="AN436" i="1" s="1"/>
  <c r="AZ436" i="1"/>
  <c r="AZ437" i="1"/>
  <c r="AZ438" i="1"/>
  <c r="AZ439" i="1"/>
  <c r="AZ440" i="1"/>
  <c r="AE441" i="1"/>
  <c r="AG441" i="1" s="1"/>
  <c r="AF441" i="1" s="1"/>
  <c r="AN441" i="1" s="1"/>
  <c r="BH441" i="1" s="1"/>
  <c r="BI441" i="1" s="1"/>
  <c r="AZ441" i="1"/>
  <c r="AZ442" i="1"/>
  <c r="AE443" i="1"/>
  <c r="AG443" i="1" s="1"/>
  <c r="AF443" i="1" s="1"/>
  <c r="AN443" i="1" s="1"/>
  <c r="BH443" i="1" s="1"/>
  <c r="BI443" i="1" s="1"/>
  <c r="AZ443" i="1"/>
  <c r="AZ444" i="1"/>
  <c r="AE445" i="1"/>
  <c r="AG445" i="1" s="1"/>
  <c r="AF445" i="1" s="1"/>
  <c r="AN445" i="1" s="1"/>
  <c r="BH445" i="1" s="1"/>
  <c r="BI445" i="1" s="1"/>
  <c r="AZ445" i="1"/>
  <c r="AZ446" i="1"/>
  <c r="AE447" i="1"/>
  <c r="AG447" i="1" s="1"/>
  <c r="AF447" i="1" s="1"/>
  <c r="AN447" i="1" s="1"/>
  <c r="BH447" i="1" s="1"/>
  <c r="BI447" i="1" s="1"/>
  <c r="AZ447" i="1"/>
  <c r="AZ448" i="1"/>
  <c r="AE449" i="1"/>
  <c r="AG449" i="1" s="1"/>
  <c r="AF449" i="1" s="1"/>
  <c r="AN449" i="1" s="1"/>
  <c r="BH449" i="1" s="1"/>
  <c r="BI449" i="1" s="1"/>
  <c r="AZ449" i="1"/>
  <c r="AZ450" i="1"/>
  <c r="AM451" i="1"/>
  <c r="AE452" i="1"/>
  <c r="AG452" i="1" s="1"/>
  <c r="AF452" i="1" s="1"/>
  <c r="AM452" i="1"/>
  <c r="AS452" i="1" s="1"/>
  <c r="AP454" i="1"/>
  <c r="AE454" i="1"/>
  <c r="AG454" i="1" s="1"/>
  <c r="AF454" i="1" s="1"/>
  <c r="AM454" i="1"/>
  <c r="AM455" i="1"/>
  <c r="BH467" i="1"/>
  <c r="BI467" i="1" s="1"/>
  <c r="AE451" i="1"/>
  <c r="AG451" i="1" s="1"/>
  <c r="AF451" i="1" s="1"/>
  <c r="AN451" i="1" s="1"/>
  <c r="AZ451" i="1"/>
  <c r="AZ452" i="1"/>
  <c r="AE453" i="1"/>
  <c r="AG453" i="1" s="1"/>
  <c r="AF453" i="1" s="1"/>
  <c r="AN453" i="1" s="1"/>
  <c r="AZ453" i="1"/>
  <c r="AZ454" i="1"/>
  <c r="AE455" i="1"/>
  <c r="AG455" i="1" s="1"/>
  <c r="AF455" i="1" s="1"/>
  <c r="AN455" i="1" s="1"/>
  <c r="AZ455" i="1"/>
  <c r="AE456" i="1"/>
  <c r="AG456" i="1" s="1"/>
  <c r="AF456" i="1" s="1"/>
  <c r="AP456" i="1"/>
  <c r="AZ456" i="1"/>
  <c r="AE457" i="1"/>
  <c r="AG457" i="1" s="1"/>
  <c r="AF457" i="1" s="1"/>
  <c r="AN457" i="1" s="1"/>
  <c r="AZ457" i="1"/>
  <c r="AE458" i="1"/>
  <c r="AG458" i="1" s="1"/>
  <c r="AF458" i="1" s="1"/>
  <c r="AP458" i="1"/>
  <c r="AZ458" i="1"/>
  <c r="AE459" i="1"/>
  <c r="AG459" i="1" s="1"/>
  <c r="AF459" i="1" s="1"/>
  <c r="AN459" i="1" s="1"/>
  <c r="AZ459" i="1"/>
  <c r="AE460" i="1"/>
  <c r="AG460" i="1" s="1"/>
  <c r="AF460" i="1" s="1"/>
  <c r="AP460" i="1"/>
  <c r="AZ460" i="1"/>
  <c r="AE461" i="1"/>
  <c r="AG461" i="1" s="1"/>
  <c r="AF461" i="1" s="1"/>
  <c r="AN461" i="1" s="1"/>
  <c r="AZ461" i="1"/>
  <c r="AE462" i="1"/>
  <c r="AG462" i="1" s="1"/>
  <c r="AF462" i="1" s="1"/>
  <c r="AP462" i="1"/>
  <c r="AZ462" i="1"/>
  <c r="AE463" i="1"/>
  <c r="AG463" i="1" s="1"/>
  <c r="AF463" i="1" s="1"/>
  <c r="AN463" i="1" s="1"/>
  <c r="AZ463" i="1"/>
  <c r="AE464" i="1"/>
  <c r="AG464" i="1" s="1"/>
  <c r="AF464" i="1" s="1"/>
  <c r="AP464" i="1"/>
  <c r="AZ464" i="1"/>
  <c r="AE465" i="1"/>
  <c r="AG465" i="1" s="1"/>
  <c r="AF465" i="1" s="1"/>
  <c r="AN465" i="1" s="1"/>
  <c r="AZ465" i="1"/>
  <c r="AG466" i="1"/>
  <c r="AF466" i="1" s="1"/>
  <c r="AV466" i="1"/>
  <c r="AZ466" i="1"/>
  <c r="AE467" i="1"/>
  <c r="AG467" i="1" s="1"/>
  <c r="AF467" i="1" s="1"/>
  <c r="AR467" i="1"/>
  <c r="AZ467" i="1"/>
  <c r="AG468" i="1"/>
  <c r="AF468" i="1" s="1"/>
  <c r="AO468" i="1" s="1"/>
  <c r="AP468" i="1"/>
  <c r="AZ468" i="1"/>
  <c r="AE469" i="1"/>
  <c r="AG469" i="1" s="1"/>
  <c r="AF469" i="1" s="1"/>
  <c r="AP469" i="1"/>
  <c r="AZ469" i="1"/>
  <c r="AE470" i="1"/>
  <c r="AG470" i="1" s="1"/>
  <c r="AF470" i="1" s="1"/>
  <c r="AN470" i="1" s="1"/>
  <c r="BH470" i="1" s="1"/>
  <c r="BI470" i="1" s="1"/>
  <c r="AR470" i="1"/>
  <c r="AZ470" i="1"/>
  <c r="AE471" i="1"/>
  <c r="AG471" i="1" s="1"/>
  <c r="AF471" i="1" s="1"/>
  <c r="AP471" i="1"/>
  <c r="AZ471" i="1"/>
  <c r="AE472" i="1"/>
  <c r="AG472" i="1" s="1"/>
  <c r="AF472" i="1" s="1"/>
  <c r="AN472" i="1" s="1"/>
  <c r="AR472" i="1"/>
  <c r="AZ472" i="1"/>
  <c r="AG473" i="1"/>
  <c r="AF473" i="1" s="1"/>
  <c r="AO473" i="1" s="1"/>
  <c r="AP473" i="1"/>
  <c r="AZ473" i="1"/>
  <c r="AG474" i="1"/>
  <c r="AF474" i="1" s="1"/>
  <c r="AR474" i="1"/>
  <c r="AZ474" i="1"/>
  <c r="AG475" i="1"/>
  <c r="AF475" i="1" s="1"/>
  <c r="AZ475" i="1"/>
  <c r="AG476" i="1"/>
  <c r="AF476" i="1" s="1"/>
  <c r="AZ476" i="1"/>
  <c r="AE477" i="1"/>
  <c r="AG477" i="1" s="1"/>
  <c r="AF477" i="1" s="1"/>
  <c r="BE477" i="1" s="1"/>
  <c r="AZ477" i="1"/>
  <c r="BK481" i="1"/>
  <c r="BL481" i="1" s="1"/>
  <c r="BK494" i="1"/>
  <c r="BL494" i="1" s="1"/>
  <c r="BK495" i="1"/>
  <c r="BL495" i="1" s="1"/>
  <c r="AM456" i="1"/>
  <c r="AS456" i="1" s="1"/>
  <c r="AM458" i="1"/>
  <c r="AS458" i="1" s="1"/>
  <c r="AM460" i="1"/>
  <c r="AS460" i="1" s="1"/>
  <c r="AM462" i="1"/>
  <c r="AS462" i="1" s="1"/>
  <c r="AM464" i="1"/>
  <c r="AS464" i="1" s="1"/>
  <c r="AM468" i="1"/>
  <c r="AM469" i="1"/>
  <c r="AM471" i="1"/>
  <c r="AS471" i="1" s="1"/>
  <c r="AM473" i="1"/>
  <c r="AM474" i="1"/>
  <c r="BK474" i="1" s="1"/>
  <c r="BL474" i="1" s="1"/>
  <c r="AM475" i="1"/>
  <c r="AM476" i="1"/>
  <c r="AS476" i="1" s="1"/>
  <c r="AZ478" i="1"/>
  <c r="BB478" i="1"/>
  <c r="BC479" i="1"/>
  <c r="AY479" i="1"/>
  <c r="BB479" i="1"/>
  <c r="AZ479" i="1"/>
  <c r="BH484" i="1"/>
  <c r="BI484" i="1" s="1"/>
  <c r="BK492" i="1"/>
  <c r="BL492" i="1" s="1"/>
  <c r="BK509" i="1"/>
  <c r="BL509" i="1" s="1"/>
  <c r="AZ480" i="1"/>
  <c r="BB480" i="1"/>
  <c r="BD480" i="1"/>
  <c r="AZ481" i="1"/>
  <c r="BB481" i="1"/>
  <c r="AZ482" i="1"/>
  <c r="BB482" i="1"/>
  <c r="AE483" i="1"/>
  <c r="AG483" i="1" s="1"/>
  <c r="AF483" i="1" s="1"/>
  <c r="AN483" i="1" s="1"/>
  <c r="BH483" i="1" s="1"/>
  <c r="BI483" i="1" s="1"/>
  <c r="AZ483" i="1"/>
  <c r="BB483" i="1"/>
  <c r="AZ484" i="1"/>
  <c r="BB484" i="1"/>
  <c r="AZ485" i="1"/>
  <c r="BB485" i="1"/>
  <c r="AZ486" i="1"/>
  <c r="BB486" i="1"/>
  <c r="AZ487" i="1"/>
  <c r="BB487" i="1"/>
  <c r="AZ488" i="1"/>
  <c r="BB488" i="1"/>
  <c r="AZ489" i="1"/>
  <c r="BB489" i="1"/>
  <c r="AZ490" i="1"/>
  <c r="BB490" i="1"/>
  <c r="AZ491" i="1"/>
  <c r="BB491" i="1"/>
  <c r="AE492" i="1"/>
  <c r="AG492" i="1" s="1"/>
  <c r="AF492" i="1" s="1"/>
  <c r="BE492" i="1" s="1"/>
  <c r="AZ492" i="1"/>
  <c r="BB492" i="1"/>
  <c r="AZ493" i="1"/>
  <c r="BB493" i="1"/>
  <c r="AZ494" i="1"/>
  <c r="BB494" i="1"/>
  <c r="AZ495" i="1"/>
  <c r="BB495" i="1"/>
  <c r="BD495" i="1"/>
  <c r="AZ496" i="1"/>
  <c r="BB496" i="1"/>
  <c r="AE498" i="1"/>
  <c r="AG498" i="1" s="1"/>
  <c r="AF498" i="1" s="1"/>
  <c r="AN498" i="1" s="1"/>
  <c r="AZ498" i="1"/>
  <c r="BB498" i="1"/>
  <c r="AZ499" i="1"/>
  <c r="AE500" i="1"/>
  <c r="AG500" i="1" s="1"/>
  <c r="AF500" i="1" s="1"/>
  <c r="AN500" i="1" s="1"/>
  <c r="AZ500" i="1"/>
  <c r="BB500" i="1"/>
  <c r="AE501" i="1"/>
  <c r="AG501" i="1" s="1"/>
  <c r="AF501" i="1" s="1"/>
  <c r="AN501" i="1" s="1"/>
  <c r="AZ501" i="1"/>
  <c r="BB501" i="1"/>
  <c r="AZ502" i="1"/>
  <c r="BB502" i="1"/>
  <c r="AE503" i="1"/>
  <c r="AG503" i="1" s="1"/>
  <c r="AF503" i="1" s="1"/>
  <c r="AN503" i="1" s="1"/>
  <c r="AZ503" i="1"/>
  <c r="BB503" i="1"/>
  <c r="AZ504" i="1"/>
  <c r="BB504" i="1"/>
  <c r="AZ505" i="1"/>
  <c r="BB505" i="1"/>
  <c r="AZ507" i="1"/>
  <c r="BB507" i="1"/>
  <c r="AE509" i="1"/>
  <c r="AG509" i="1" s="1"/>
  <c r="AF509" i="1" s="1"/>
  <c r="BE509" i="1" s="1"/>
  <c r="AZ509" i="1"/>
  <c r="BB509" i="1"/>
  <c r="BH526" i="1"/>
  <c r="BI526" i="1" s="1"/>
  <c r="BK529" i="1"/>
  <c r="BL529" i="1" s="1"/>
  <c r="AM478" i="1"/>
  <c r="AM482" i="1"/>
  <c r="AS482" i="1" s="1"/>
  <c r="AM485" i="1"/>
  <c r="AM486" i="1"/>
  <c r="AM488" i="1"/>
  <c r="AM490" i="1"/>
  <c r="BK490" i="1" s="1"/>
  <c r="BL490" i="1" s="1"/>
  <c r="AM491" i="1"/>
  <c r="AM493" i="1"/>
  <c r="AY494" i="1"/>
  <c r="AM497" i="1"/>
  <c r="AM498" i="1"/>
  <c r="AS498" i="1" s="1"/>
  <c r="AM499" i="1"/>
  <c r="AS499" i="1" s="1"/>
  <c r="AM502" i="1"/>
  <c r="AM504" i="1"/>
  <c r="AM506" i="1"/>
  <c r="AM507" i="1"/>
  <c r="AS507" i="1" s="1"/>
  <c r="AM508" i="1"/>
  <c r="BK511" i="1"/>
  <c r="BL511" i="1" s="1"/>
  <c r="BK512" i="1"/>
  <c r="BL512" i="1" s="1"/>
  <c r="BK524" i="1"/>
  <c r="BL524" i="1" s="1"/>
  <c r="BK513" i="1"/>
  <c r="BL513" i="1" s="1"/>
  <c r="AM510" i="1"/>
  <c r="AY511" i="1"/>
  <c r="BC511" i="1"/>
  <c r="AY512" i="1"/>
  <c r="AM527" i="1"/>
  <c r="AY527" i="1"/>
  <c r="AY529" i="1"/>
  <c r="AM532" i="1"/>
  <c r="AS532" i="1" s="1"/>
  <c r="AY532" i="1"/>
  <c r="AY513" i="1"/>
  <c r="AM514" i="1"/>
  <c r="AQ514" i="1"/>
  <c r="AP516" i="1"/>
  <c r="AE516" i="1"/>
  <c r="AG516" i="1" s="1"/>
  <c r="AF516" i="1" s="1"/>
  <c r="AM516" i="1"/>
  <c r="AM517" i="1"/>
  <c r="AZ511" i="1"/>
  <c r="AZ512" i="1"/>
  <c r="BB512" i="1"/>
  <c r="AE525" i="1"/>
  <c r="AG525" i="1" s="1"/>
  <c r="AF525" i="1" s="1"/>
  <c r="AN525" i="1" s="1"/>
  <c r="AZ529" i="1"/>
  <c r="AZ532" i="1"/>
  <c r="AZ513" i="1"/>
  <c r="BB514" i="1"/>
  <c r="AZ514" i="1"/>
  <c r="AE514" i="1"/>
  <c r="AG514" i="1" s="1"/>
  <c r="AF514" i="1" s="1"/>
  <c r="AN514" i="1" s="1"/>
  <c r="AY514" i="1"/>
  <c r="AG518" i="1"/>
  <c r="AF518" i="1" s="1"/>
  <c r="AM518" i="1"/>
  <c r="AS518" i="1" s="1"/>
  <c r="AG520" i="1"/>
  <c r="AF520" i="1" s="1"/>
  <c r="AM520" i="1"/>
  <c r="AG521" i="1"/>
  <c r="AF521" i="1" s="1"/>
  <c r="AM521" i="1"/>
  <c r="AG519" i="1"/>
  <c r="AF519" i="1" s="1"/>
  <c r="AM519" i="1"/>
  <c r="AZ516" i="1"/>
  <c r="BB517" i="1"/>
  <c r="AZ517" i="1"/>
  <c r="AE517" i="1"/>
  <c r="AG517" i="1" s="1"/>
  <c r="AF517" i="1" s="1"/>
  <c r="AN517" i="1" s="1"/>
  <c r="AM523" i="1"/>
  <c r="AM534" i="1"/>
  <c r="AM536" i="1"/>
  <c r="BK541" i="1"/>
  <c r="BL541" i="1" s="1"/>
  <c r="AE533" i="1"/>
  <c r="AG533" i="1" s="1"/>
  <c r="AF533" i="1" s="1"/>
  <c r="AM533" i="1"/>
  <c r="AW536" i="1"/>
  <c r="AW537" i="1"/>
  <c r="AW541" i="1"/>
  <c r="AZ518" i="1"/>
  <c r="AZ520" i="1"/>
  <c r="AZ521" i="1"/>
  <c r="AZ519" i="1"/>
  <c r="AZ523" i="1"/>
  <c r="AZ533" i="1"/>
  <c r="AE534" i="1"/>
  <c r="AG534" i="1" s="1"/>
  <c r="AF534" i="1" s="1"/>
  <c r="AN534" i="1" s="1"/>
  <c r="AZ534" i="1"/>
  <c r="AZ536" i="1"/>
  <c r="AZ537" i="1"/>
  <c r="AZ541" i="1"/>
  <c r="AS542" i="1"/>
  <c r="AZ543" i="1"/>
  <c r="BB543" i="1"/>
  <c r="AS544" i="1"/>
  <c r="AZ545" i="1"/>
  <c r="BB545" i="1"/>
  <c r="AS546" i="1"/>
  <c r="AZ547" i="1"/>
  <c r="BB547" i="1"/>
  <c r="BH540" i="1" l="1"/>
  <c r="BI540" i="1" s="1"/>
  <c r="AS514" i="1"/>
  <c r="BB497" i="1"/>
  <c r="AS526" i="1"/>
  <c r="AZ535" i="1"/>
  <c r="AS472" i="1"/>
  <c r="BJ472" i="1" s="1"/>
  <c r="AS479" i="1"/>
  <c r="BM479" i="1" s="1"/>
  <c r="AS480" i="1"/>
  <c r="AS477" i="1"/>
  <c r="BF477" i="1" s="1"/>
  <c r="BK480" i="1"/>
  <c r="BL480" i="1" s="1"/>
  <c r="AY535" i="1"/>
  <c r="AS497" i="1"/>
  <c r="AZ510" i="1"/>
  <c r="BB508" i="1"/>
  <c r="AZ497" i="1"/>
  <c r="AZ508" i="1"/>
  <c r="AE497" i="1"/>
  <c r="AG497" i="1" s="1"/>
  <c r="AF497" i="1" s="1"/>
  <c r="AN497" i="1" s="1"/>
  <c r="BH497" i="1" s="1"/>
  <c r="BI497" i="1" s="1"/>
  <c r="BK479" i="1"/>
  <c r="BL479" i="1" s="1"/>
  <c r="BH472" i="1"/>
  <c r="BI472" i="1" s="1"/>
  <c r="BK477" i="1"/>
  <c r="BL477" i="1" s="1"/>
  <c r="AS535" i="1"/>
  <c r="AS539" i="1"/>
  <c r="BM539" i="1" s="1"/>
  <c r="AZ526" i="1"/>
  <c r="AY526" i="1"/>
  <c r="AR516" i="1"/>
  <c r="AS511" i="1"/>
  <c r="BM511" i="1" s="1"/>
  <c r="AY515" i="1"/>
  <c r="BF515" i="1" s="1"/>
  <c r="AS530" i="1"/>
  <c r="AR471" i="1"/>
  <c r="AR473" i="1"/>
  <c r="AS534" i="1"/>
  <c r="AS517" i="1"/>
  <c r="BJ517" i="1" s="1"/>
  <c r="AS503" i="1"/>
  <c r="AS521" i="1"/>
  <c r="BF521" i="1" s="1"/>
  <c r="AY524" i="1"/>
  <c r="AZ524" i="1"/>
  <c r="AS527" i="1"/>
  <c r="AY525" i="1"/>
  <c r="AZ527" i="1"/>
  <c r="AZ525" i="1"/>
  <c r="BB510" i="1"/>
  <c r="BB499" i="1"/>
  <c r="BJ499" i="1" s="1"/>
  <c r="AZ540" i="1"/>
  <c r="AY540" i="1"/>
  <c r="AS500" i="1"/>
  <c r="BF500" i="1" s="1"/>
  <c r="AS540" i="1"/>
  <c r="BM540" i="1" s="1"/>
  <c r="AS525" i="1"/>
  <c r="AZ506" i="1"/>
  <c r="BB506" i="1"/>
  <c r="AS506" i="1"/>
  <c r="AS524" i="1"/>
  <c r="AY538" i="1"/>
  <c r="AY528" i="1"/>
  <c r="AY530" i="1"/>
  <c r="AZ538" i="1"/>
  <c r="BB528" i="1"/>
  <c r="BF531" i="1"/>
  <c r="BJ531" i="1"/>
  <c r="BJ522" i="1"/>
  <c r="AS523" i="1"/>
  <c r="BM523" i="1" s="1"/>
  <c r="BK523" i="1"/>
  <c r="BL523" i="1" s="1"/>
  <c r="BF522" i="1"/>
  <c r="AS538" i="1"/>
  <c r="AS528" i="1"/>
  <c r="BH392" i="1"/>
  <c r="BI392" i="1" s="1"/>
  <c r="AS537" i="1"/>
  <c r="BF537" i="1" s="1"/>
  <c r="BJ217" i="1"/>
  <c r="BM313" i="1"/>
  <c r="BF227" i="1"/>
  <c r="BM463" i="1"/>
  <c r="BH435" i="1"/>
  <c r="BI435" i="1" s="1"/>
  <c r="AS251" i="1"/>
  <c r="BJ251" i="1" s="1"/>
  <c r="BK433" i="1"/>
  <c r="BL433" i="1" s="1"/>
  <c r="BJ213" i="1"/>
  <c r="BK273" i="1"/>
  <c r="BL273" i="1" s="1"/>
  <c r="BF231" i="1"/>
  <c r="AS260" i="1"/>
  <c r="BM260" i="1" s="1"/>
  <c r="BJ179" i="1"/>
  <c r="BF210" i="1"/>
  <c r="BJ186" i="1"/>
  <c r="BJ249" i="1"/>
  <c r="BM191" i="1"/>
  <c r="BM507" i="1"/>
  <c r="BF183" i="1"/>
  <c r="BF198" i="1"/>
  <c r="BJ181" i="1"/>
  <c r="BJ470" i="1"/>
  <c r="BJ246" i="1"/>
  <c r="BF229" i="1"/>
  <c r="BJ182" i="1"/>
  <c r="BK210" i="1"/>
  <c r="BL210" i="1" s="1"/>
  <c r="BF487" i="1"/>
  <c r="BK409" i="1"/>
  <c r="BL409" i="1" s="1"/>
  <c r="BJ221" i="1"/>
  <c r="BJ183" i="1"/>
  <c r="BJ501" i="1"/>
  <c r="BJ377" i="1"/>
  <c r="BF146" i="1"/>
  <c r="BJ180" i="1"/>
  <c r="BJ296" i="1"/>
  <c r="BC548" i="1"/>
  <c r="BC1" i="1" s="1"/>
  <c r="BH387" i="1"/>
  <c r="BI387" i="1" s="1"/>
  <c r="BJ168" i="1"/>
  <c r="BF495" i="1"/>
  <c r="BM476" i="1"/>
  <c r="BF542" i="1"/>
  <c r="BM532" i="1"/>
  <c r="BJ263" i="1"/>
  <c r="BF233" i="1"/>
  <c r="BF228" i="1"/>
  <c r="BJ222" i="1"/>
  <c r="BM32" i="1"/>
  <c r="BM190" i="1"/>
  <c r="BF207" i="1"/>
  <c r="BF202" i="1"/>
  <c r="BK405" i="1"/>
  <c r="BL405" i="1" s="1"/>
  <c r="BF206" i="1"/>
  <c r="BJ333" i="1"/>
  <c r="BF278" i="1"/>
  <c r="BJ286" i="1"/>
  <c r="BF182" i="1"/>
  <c r="BJ152" i="1"/>
  <c r="BJ391" i="1"/>
  <c r="BJ358" i="1"/>
  <c r="BJ174" i="1"/>
  <c r="BJ235" i="1"/>
  <c r="BF181" i="1"/>
  <c r="BH188" i="1"/>
  <c r="BI188" i="1" s="1"/>
  <c r="BJ247" i="1"/>
  <c r="BF239" i="1"/>
  <c r="BF178" i="1"/>
  <c r="BH186" i="1"/>
  <c r="BI186" i="1" s="1"/>
  <c r="BM457" i="1"/>
  <c r="BF546" i="1"/>
  <c r="BJ443" i="1"/>
  <c r="AR432" i="1"/>
  <c r="BF432" i="1" s="1"/>
  <c r="BM459" i="1"/>
  <c r="BM382" i="1"/>
  <c r="BJ419" i="1"/>
  <c r="BF389" i="1"/>
  <c r="BJ177" i="1"/>
  <c r="BF187" i="1"/>
  <c r="BM380" i="1"/>
  <c r="BM465" i="1"/>
  <c r="BJ307" i="1"/>
  <c r="BM255" i="1"/>
  <c r="BM114" i="1"/>
  <c r="BJ175" i="1"/>
  <c r="BF177" i="1"/>
  <c r="BJ185" i="1"/>
  <c r="BJ184" i="1"/>
  <c r="BJ176" i="1"/>
  <c r="BJ154" i="1"/>
  <c r="BK525" i="1"/>
  <c r="BL525" i="1" s="1"/>
  <c r="BF209" i="1"/>
  <c r="BJ483" i="1"/>
  <c r="BJ310" i="1"/>
  <c r="BJ302" i="1"/>
  <c r="BF297" i="1"/>
  <c r="BF287" i="1"/>
  <c r="BF208" i="1"/>
  <c r="BF203" i="1"/>
  <c r="BF180" i="1"/>
  <c r="BM192" i="1"/>
  <c r="BF268" i="1"/>
  <c r="BJ503" i="1"/>
  <c r="BF380" i="1"/>
  <c r="BF439" i="1"/>
  <c r="BF236" i="1"/>
  <c r="BF226" i="1"/>
  <c r="BF159" i="1"/>
  <c r="BF179" i="1"/>
  <c r="AS496" i="1"/>
  <c r="BJ496" i="1" s="1"/>
  <c r="BF199" i="1"/>
  <c r="BF220" i="1"/>
  <c r="BJ187" i="1"/>
  <c r="BJ178" i="1"/>
  <c r="BF505" i="1"/>
  <c r="BF410" i="1"/>
  <c r="BJ158" i="1"/>
  <c r="BF225" i="1"/>
  <c r="BF216" i="1"/>
  <c r="BF544" i="1"/>
  <c r="BJ447" i="1"/>
  <c r="BF404" i="1"/>
  <c r="BF394" i="1"/>
  <c r="BJ295" i="1"/>
  <c r="BJ285" i="1"/>
  <c r="BF280" i="1"/>
  <c r="BJ265" i="1"/>
  <c r="BF211" i="1"/>
  <c r="BF186" i="1"/>
  <c r="BJ132" i="1"/>
  <c r="BF175" i="1"/>
  <c r="BM460" i="1"/>
  <c r="BF481" i="1"/>
  <c r="BF403" i="1"/>
  <c r="BF383" i="1"/>
  <c r="BM339" i="1"/>
  <c r="BJ172" i="1"/>
  <c r="BF201" i="1"/>
  <c r="BJ157" i="1"/>
  <c r="BF149" i="1"/>
  <c r="BF185" i="1"/>
  <c r="BM27" i="1"/>
  <c r="BM66" i="1"/>
  <c r="BF230" i="1"/>
  <c r="BF480" i="1"/>
  <c r="BJ374" i="1"/>
  <c r="BF224" i="1"/>
  <c r="BF176" i="1"/>
  <c r="BJ88" i="1"/>
  <c r="BM400" i="1"/>
  <c r="BM273" i="1"/>
  <c r="BF204" i="1"/>
  <c r="BM141" i="1"/>
  <c r="BF513" i="1"/>
  <c r="BM452" i="1"/>
  <c r="BF386" i="1"/>
  <c r="BF445" i="1"/>
  <c r="BJ413" i="1"/>
  <c r="BF392" i="1"/>
  <c r="BJ170" i="1"/>
  <c r="BF219" i="1"/>
  <c r="BF215" i="1"/>
  <c r="BF184" i="1"/>
  <c r="BF232" i="1"/>
  <c r="BM136" i="1"/>
  <c r="BM341" i="1"/>
  <c r="BJ79" i="1"/>
  <c r="BJ482" i="1"/>
  <c r="BM494" i="1"/>
  <c r="BM461" i="1"/>
  <c r="BF399" i="1"/>
  <c r="BM401" i="1"/>
  <c r="BM381" i="1"/>
  <c r="BJ238" i="1"/>
  <c r="BJ218" i="1"/>
  <c r="BJ214" i="1"/>
  <c r="BF205" i="1"/>
  <c r="BF200" i="1"/>
  <c r="BJ87" i="1"/>
  <c r="BJ75" i="1"/>
  <c r="BM34" i="1"/>
  <c r="BJ21" i="1"/>
  <c r="BF279" i="1"/>
  <c r="BF235" i="1"/>
  <c r="BF222" i="1"/>
  <c r="BF218" i="1"/>
  <c r="BF214" i="1"/>
  <c r="BM112" i="1"/>
  <c r="BJ101" i="1"/>
  <c r="BJ37" i="1"/>
  <c r="BF420" i="1"/>
  <c r="BJ293" i="1"/>
  <c r="BJ283" i="1"/>
  <c r="BJ153" i="1"/>
  <c r="BM64" i="1"/>
  <c r="BF545" i="1"/>
  <c r="BF463" i="1"/>
  <c r="BM340" i="1"/>
  <c r="BF293" i="1"/>
  <c r="BF283" i="1"/>
  <c r="BJ278" i="1"/>
  <c r="BF243" i="1"/>
  <c r="BF238" i="1"/>
  <c r="BM196" i="1"/>
  <c r="BF152" i="1"/>
  <c r="BF429" i="1"/>
  <c r="BM408" i="1"/>
  <c r="BJ397" i="1"/>
  <c r="BF387" i="1"/>
  <c r="BM318" i="1"/>
  <c r="BJ164" i="1"/>
  <c r="BF310" i="1"/>
  <c r="BF302" i="1"/>
  <c r="BJ297" i="1"/>
  <c r="BJ287" i="1"/>
  <c r="BJ262" i="1"/>
  <c r="BJ242" i="1"/>
  <c r="BJ143" i="1"/>
  <c r="BJ99" i="1"/>
  <c r="BM62" i="1"/>
  <c r="BJ9" i="1"/>
  <c r="BM70" i="1"/>
  <c r="BM495" i="1"/>
  <c r="BF441" i="1"/>
  <c r="BJ428" i="1"/>
  <c r="BM195" i="1"/>
  <c r="AW548" i="1"/>
  <c r="AW1" i="1" s="1"/>
  <c r="BJ267" i="1"/>
  <c r="BJ162" i="1"/>
  <c r="BJ220" i="1"/>
  <c r="BJ216" i="1"/>
  <c r="BF194" i="1"/>
  <c r="BD548" i="1"/>
  <c r="BD1" i="1" s="1"/>
  <c r="BM60" i="1"/>
  <c r="BM68" i="1"/>
  <c r="AS253" i="1"/>
  <c r="BM253" i="1" s="1"/>
  <c r="BF501" i="1"/>
  <c r="BM424" i="1"/>
  <c r="BM319" i="1"/>
  <c r="BM274" i="1"/>
  <c r="BJ386" i="1"/>
  <c r="BF221" i="1"/>
  <c r="BF213" i="1"/>
  <c r="BF543" i="1"/>
  <c r="BF449" i="1"/>
  <c r="BF385" i="1"/>
  <c r="BH501" i="1"/>
  <c r="BI501" i="1" s="1"/>
  <c r="BM338" i="1"/>
  <c r="BJ268" i="1"/>
  <c r="BF242" i="1"/>
  <c r="BM108" i="1"/>
  <c r="BJ85" i="1"/>
  <c r="BJ73" i="1"/>
  <c r="AR525" i="1"/>
  <c r="BH177" i="1"/>
  <c r="BI177" i="1" s="1"/>
  <c r="BM409" i="1"/>
  <c r="BJ166" i="1"/>
  <c r="BM407" i="1"/>
  <c r="BF217" i="1"/>
  <c r="BJ523" i="1"/>
  <c r="BM492" i="1"/>
  <c r="BJ438" i="1"/>
  <c r="BJ396" i="1"/>
  <c r="BF484" i="1"/>
  <c r="BJ505" i="1"/>
  <c r="BF467" i="1"/>
  <c r="BM456" i="1"/>
  <c r="BJ437" i="1"/>
  <c r="BM426" i="1"/>
  <c r="BF405" i="1"/>
  <c r="BF376" i="1"/>
  <c r="BF407" i="1"/>
  <c r="BJ160" i="1"/>
  <c r="BJ309" i="1"/>
  <c r="BJ305" i="1"/>
  <c r="BJ281" i="1"/>
  <c r="BJ241" i="1"/>
  <c r="BM194" i="1"/>
  <c r="BF156" i="1"/>
  <c r="BM140" i="1"/>
  <c r="BM58" i="1"/>
  <c r="BM106" i="1"/>
  <c r="BJ46" i="1"/>
  <c r="BJ360" i="1"/>
  <c r="BB548" i="1"/>
  <c r="BB1" i="1" s="1"/>
  <c r="BF483" i="1"/>
  <c r="BF425" i="1"/>
  <c r="BF415" i="1"/>
  <c r="BJ375" i="1"/>
  <c r="BM406" i="1"/>
  <c r="BM259" i="1"/>
  <c r="BF309" i="1"/>
  <c r="BF305" i="1"/>
  <c r="BF296" i="1"/>
  <c r="BF286" i="1"/>
  <c r="BH293" i="1"/>
  <c r="BI293" i="1" s="1"/>
  <c r="BJ236" i="1"/>
  <c r="BJ219" i="1"/>
  <c r="BJ215" i="1"/>
  <c r="BM193" i="1"/>
  <c r="BJ156" i="1"/>
  <c r="BM30" i="1"/>
  <c r="BJ373" i="1"/>
  <c r="BM521" i="1"/>
  <c r="BF541" i="1"/>
  <c r="BM513" i="1"/>
  <c r="BF466" i="1"/>
  <c r="BF431" i="1"/>
  <c r="BF435" i="1"/>
  <c r="BF423" i="1"/>
  <c r="BF414" i="1"/>
  <c r="BF382" i="1"/>
  <c r="BF373" i="1"/>
  <c r="BF241" i="1"/>
  <c r="BM139" i="1"/>
  <c r="BM117" i="1"/>
  <c r="BJ94" i="1"/>
  <c r="BJ82" i="1"/>
  <c r="BJ56" i="1"/>
  <c r="BJ44" i="1"/>
  <c r="BM28" i="1"/>
  <c r="BF503" i="1"/>
  <c r="BJ489" i="1"/>
  <c r="BM481" i="1"/>
  <c r="BM423" i="1"/>
  <c r="BJ308" i="1"/>
  <c r="BF295" i="1"/>
  <c r="BF285" i="1"/>
  <c r="BJ155" i="1"/>
  <c r="BM25" i="1"/>
  <c r="BJ93" i="1"/>
  <c r="BJ81" i="1"/>
  <c r="BJ54" i="1"/>
  <c r="AS188" i="1"/>
  <c r="BM433" i="1"/>
  <c r="BJ103" i="1"/>
  <c r="BJ41" i="1"/>
  <c r="BM26" i="1"/>
  <c r="BH185" i="1"/>
  <c r="BI185" i="1" s="1"/>
  <c r="BJ372" i="1"/>
  <c r="BF529" i="1"/>
  <c r="BM509" i="1"/>
  <c r="BM351" i="1"/>
  <c r="BJ294" i="1"/>
  <c r="BJ91" i="1"/>
  <c r="BJ52" i="1"/>
  <c r="BJ412" i="1"/>
  <c r="BF512" i="1"/>
  <c r="BF459" i="1"/>
  <c r="BJ284" i="1"/>
  <c r="BM275" i="1"/>
  <c r="BF190" i="1"/>
  <c r="BF547" i="1"/>
  <c r="BF494" i="1"/>
  <c r="BM464" i="1"/>
  <c r="BF428" i="1"/>
  <c r="BJ420" i="1"/>
  <c r="BM399" i="1"/>
  <c r="BM371" i="1"/>
  <c r="BM320" i="1"/>
  <c r="BF294" i="1"/>
  <c r="BF284" i="1"/>
  <c r="BJ279" i="1"/>
  <c r="BJ239" i="1"/>
  <c r="BM146" i="1"/>
  <c r="BJ39" i="1"/>
  <c r="AS257" i="1"/>
  <c r="BM257" i="1" s="1"/>
  <c r="AO548" i="1"/>
  <c r="AO1" i="1" s="1"/>
  <c r="BJ325" i="1"/>
  <c r="BJ323" i="1"/>
  <c r="BM534" i="1"/>
  <c r="BK461" i="1"/>
  <c r="BL461" i="1" s="1"/>
  <c r="BF461" i="1"/>
  <c r="BK457" i="1"/>
  <c r="BL457" i="1" s="1"/>
  <c r="BF457" i="1"/>
  <c r="BM343" i="1"/>
  <c r="BK465" i="1"/>
  <c r="BL465" i="1" s="1"/>
  <c r="BF465" i="1"/>
  <c r="AN548" i="1"/>
  <c r="AN1" i="1" s="1"/>
  <c r="BE548" i="1"/>
  <c r="BE1" i="1" s="1"/>
  <c r="BK534" i="1"/>
  <c r="BL534" i="1" s="1"/>
  <c r="BF534" i="1"/>
  <c r="BH519" i="1"/>
  <c r="BI519" i="1" s="1"/>
  <c r="BK521" i="1"/>
  <c r="BL521" i="1" s="1"/>
  <c r="BK520" i="1"/>
  <c r="BL520" i="1" s="1"/>
  <c r="BF518" i="1"/>
  <c r="BH518" i="1"/>
  <c r="BI518" i="1" s="1"/>
  <c r="BK514" i="1"/>
  <c r="BL514" i="1" s="1"/>
  <c r="BK532" i="1"/>
  <c r="BL532" i="1" s="1"/>
  <c r="BF532" i="1"/>
  <c r="BK510" i="1"/>
  <c r="BL510" i="1" s="1"/>
  <c r="AS520" i="1"/>
  <c r="BM520" i="1" s="1"/>
  <c r="BM512" i="1"/>
  <c r="BF511" i="1"/>
  <c r="AS510" i="1"/>
  <c r="BK508" i="1"/>
  <c r="BL508" i="1" s="1"/>
  <c r="BH506" i="1"/>
  <c r="BI506" i="1" s="1"/>
  <c r="BH502" i="1"/>
  <c r="BI502" i="1" s="1"/>
  <c r="BH498" i="1"/>
  <c r="BI498" i="1" s="1"/>
  <c r="BK493" i="1"/>
  <c r="BL493" i="1" s="1"/>
  <c r="BH490" i="1"/>
  <c r="BI490" i="1" s="1"/>
  <c r="BH486" i="1"/>
  <c r="BI486" i="1" s="1"/>
  <c r="BH482" i="1"/>
  <c r="BI482" i="1" s="1"/>
  <c r="BF482" i="1"/>
  <c r="BK478" i="1"/>
  <c r="BL478" i="1" s="1"/>
  <c r="AS519" i="1"/>
  <c r="BJ519" i="1" s="1"/>
  <c r="BM529" i="1"/>
  <c r="AS508" i="1"/>
  <c r="BF492" i="1"/>
  <c r="BF489" i="1"/>
  <c r="BJ487" i="1"/>
  <c r="BJ484" i="1"/>
  <c r="BK475" i="1"/>
  <c r="BL475" i="1" s="1"/>
  <c r="BH473" i="1"/>
  <c r="BI473" i="1" s="1"/>
  <c r="BH469" i="1"/>
  <c r="BI469" i="1" s="1"/>
  <c r="BK464" i="1"/>
  <c r="BL464" i="1" s="1"/>
  <c r="BF464" i="1"/>
  <c r="BK460" i="1"/>
  <c r="BL460" i="1" s="1"/>
  <c r="BF460" i="1"/>
  <c r="BK456" i="1"/>
  <c r="BL456" i="1" s="1"/>
  <c r="BF456" i="1"/>
  <c r="BH503" i="1"/>
  <c r="BI503" i="1" s="1"/>
  <c r="AS502" i="1"/>
  <c r="BJ502" i="1" s="1"/>
  <c r="BH500" i="1"/>
  <c r="BI500" i="1" s="1"/>
  <c r="AR498" i="1"/>
  <c r="BJ498" i="1" s="1"/>
  <c r="AS490" i="1"/>
  <c r="BM480" i="1"/>
  <c r="AS478" i="1"/>
  <c r="BM478" i="1" s="1"/>
  <c r="BJ471" i="1"/>
  <c r="BM462" i="1"/>
  <c r="BM458" i="1"/>
  <c r="AS475" i="1"/>
  <c r="BM475" i="1" s="1"/>
  <c r="AS473" i="1"/>
  <c r="BF473" i="1" s="1"/>
  <c r="BF470" i="1"/>
  <c r="AS469" i="1"/>
  <c r="BF469" i="1" s="1"/>
  <c r="BJ467" i="1"/>
  <c r="BK463" i="1"/>
  <c r="BL463" i="1" s="1"/>
  <c r="BK459" i="1"/>
  <c r="BL459" i="1" s="1"/>
  <c r="BH451" i="1"/>
  <c r="BI451" i="1" s="1"/>
  <c r="BM466" i="1"/>
  <c r="AR453" i="1"/>
  <c r="BH450" i="1"/>
  <c r="BI450" i="1" s="1"/>
  <c r="BH446" i="1"/>
  <c r="BI446" i="1" s="1"/>
  <c r="BH442" i="1"/>
  <c r="BI442" i="1" s="1"/>
  <c r="BK434" i="1"/>
  <c r="BL434" i="1" s="1"/>
  <c r="BH430" i="1"/>
  <c r="BI430" i="1" s="1"/>
  <c r="BH427" i="1"/>
  <c r="BI427" i="1" s="1"/>
  <c r="BK422" i="1"/>
  <c r="BL422" i="1" s="1"/>
  <c r="BK421" i="1"/>
  <c r="BL421" i="1" s="1"/>
  <c r="BH418" i="1"/>
  <c r="BI418" i="1" s="1"/>
  <c r="BH417" i="1"/>
  <c r="BI417" i="1" s="1"/>
  <c r="BH416" i="1"/>
  <c r="BI416" i="1" s="1"/>
  <c r="BK406" i="1"/>
  <c r="BL406" i="1" s="1"/>
  <c r="BF406" i="1"/>
  <c r="BK400" i="1"/>
  <c r="BL400" i="1" s="1"/>
  <c r="BF400" i="1"/>
  <c r="BH393" i="1"/>
  <c r="BI393" i="1" s="1"/>
  <c r="BH388" i="1"/>
  <c r="BI388" i="1" s="1"/>
  <c r="BK381" i="1"/>
  <c r="BL381" i="1" s="1"/>
  <c r="BF381" i="1"/>
  <c r="BK379" i="1"/>
  <c r="BL379" i="1" s="1"/>
  <c r="BH378" i="1"/>
  <c r="BI378" i="1" s="1"/>
  <c r="BF377" i="1"/>
  <c r="BH377" i="1"/>
  <c r="BI377" i="1" s="1"/>
  <c r="BH374" i="1"/>
  <c r="BI374" i="1" s="1"/>
  <c r="BF374" i="1"/>
  <c r="AS450" i="1"/>
  <c r="BJ450" i="1" s="1"/>
  <c r="BF447" i="1"/>
  <c r="AS446" i="1"/>
  <c r="BJ446" i="1" s="1"/>
  <c r="BF443" i="1"/>
  <c r="AS442" i="1"/>
  <c r="BJ442" i="1" s="1"/>
  <c r="BJ439" i="1"/>
  <c r="BF438" i="1"/>
  <c r="AR436" i="1"/>
  <c r="BJ435" i="1"/>
  <c r="BF433" i="1"/>
  <c r="AS430" i="1"/>
  <c r="AS427" i="1"/>
  <c r="BJ427" i="1" s="1"/>
  <c r="BF426" i="1"/>
  <c r="BM425" i="1"/>
  <c r="AS416" i="1"/>
  <c r="BJ416" i="1" s="1"/>
  <c r="BJ414" i="1"/>
  <c r="BF413" i="1"/>
  <c r="AR411" i="1"/>
  <c r="BJ410" i="1"/>
  <c r="BM404" i="1"/>
  <c r="BF397" i="1"/>
  <c r="AR395" i="1"/>
  <c r="BJ394" i="1"/>
  <c r="BJ385" i="1"/>
  <c r="BM383" i="1"/>
  <c r="BJ376" i="1"/>
  <c r="BF375" i="1"/>
  <c r="AS451" i="1"/>
  <c r="BJ451" i="1" s="1"/>
  <c r="AS434" i="1"/>
  <c r="AS422" i="1"/>
  <c r="BM422" i="1" s="1"/>
  <c r="AS421" i="1"/>
  <c r="BM421" i="1" s="1"/>
  <c r="BH420" i="1"/>
  <c r="BI420" i="1" s="1"/>
  <c r="BF419" i="1"/>
  <c r="AS418" i="1"/>
  <c r="BJ418" i="1" s="1"/>
  <c r="AS417" i="1"/>
  <c r="BJ417" i="1" s="1"/>
  <c r="BF409" i="1"/>
  <c r="BM405" i="1"/>
  <c r="BF401" i="1"/>
  <c r="BK399" i="1"/>
  <c r="BL399" i="1" s="1"/>
  <c r="AS393" i="1"/>
  <c r="BJ393" i="1" s="1"/>
  <c r="BJ389" i="1"/>
  <c r="AR388" i="1"/>
  <c r="BJ387" i="1"/>
  <c r="AS379" i="1"/>
  <c r="BM379" i="1" s="1"/>
  <c r="AS378" i="1"/>
  <c r="BJ378" i="1" s="1"/>
  <c r="BK368" i="1"/>
  <c r="BL368" i="1" s="1"/>
  <c r="BF368" i="1"/>
  <c r="BF366" i="1"/>
  <c r="BH366" i="1"/>
  <c r="BI366" i="1" s="1"/>
  <c r="BF364" i="1"/>
  <c r="BH364" i="1"/>
  <c r="BI364" i="1" s="1"/>
  <c r="BF362" i="1"/>
  <c r="BH362" i="1"/>
  <c r="BI362" i="1" s="1"/>
  <c r="BF360" i="1"/>
  <c r="BH360" i="1"/>
  <c r="BI360" i="1" s="1"/>
  <c r="BF358" i="1"/>
  <c r="BH358" i="1"/>
  <c r="BI358" i="1" s="1"/>
  <c r="AR356" i="1"/>
  <c r="AR355" i="1"/>
  <c r="BK354" i="1"/>
  <c r="BL354" i="1" s="1"/>
  <c r="AR353" i="1"/>
  <c r="BK352" i="1"/>
  <c r="BL352" i="1" s="1"/>
  <c r="BK351" i="1"/>
  <c r="BL351" i="1" s="1"/>
  <c r="BF351" i="1"/>
  <c r="BH350" i="1"/>
  <c r="BI350" i="1" s="1"/>
  <c r="BH349" i="1"/>
  <c r="BI349" i="1" s="1"/>
  <c r="BH348" i="1"/>
  <c r="BI348" i="1" s="1"/>
  <c r="BH347" i="1"/>
  <c r="BI347" i="1" s="1"/>
  <c r="BK346" i="1"/>
  <c r="BL346" i="1" s="1"/>
  <c r="BF346" i="1"/>
  <c r="BK345" i="1"/>
  <c r="BL345" i="1" s="1"/>
  <c r="BK344" i="1"/>
  <c r="BL344" i="1" s="1"/>
  <c r="BK342" i="1"/>
  <c r="BL342" i="1" s="1"/>
  <c r="AR337" i="1"/>
  <c r="BJ337" i="1" s="1"/>
  <c r="BH336" i="1"/>
  <c r="BI336" i="1" s="1"/>
  <c r="BH335" i="1"/>
  <c r="BI335" i="1" s="1"/>
  <c r="BH334" i="1"/>
  <c r="BI334" i="1" s="1"/>
  <c r="BF333" i="1"/>
  <c r="BH333" i="1"/>
  <c r="BI333" i="1" s="1"/>
  <c r="BH332" i="1"/>
  <c r="BI332" i="1" s="1"/>
  <c r="BH331" i="1"/>
  <c r="BI331" i="1" s="1"/>
  <c r="BH330" i="1"/>
  <c r="BI330" i="1" s="1"/>
  <c r="BH329" i="1"/>
  <c r="BI329" i="1" s="1"/>
  <c r="BH328" i="1"/>
  <c r="BI328" i="1" s="1"/>
  <c r="BH327" i="1"/>
  <c r="BI327" i="1" s="1"/>
  <c r="BH326" i="1"/>
  <c r="BI326" i="1" s="1"/>
  <c r="BF325" i="1"/>
  <c r="BH325" i="1"/>
  <c r="BI325" i="1" s="1"/>
  <c r="BH324" i="1"/>
  <c r="BI324" i="1" s="1"/>
  <c r="BF323" i="1"/>
  <c r="BH323" i="1"/>
  <c r="BI323" i="1" s="1"/>
  <c r="BH322" i="1"/>
  <c r="BI322" i="1" s="1"/>
  <c r="BH321" i="1"/>
  <c r="BI321" i="1" s="1"/>
  <c r="AR317" i="1"/>
  <c r="BM317" i="1" s="1"/>
  <c r="BK316" i="1"/>
  <c r="BL316" i="1" s="1"/>
  <c r="BM368" i="1"/>
  <c r="BJ366" i="1"/>
  <c r="BJ364" i="1"/>
  <c r="BJ362" i="1"/>
  <c r="BM346" i="1"/>
  <c r="AS342" i="1"/>
  <c r="BM342" i="1" s="1"/>
  <c r="AS330" i="1"/>
  <c r="BJ330" i="1" s="1"/>
  <c r="AS329" i="1"/>
  <c r="BF329" i="1" s="1"/>
  <c r="AS327" i="1"/>
  <c r="BJ327" i="1" s="1"/>
  <c r="AS326" i="1"/>
  <c r="BF326" i="1" s="1"/>
  <c r="AS324" i="1"/>
  <c r="BJ324" i="1" s="1"/>
  <c r="AS322" i="1"/>
  <c r="BJ322" i="1" s="1"/>
  <c r="AS321" i="1"/>
  <c r="BF321" i="1" s="1"/>
  <c r="AS316" i="1"/>
  <c r="BM316" i="1" s="1"/>
  <c r="BK314" i="1"/>
  <c r="BL314" i="1" s="1"/>
  <c r="BH311" i="1"/>
  <c r="BI311" i="1" s="1"/>
  <c r="BH304" i="1"/>
  <c r="BI304" i="1" s="1"/>
  <c r="BH301" i="1"/>
  <c r="BI301" i="1" s="1"/>
  <c r="BF301" i="1"/>
  <c r="BH299" i="1"/>
  <c r="BI299" i="1" s="1"/>
  <c r="BF299" i="1"/>
  <c r="BH292" i="1"/>
  <c r="BI292" i="1" s="1"/>
  <c r="BH290" i="1"/>
  <c r="BI290" i="1" s="1"/>
  <c r="BH288" i="1"/>
  <c r="BI288" i="1" s="1"/>
  <c r="BH277" i="1"/>
  <c r="BI277" i="1" s="1"/>
  <c r="BK276" i="1"/>
  <c r="BL276" i="1" s="1"/>
  <c r="BK271" i="1"/>
  <c r="BL271" i="1" s="1"/>
  <c r="BH269" i="1"/>
  <c r="BI269" i="1" s="1"/>
  <c r="BH266" i="1"/>
  <c r="BI266" i="1" s="1"/>
  <c r="BH261" i="1"/>
  <c r="BI261" i="1" s="1"/>
  <c r="BK258" i="1"/>
  <c r="BL258" i="1" s="1"/>
  <c r="BK254" i="1"/>
  <c r="BL254" i="1" s="1"/>
  <c r="BH250" i="1"/>
  <c r="BI250" i="1" s="1"/>
  <c r="BH245" i="1"/>
  <c r="BI245" i="1" s="1"/>
  <c r="BH240" i="1"/>
  <c r="BI240" i="1" s="1"/>
  <c r="BH234" i="1"/>
  <c r="BI234" i="1" s="1"/>
  <c r="BH212" i="1"/>
  <c r="BI212" i="1" s="1"/>
  <c r="BK189" i="1"/>
  <c r="BL189" i="1" s="1"/>
  <c r="BH173" i="1"/>
  <c r="BI173" i="1" s="1"/>
  <c r="BH171" i="1"/>
  <c r="BI171" i="1" s="1"/>
  <c r="BH169" i="1"/>
  <c r="BI169" i="1" s="1"/>
  <c r="BH167" i="1"/>
  <c r="BI167" i="1" s="1"/>
  <c r="BH165" i="1"/>
  <c r="BI165" i="1" s="1"/>
  <c r="BH163" i="1"/>
  <c r="BI163" i="1" s="1"/>
  <c r="BH161" i="1"/>
  <c r="BI161" i="1" s="1"/>
  <c r="BH151" i="1"/>
  <c r="BI151" i="1" s="1"/>
  <c r="BK148" i="1"/>
  <c r="BL148" i="1" s="1"/>
  <c r="BH145" i="1"/>
  <c r="BI145" i="1" s="1"/>
  <c r="BK138" i="1"/>
  <c r="BL138" i="1" s="1"/>
  <c r="AS350" i="1"/>
  <c r="AS348" i="1"/>
  <c r="AS347" i="1"/>
  <c r="BJ347" i="1" s="1"/>
  <c r="AS345" i="1"/>
  <c r="BF345" i="1" s="1"/>
  <c r="AS344" i="1"/>
  <c r="BM344" i="1" s="1"/>
  <c r="AS336" i="1"/>
  <c r="BJ336" i="1" s="1"/>
  <c r="AS335" i="1"/>
  <c r="BF335" i="1" s="1"/>
  <c r="AS334" i="1"/>
  <c r="BF334" i="1" s="1"/>
  <c r="AS332" i="1"/>
  <c r="BJ332" i="1" s="1"/>
  <c r="AS331" i="1"/>
  <c r="BF331" i="1" s="1"/>
  <c r="AS328" i="1"/>
  <c r="BJ328" i="1" s="1"/>
  <c r="BK313" i="1"/>
  <c r="BL313" i="1" s="1"/>
  <c r="BF313" i="1"/>
  <c r="BM312" i="1"/>
  <c r="BJ306" i="1"/>
  <c r="BJ301" i="1"/>
  <c r="BJ299" i="1"/>
  <c r="BJ282" i="1"/>
  <c r="AR311" i="1"/>
  <c r="BJ311" i="1" s="1"/>
  <c r="BF307" i="1"/>
  <c r="AR303" i="1"/>
  <c r="BH296" i="1"/>
  <c r="BI296" i="1" s="1"/>
  <c r="BH294" i="1"/>
  <c r="BI294" i="1" s="1"/>
  <c r="AS292" i="1"/>
  <c r="BF292" i="1" s="1"/>
  <c r="AS290" i="1"/>
  <c r="BF290" i="1" s="1"/>
  <c r="AS288" i="1"/>
  <c r="BF288" i="1" s="1"/>
  <c r="BH286" i="1"/>
  <c r="BI286" i="1" s="1"/>
  <c r="BH284" i="1"/>
  <c r="BI284" i="1" s="1"/>
  <c r="BF281" i="1"/>
  <c r="BJ280" i="1"/>
  <c r="AS277" i="1"/>
  <c r="BJ277" i="1" s="1"/>
  <c r="AS276" i="1"/>
  <c r="BM276" i="1" s="1"/>
  <c r="BF275" i="1"/>
  <c r="BF274" i="1"/>
  <c r="BF265" i="1"/>
  <c r="BF263" i="1"/>
  <c r="AS261" i="1"/>
  <c r="BJ261" i="1" s="1"/>
  <c r="BF249" i="1"/>
  <c r="BF246" i="1"/>
  <c r="AS240" i="1"/>
  <c r="BJ240" i="1" s="1"/>
  <c r="AS234" i="1"/>
  <c r="BJ234" i="1" s="1"/>
  <c r="BM233" i="1"/>
  <c r="BM232" i="1"/>
  <c r="BM231" i="1"/>
  <c r="BM230" i="1"/>
  <c r="BM229" i="1"/>
  <c r="BM228" i="1"/>
  <c r="BM227" i="1"/>
  <c r="BM226" i="1"/>
  <c r="BM225" i="1"/>
  <c r="BM224" i="1"/>
  <c r="AS212" i="1"/>
  <c r="BJ212" i="1" s="1"/>
  <c r="BM211" i="1"/>
  <c r="BM210" i="1"/>
  <c r="BM209" i="1"/>
  <c r="BM208" i="1"/>
  <c r="BM207" i="1"/>
  <c r="BM206" i="1"/>
  <c r="BM205" i="1"/>
  <c r="BM204" i="1"/>
  <c r="BM203" i="1"/>
  <c r="BM202" i="1"/>
  <c r="BM201" i="1"/>
  <c r="BM200" i="1"/>
  <c r="BM199" i="1"/>
  <c r="BM198" i="1"/>
  <c r="BF196" i="1"/>
  <c r="BF192" i="1"/>
  <c r="BF158" i="1"/>
  <c r="BF154" i="1"/>
  <c r="BF141" i="1"/>
  <c r="BF140" i="1"/>
  <c r="AV548" i="1"/>
  <c r="AV1" i="1" s="1"/>
  <c r="BH23" i="1"/>
  <c r="BI23" i="1" s="1"/>
  <c r="BH19" i="1"/>
  <c r="BI19" i="1" s="1"/>
  <c r="BH17" i="1"/>
  <c r="BI17" i="1" s="1"/>
  <c r="BH7" i="1"/>
  <c r="BI7" i="1" s="1"/>
  <c r="AQ548" i="1"/>
  <c r="AQ1" i="1" s="1"/>
  <c r="AR6" i="1"/>
  <c r="AM548" i="1"/>
  <c r="AM1" i="1" s="1"/>
  <c r="BH6" i="1"/>
  <c r="BH309" i="1"/>
  <c r="BI309" i="1" s="1"/>
  <c r="BF308" i="1"/>
  <c r="BH305" i="1"/>
  <c r="BI305" i="1" s="1"/>
  <c r="BH279" i="1"/>
  <c r="BI279" i="1" s="1"/>
  <c r="BF273" i="1"/>
  <c r="AS271" i="1"/>
  <c r="BM271" i="1" s="1"/>
  <c r="BF262" i="1"/>
  <c r="BF255" i="1"/>
  <c r="BK195" i="1"/>
  <c r="BL195" i="1" s="1"/>
  <c r="BF195" i="1"/>
  <c r="BK191" i="1"/>
  <c r="BL191" i="1" s="1"/>
  <c r="BF191" i="1"/>
  <c r="BF157" i="1"/>
  <c r="BF153" i="1"/>
  <c r="AS151" i="1"/>
  <c r="BJ151" i="1" s="1"/>
  <c r="BJ149" i="1"/>
  <c r="AS138" i="1"/>
  <c r="BM138" i="1" s="1"/>
  <c r="BH127" i="1"/>
  <c r="BI127" i="1" s="1"/>
  <c r="BH126" i="1"/>
  <c r="BI126" i="1" s="1"/>
  <c r="BH125" i="1"/>
  <c r="BI125" i="1" s="1"/>
  <c r="BH124" i="1"/>
  <c r="BI124" i="1" s="1"/>
  <c r="BK120" i="1"/>
  <c r="BL120" i="1" s="1"/>
  <c r="BK119" i="1"/>
  <c r="BL119" i="1" s="1"/>
  <c r="BK118" i="1"/>
  <c r="BL118" i="1" s="1"/>
  <c r="BK116" i="1"/>
  <c r="BL116" i="1" s="1"/>
  <c r="BK115" i="1"/>
  <c r="BL115" i="1" s="1"/>
  <c r="BK113" i="1"/>
  <c r="BL113" i="1" s="1"/>
  <c r="BK110" i="1"/>
  <c r="BL110" i="1" s="1"/>
  <c r="BK109" i="1"/>
  <c r="BL109" i="1" s="1"/>
  <c r="BK107" i="1"/>
  <c r="BL107" i="1" s="1"/>
  <c r="AR102" i="1"/>
  <c r="BJ102" i="1" s="1"/>
  <c r="BK70" i="1"/>
  <c r="BL70" i="1" s="1"/>
  <c r="BF70" i="1"/>
  <c r="BK68" i="1"/>
  <c r="BL68" i="1" s="1"/>
  <c r="BF68" i="1"/>
  <c r="BK66" i="1"/>
  <c r="BL66" i="1" s="1"/>
  <c r="BF66" i="1"/>
  <c r="BK63" i="1"/>
  <c r="BL63" i="1" s="1"/>
  <c r="BK61" i="1"/>
  <c r="BL61" i="1" s="1"/>
  <c r="BK59" i="1"/>
  <c r="BL59" i="1" s="1"/>
  <c r="AR49" i="1"/>
  <c r="BJ49" i="1" s="1"/>
  <c r="AR48" i="1"/>
  <c r="AR47" i="1"/>
  <c r="BJ47" i="1" s="1"/>
  <c r="BK34" i="1"/>
  <c r="BL34" i="1" s="1"/>
  <c r="BF34" i="1"/>
  <c r="BK32" i="1"/>
  <c r="BL32" i="1" s="1"/>
  <c r="BF32" i="1"/>
  <c r="BK30" i="1"/>
  <c r="BL30" i="1" s="1"/>
  <c r="BF30" i="1"/>
  <c r="BK27" i="1"/>
  <c r="BL27" i="1" s="1"/>
  <c r="BF27" i="1"/>
  <c r="BK25" i="1"/>
  <c r="BL25" i="1" s="1"/>
  <c r="BF25" i="1"/>
  <c r="BK24" i="1"/>
  <c r="BF21" i="1"/>
  <c r="BH21" i="1"/>
  <c r="BI21" i="1" s="1"/>
  <c r="BF20" i="1"/>
  <c r="BH20" i="1"/>
  <c r="BI20" i="1" s="1"/>
  <c r="AR244" i="1"/>
  <c r="BJ244" i="1" s="1"/>
  <c r="AS119" i="1"/>
  <c r="BF119" i="1" s="1"/>
  <c r="BJ20" i="1"/>
  <c r="AS7" i="1"/>
  <c r="BJ7" i="1" s="1"/>
  <c r="AR266" i="1"/>
  <c r="AR258" i="1"/>
  <c r="BF247" i="1"/>
  <c r="AR147" i="1"/>
  <c r="BM147" i="1" s="1"/>
  <c r="AR145" i="1"/>
  <c r="BF143" i="1"/>
  <c r="AS63" i="1"/>
  <c r="BM63" i="1" s="1"/>
  <c r="AS61" i="1"/>
  <c r="BM61" i="1" s="1"/>
  <c r="AS59" i="1"/>
  <c r="BM59" i="1" s="1"/>
  <c r="BM541" i="1"/>
  <c r="BK533" i="1"/>
  <c r="BL533" i="1" s="1"/>
  <c r="BH536" i="1"/>
  <c r="BI536" i="1" s="1"/>
  <c r="BH523" i="1"/>
  <c r="BI523" i="1" s="1"/>
  <c r="AS536" i="1"/>
  <c r="BJ536" i="1" s="1"/>
  <c r="AS533" i="1"/>
  <c r="BM533" i="1" s="1"/>
  <c r="BH517" i="1"/>
  <c r="BI517" i="1" s="1"/>
  <c r="BH516" i="1"/>
  <c r="BI516" i="1" s="1"/>
  <c r="AR514" i="1"/>
  <c r="BM514" i="1" s="1"/>
  <c r="BH527" i="1"/>
  <c r="BI527" i="1" s="1"/>
  <c r="BJ518" i="1"/>
  <c r="BK507" i="1"/>
  <c r="BL507" i="1" s="1"/>
  <c r="BF507" i="1"/>
  <c r="BH504" i="1"/>
  <c r="BI504" i="1" s="1"/>
  <c r="BH499" i="1"/>
  <c r="BI499" i="1" s="1"/>
  <c r="BF499" i="1"/>
  <c r="BK491" i="1"/>
  <c r="BL491" i="1" s="1"/>
  <c r="BH488" i="1"/>
  <c r="BI488" i="1" s="1"/>
  <c r="BH485" i="1"/>
  <c r="BI485" i="1" s="1"/>
  <c r="AS516" i="1"/>
  <c r="BJ516" i="1" s="1"/>
  <c r="BF509" i="1"/>
  <c r="AS491" i="1"/>
  <c r="BM491" i="1" s="1"/>
  <c r="AS488" i="1"/>
  <c r="BJ488" i="1" s="1"/>
  <c r="AS485" i="1"/>
  <c r="BJ485" i="1" s="1"/>
  <c r="BK476" i="1"/>
  <c r="BL476" i="1" s="1"/>
  <c r="BF476" i="1"/>
  <c r="BH474" i="1"/>
  <c r="BI474" i="1" s="1"/>
  <c r="BH471" i="1"/>
  <c r="BI471" i="1" s="1"/>
  <c r="BF471" i="1"/>
  <c r="BH468" i="1"/>
  <c r="BI468" i="1" s="1"/>
  <c r="BK462" i="1"/>
  <c r="BL462" i="1" s="1"/>
  <c r="BF462" i="1"/>
  <c r="BK458" i="1"/>
  <c r="BL458" i="1" s="1"/>
  <c r="BF458" i="1"/>
  <c r="AS504" i="1"/>
  <c r="BJ504" i="1" s="1"/>
  <c r="AS493" i="1"/>
  <c r="BM493" i="1" s="1"/>
  <c r="AS486" i="1"/>
  <c r="BJ486" i="1" s="1"/>
  <c r="AS474" i="1"/>
  <c r="BJ474" i="1" s="1"/>
  <c r="AS468" i="1"/>
  <c r="BJ468" i="1" s="1"/>
  <c r="BK455" i="1"/>
  <c r="BL455" i="1" s="1"/>
  <c r="BK454" i="1"/>
  <c r="BL454" i="1" s="1"/>
  <c r="BK452" i="1"/>
  <c r="BL452" i="1" s="1"/>
  <c r="BF452" i="1"/>
  <c r="BK453" i="1"/>
  <c r="BL453" i="1" s="1"/>
  <c r="AS453" i="1"/>
  <c r="BH448" i="1"/>
  <c r="BI448" i="1" s="1"/>
  <c r="BH444" i="1"/>
  <c r="BI444" i="1" s="1"/>
  <c r="BH440" i="1"/>
  <c r="BI440" i="1" s="1"/>
  <c r="BF437" i="1"/>
  <c r="BH437" i="1"/>
  <c r="BI437" i="1" s="1"/>
  <c r="BH436" i="1"/>
  <c r="BI436" i="1" s="1"/>
  <c r="BH432" i="1"/>
  <c r="BI432" i="1" s="1"/>
  <c r="BK424" i="1"/>
  <c r="BL424" i="1" s="1"/>
  <c r="BF424" i="1"/>
  <c r="BF412" i="1"/>
  <c r="BH412" i="1"/>
  <c r="BI412" i="1" s="1"/>
  <c r="BH411" i="1"/>
  <c r="BI411" i="1" s="1"/>
  <c r="BK408" i="1"/>
  <c r="BL408" i="1" s="1"/>
  <c r="BF408" i="1"/>
  <c r="BK402" i="1"/>
  <c r="BL402" i="1" s="1"/>
  <c r="BK398" i="1"/>
  <c r="BL398" i="1" s="1"/>
  <c r="BF396" i="1"/>
  <c r="BH396" i="1"/>
  <c r="BI396" i="1" s="1"/>
  <c r="BH395" i="1"/>
  <c r="BI395" i="1" s="1"/>
  <c r="BF391" i="1"/>
  <c r="BH391" i="1"/>
  <c r="BI391" i="1" s="1"/>
  <c r="BH390" i="1"/>
  <c r="BI390" i="1" s="1"/>
  <c r="BH384" i="1"/>
  <c r="BI384" i="1" s="1"/>
  <c r="AS455" i="1"/>
  <c r="BM455" i="1" s="1"/>
  <c r="BJ449" i="1"/>
  <c r="AS448" i="1"/>
  <c r="BJ448" i="1" s="1"/>
  <c r="BJ445" i="1"/>
  <c r="AS444" i="1"/>
  <c r="BJ444" i="1" s="1"/>
  <c r="BJ441" i="1"/>
  <c r="AS440" i="1"/>
  <c r="BJ440" i="1" s="1"/>
  <c r="AS436" i="1"/>
  <c r="BJ431" i="1"/>
  <c r="AR430" i="1"/>
  <c r="BJ429" i="1"/>
  <c r="BJ415" i="1"/>
  <c r="AS411" i="1"/>
  <c r="BM403" i="1"/>
  <c r="AS402" i="1"/>
  <c r="BM402" i="1" s="1"/>
  <c r="AS398" i="1"/>
  <c r="BM398" i="1" s="1"/>
  <c r="AS395" i="1"/>
  <c r="AS454" i="1"/>
  <c r="BM454" i="1" s="1"/>
  <c r="AR434" i="1"/>
  <c r="BJ392" i="1"/>
  <c r="AS390" i="1"/>
  <c r="BJ390" i="1" s="1"/>
  <c r="AS388" i="1"/>
  <c r="AS384" i="1"/>
  <c r="BJ384" i="1" s="1"/>
  <c r="BF372" i="1"/>
  <c r="BH372" i="1"/>
  <c r="BI372" i="1" s="1"/>
  <c r="BK371" i="1"/>
  <c r="BL371" i="1" s="1"/>
  <c r="BF371" i="1"/>
  <c r="BK370" i="1"/>
  <c r="BL370" i="1" s="1"/>
  <c r="BK369" i="1"/>
  <c r="BL369" i="1" s="1"/>
  <c r="BH367" i="1"/>
  <c r="BI367" i="1" s="1"/>
  <c r="BH365" i="1"/>
  <c r="BI365" i="1" s="1"/>
  <c r="BH363" i="1"/>
  <c r="BI363" i="1" s="1"/>
  <c r="BH361" i="1"/>
  <c r="BI361" i="1" s="1"/>
  <c r="BH359" i="1"/>
  <c r="BI359" i="1" s="1"/>
  <c r="BH357" i="1"/>
  <c r="BI357" i="1" s="1"/>
  <c r="BK356" i="1"/>
  <c r="BL356" i="1" s="1"/>
  <c r="BH355" i="1"/>
  <c r="BI355" i="1" s="1"/>
  <c r="AR354" i="1"/>
  <c r="BM354" i="1" s="1"/>
  <c r="BK353" i="1"/>
  <c r="BL353" i="1" s="1"/>
  <c r="AR352" i="1"/>
  <c r="BF352" i="1" s="1"/>
  <c r="AR350" i="1"/>
  <c r="AR349" i="1"/>
  <c r="BJ349" i="1" s="1"/>
  <c r="AR348" i="1"/>
  <c r="BK343" i="1"/>
  <c r="BL343" i="1" s="1"/>
  <c r="BF343" i="1"/>
  <c r="BK341" i="1"/>
  <c r="BL341" i="1" s="1"/>
  <c r="BF341" i="1"/>
  <c r="BK340" i="1"/>
  <c r="BL340" i="1" s="1"/>
  <c r="BF340" i="1"/>
  <c r="BK339" i="1"/>
  <c r="BL339" i="1" s="1"/>
  <c r="BF339" i="1"/>
  <c r="BK338" i="1"/>
  <c r="BL338" i="1" s="1"/>
  <c r="BF338" i="1"/>
  <c r="BH337" i="1"/>
  <c r="BI337" i="1" s="1"/>
  <c r="BK320" i="1"/>
  <c r="BL320" i="1" s="1"/>
  <c r="BF320" i="1"/>
  <c r="BK319" i="1"/>
  <c r="BL319" i="1" s="1"/>
  <c r="BF319" i="1"/>
  <c r="BK318" i="1"/>
  <c r="BL318" i="1" s="1"/>
  <c r="BF318" i="1"/>
  <c r="BK317" i="1"/>
  <c r="BL317" i="1" s="1"/>
  <c r="BK315" i="1"/>
  <c r="BL315" i="1" s="1"/>
  <c r="AS369" i="1"/>
  <c r="BM369" i="1" s="1"/>
  <c r="AS357" i="1"/>
  <c r="BJ357" i="1" s="1"/>
  <c r="AS356" i="1"/>
  <c r="AS315" i="1"/>
  <c r="BM315" i="1" s="1"/>
  <c r="BK312" i="1"/>
  <c r="BL312" i="1" s="1"/>
  <c r="BF312" i="1"/>
  <c r="BH306" i="1"/>
  <c r="BI306" i="1" s="1"/>
  <c r="BF306" i="1"/>
  <c r="BH303" i="1"/>
  <c r="BI303" i="1" s="1"/>
  <c r="BH300" i="1"/>
  <c r="BI300" i="1" s="1"/>
  <c r="BF300" i="1"/>
  <c r="BH298" i="1"/>
  <c r="BI298" i="1" s="1"/>
  <c r="BF298" i="1"/>
  <c r="BH291" i="1"/>
  <c r="BI291" i="1" s="1"/>
  <c r="BH289" i="1"/>
  <c r="BI289" i="1" s="1"/>
  <c r="BH282" i="1"/>
  <c r="BI282" i="1" s="1"/>
  <c r="BF282" i="1"/>
  <c r="BK272" i="1"/>
  <c r="BL272" i="1" s="1"/>
  <c r="BK270" i="1"/>
  <c r="BL270" i="1" s="1"/>
  <c r="BH267" i="1"/>
  <c r="BI267" i="1" s="1"/>
  <c r="BF267" i="1"/>
  <c r="BH264" i="1"/>
  <c r="BI264" i="1" s="1"/>
  <c r="BK259" i="1"/>
  <c r="BL259" i="1" s="1"/>
  <c r="BF259" i="1"/>
  <c r="BK256" i="1"/>
  <c r="BL256" i="1" s="1"/>
  <c r="BH252" i="1"/>
  <c r="BI252" i="1" s="1"/>
  <c r="BH248" i="1"/>
  <c r="BI248" i="1" s="1"/>
  <c r="BH244" i="1"/>
  <c r="BI244" i="1" s="1"/>
  <c r="BH237" i="1"/>
  <c r="BI237" i="1" s="1"/>
  <c r="BK223" i="1"/>
  <c r="BL223" i="1" s="1"/>
  <c r="BK197" i="1"/>
  <c r="BL197" i="1" s="1"/>
  <c r="BH174" i="1"/>
  <c r="BI174" i="1" s="1"/>
  <c r="BF174" i="1"/>
  <c r="BH172" i="1"/>
  <c r="BI172" i="1" s="1"/>
  <c r="BF172" i="1"/>
  <c r="BH170" i="1"/>
  <c r="BI170" i="1" s="1"/>
  <c r="BF170" i="1"/>
  <c r="BH168" i="1"/>
  <c r="BI168" i="1" s="1"/>
  <c r="BF168" i="1"/>
  <c r="BH166" i="1"/>
  <c r="BI166" i="1" s="1"/>
  <c r="BF166" i="1"/>
  <c r="BH164" i="1"/>
  <c r="BI164" i="1" s="1"/>
  <c r="BF164" i="1"/>
  <c r="BH162" i="1"/>
  <c r="BI162" i="1" s="1"/>
  <c r="BF162" i="1"/>
  <c r="BH160" i="1"/>
  <c r="BI160" i="1" s="1"/>
  <c r="BF160" i="1"/>
  <c r="BH150" i="1"/>
  <c r="BI150" i="1" s="1"/>
  <c r="BK147" i="1"/>
  <c r="BL147" i="1" s="1"/>
  <c r="BH144" i="1"/>
  <c r="BI144" i="1" s="1"/>
  <c r="BK142" i="1"/>
  <c r="BL142" i="1" s="1"/>
  <c r="BK137" i="1"/>
  <c r="BL137" i="1" s="1"/>
  <c r="AS370" i="1"/>
  <c r="BM370" i="1" s="1"/>
  <c r="AS367" i="1"/>
  <c r="BJ367" i="1" s="1"/>
  <c r="AS365" i="1"/>
  <c r="BJ365" i="1" s="1"/>
  <c r="AS363" i="1"/>
  <c r="BJ363" i="1" s="1"/>
  <c r="AS361" i="1"/>
  <c r="BJ361" i="1" s="1"/>
  <c r="AS359" i="1"/>
  <c r="BJ359" i="1" s="1"/>
  <c r="AS355" i="1"/>
  <c r="AS353" i="1"/>
  <c r="BJ300" i="1"/>
  <c r="BJ298" i="1"/>
  <c r="AS303" i="1"/>
  <c r="AS291" i="1"/>
  <c r="BJ291" i="1" s="1"/>
  <c r="AS289" i="1"/>
  <c r="BJ289" i="1" s="1"/>
  <c r="AS269" i="1"/>
  <c r="BJ269" i="1" s="1"/>
  <c r="AS266" i="1"/>
  <c r="AS264" i="1"/>
  <c r="BJ264" i="1" s="1"/>
  <c r="AS258" i="1"/>
  <c r="AS254" i="1"/>
  <c r="AS250" i="1"/>
  <c r="AS237" i="1"/>
  <c r="BJ237" i="1" s="1"/>
  <c r="AS223" i="1"/>
  <c r="BM223" i="1" s="1"/>
  <c r="AS197" i="1"/>
  <c r="BM197" i="1" s="1"/>
  <c r="AS173" i="1"/>
  <c r="BJ173" i="1" s="1"/>
  <c r="AS171" i="1"/>
  <c r="BJ171" i="1" s="1"/>
  <c r="AS169" i="1"/>
  <c r="BJ169" i="1" s="1"/>
  <c r="AS167" i="1"/>
  <c r="BJ167" i="1" s="1"/>
  <c r="AS165" i="1"/>
  <c r="BJ165" i="1" s="1"/>
  <c r="AS163" i="1"/>
  <c r="BJ163" i="1" s="1"/>
  <c r="AS161" i="1"/>
  <c r="BJ161" i="1" s="1"/>
  <c r="AS148" i="1"/>
  <c r="AS142" i="1"/>
  <c r="BM142" i="1" s="1"/>
  <c r="BH38" i="1"/>
  <c r="BI38" i="1" s="1"/>
  <c r="BH18" i="1"/>
  <c r="BI18" i="1" s="1"/>
  <c r="BH15" i="1"/>
  <c r="BI15" i="1" s="1"/>
  <c r="BH8" i="1"/>
  <c r="BI8" i="1" s="1"/>
  <c r="AS314" i="1"/>
  <c r="BF314" i="1" s="1"/>
  <c r="AS304" i="1"/>
  <c r="BF304" i="1" s="1"/>
  <c r="AS272" i="1"/>
  <c r="BM272" i="1" s="1"/>
  <c r="AS270" i="1"/>
  <c r="BM270" i="1" s="1"/>
  <c r="AS256" i="1"/>
  <c r="AS245" i="1"/>
  <c r="BJ245" i="1" s="1"/>
  <c r="BJ243" i="1"/>
  <c r="BK193" i="1"/>
  <c r="BL193" i="1" s="1"/>
  <c r="BF193" i="1"/>
  <c r="AS189" i="1"/>
  <c r="BM189" i="1" s="1"/>
  <c r="BJ159" i="1"/>
  <c r="BF155" i="1"/>
  <c r="AS150" i="1"/>
  <c r="AS145" i="1"/>
  <c r="BF139" i="1"/>
  <c r="AS137" i="1"/>
  <c r="BM137" i="1" s="1"/>
  <c r="BK136" i="1"/>
  <c r="BL136" i="1" s="1"/>
  <c r="BF136" i="1"/>
  <c r="BF135" i="1"/>
  <c r="BH135" i="1"/>
  <c r="BI135" i="1" s="1"/>
  <c r="BH134" i="1"/>
  <c r="BI134" i="1" s="1"/>
  <c r="BH133" i="1"/>
  <c r="BI133" i="1" s="1"/>
  <c r="BF132" i="1"/>
  <c r="BH132" i="1"/>
  <c r="BI132" i="1" s="1"/>
  <c r="BF131" i="1"/>
  <c r="BH131" i="1"/>
  <c r="BI131" i="1" s="1"/>
  <c r="BH130" i="1"/>
  <c r="BI130" i="1" s="1"/>
  <c r="BH129" i="1"/>
  <c r="BI129" i="1" s="1"/>
  <c r="BH128" i="1"/>
  <c r="BI128" i="1" s="1"/>
  <c r="BK123" i="1"/>
  <c r="BL123" i="1" s="1"/>
  <c r="BK122" i="1"/>
  <c r="BL122" i="1" s="1"/>
  <c r="BK121" i="1"/>
  <c r="BL121" i="1" s="1"/>
  <c r="BK117" i="1"/>
  <c r="BL117" i="1" s="1"/>
  <c r="BF117" i="1"/>
  <c r="BK114" i="1"/>
  <c r="BL114" i="1" s="1"/>
  <c r="BF114" i="1"/>
  <c r="BK112" i="1"/>
  <c r="BL112" i="1" s="1"/>
  <c r="BF112" i="1"/>
  <c r="BK111" i="1"/>
  <c r="BL111" i="1" s="1"/>
  <c r="BF111" i="1"/>
  <c r="BK108" i="1"/>
  <c r="BL108" i="1" s="1"/>
  <c r="BF108" i="1"/>
  <c r="BK106" i="1"/>
  <c r="BL106" i="1" s="1"/>
  <c r="BF106" i="1"/>
  <c r="BK105" i="1"/>
  <c r="BL105" i="1" s="1"/>
  <c r="BF105" i="1"/>
  <c r="BF104" i="1"/>
  <c r="BH104" i="1"/>
  <c r="BI104" i="1" s="1"/>
  <c r="BF103" i="1"/>
  <c r="BH103" i="1"/>
  <c r="BI103" i="1" s="1"/>
  <c r="BH102" i="1"/>
  <c r="BI102" i="1" s="1"/>
  <c r="BF101" i="1"/>
  <c r="BH101" i="1"/>
  <c r="BI101" i="1" s="1"/>
  <c r="BF100" i="1"/>
  <c r="BH100" i="1"/>
  <c r="BI100" i="1" s="1"/>
  <c r="BF99" i="1"/>
  <c r="BH99" i="1"/>
  <c r="BI99" i="1" s="1"/>
  <c r="BH98" i="1"/>
  <c r="BI98" i="1" s="1"/>
  <c r="BH97" i="1"/>
  <c r="BI97" i="1" s="1"/>
  <c r="BH96" i="1"/>
  <c r="BI96" i="1" s="1"/>
  <c r="BH95" i="1"/>
  <c r="BI95" i="1" s="1"/>
  <c r="BF94" i="1"/>
  <c r="BH94" i="1"/>
  <c r="BI94" i="1" s="1"/>
  <c r="BF93" i="1"/>
  <c r="BH93" i="1"/>
  <c r="BI93" i="1" s="1"/>
  <c r="BH92" i="1"/>
  <c r="BI92" i="1" s="1"/>
  <c r="BF91" i="1"/>
  <c r="BH91" i="1"/>
  <c r="BI91" i="1" s="1"/>
  <c r="BH90" i="1"/>
  <c r="BI90" i="1" s="1"/>
  <c r="BH89" i="1"/>
  <c r="BI89" i="1" s="1"/>
  <c r="BF88" i="1"/>
  <c r="BH88" i="1"/>
  <c r="BI88" i="1" s="1"/>
  <c r="BF87" i="1"/>
  <c r="BH87" i="1"/>
  <c r="BI87" i="1" s="1"/>
  <c r="BH86" i="1"/>
  <c r="BI86" i="1" s="1"/>
  <c r="BF85" i="1"/>
  <c r="BH85" i="1"/>
  <c r="BI85" i="1" s="1"/>
  <c r="BH84" i="1"/>
  <c r="BI84" i="1" s="1"/>
  <c r="BH83" i="1"/>
  <c r="BI83" i="1" s="1"/>
  <c r="BF82" i="1"/>
  <c r="BH82" i="1"/>
  <c r="BI82" i="1" s="1"/>
  <c r="BF81" i="1"/>
  <c r="BH81" i="1"/>
  <c r="BI81" i="1" s="1"/>
  <c r="BH80" i="1"/>
  <c r="BI80" i="1" s="1"/>
  <c r="BF79" i="1"/>
  <c r="BH79" i="1"/>
  <c r="BI79" i="1" s="1"/>
  <c r="BH78" i="1"/>
  <c r="BI78" i="1" s="1"/>
  <c r="BH77" i="1"/>
  <c r="BI77" i="1" s="1"/>
  <c r="BF75" i="1"/>
  <c r="BH75" i="1"/>
  <c r="BI75" i="1" s="1"/>
  <c r="BH74" i="1"/>
  <c r="BI74" i="1" s="1"/>
  <c r="BF73" i="1"/>
  <c r="BH73" i="1"/>
  <c r="BI73" i="1" s="1"/>
  <c r="BH72" i="1"/>
  <c r="BI72" i="1" s="1"/>
  <c r="BH71" i="1"/>
  <c r="BI71" i="1" s="1"/>
  <c r="BK69" i="1"/>
  <c r="BL69" i="1" s="1"/>
  <c r="BK67" i="1"/>
  <c r="BL67" i="1" s="1"/>
  <c r="BK65" i="1"/>
  <c r="BL65" i="1" s="1"/>
  <c r="BK64" i="1"/>
  <c r="BL64" i="1" s="1"/>
  <c r="BF64" i="1"/>
  <c r="BK62" i="1"/>
  <c r="BL62" i="1" s="1"/>
  <c r="BF62" i="1"/>
  <c r="BK60" i="1"/>
  <c r="BL60" i="1" s="1"/>
  <c r="BF60" i="1"/>
  <c r="BK58" i="1"/>
  <c r="BL58" i="1" s="1"/>
  <c r="BF58" i="1"/>
  <c r="BK57" i="1"/>
  <c r="BL57" i="1" s="1"/>
  <c r="BF56" i="1"/>
  <c r="BH56" i="1"/>
  <c r="BI56" i="1" s="1"/>
  <c r="BH55" i="1"/>
  <c r="BI55" i="1" s="1"/>
  <c r="BF54" i="1"/>
  <c r="BH54" i="1"/>
  <c r="BI54" i="1" s="1"/>
  <c r="BH53" i="1"/>
  <c r="BI53" i="1" s="1"/>
  <c r="BF52" i="1"/>
  <c r="BH52" i="1"/>
  <c r="BI52" i="1" s="1"/>
  <c r="BH51" i="1"/>
  <c r="BI51" i="1" s="1"/>
  <c r="BH50" i="1"/>
  <c r="BI50" i="1" s="1"/>
  <c r="BH49" i="1"/>
  <c r="BI49" i="1" s="1"/>
  <c r="BH48" i="1"/>
  <c r="BI48" i="1" s="1"/>
  <c r="BH47" i="1"/>
  <c r="BI47" i="1" s="1"/>
  <c r="BF46" i="1"/>
  <c r="BH46" i="1"/>
  <c r="BI46" i="1" s="1"/>
  <c r="BH45" i="1"/>
  <c r="BI45" i="1" s="1"/>
  <c r="BF44" i="1"/>
  <c r="BH44" i="1"/>
  <c r="BI44" i="1" s="1"/>
  <c r="BH43" i="1"/>
  <c r="BI43" i="1" s="1"/>
  <c r="BH42" i="1"/>
  <c r="BI42" i="1" s="1"/>
  <c r="BF41" i="1"/>
  <c r="BH41" i="1"/>
  <c r="BI41" i="1" s="1"/>
  <c r="BH40" i="1"/>
  <c r="BI40" i="1" s="1"/>
  <c r="BF39" i="1"/>
  <c r="BH39" i="1"/>
  <c r="BI39" i="1" s="1"/>
  <c r="BF37" i="1"/>
  <c r="BH37" i="1"/>
  <c r="BI37" i="1" s="1"/>
  <c r="BH36" i="1"/>
  <c r="BI36" i="1" s="1"/>
  <c r="BH35" i="1"/>
  <c r="BI35" i="1" s="1"/>
  <c r="BK33" i="1"/>
  <c r="BL33" i="1" s="1"/>
  <c r="BK31" i="1"/>
  <c r="BL31" i="1" s="1"/>
  <c r="BK29" i="1"/>
  <c r="BL29" i="1" s="1"/>
  <c r="BK28" i="1"/>
  <c r="BL28" i="1" s="1"/>
  <c r="BF28" i="1"/>
  <c r="BK26" i="1"/>
  <c r="BL26" i="1" s="1"/>
  <c r="BF26" i="1"/>
  <c r="BH22" i="1"/>
  <c r="BI22" i="1" s="1"/>
  <c r="BH16" i="1"/>
  <c r="BI16" i="1" s="1"/>
  <c r="BH14" i="1"/>
  <c r="BI14" i="1" s="1"/>
  <c r="BH13" i="1"/>
  <c r="BI13" i="1" s="1"/>
  <c r="BH12" i="1"/>
  <c r="BI12" i="1" s="1"/>
  <c r="BH11" i="1"/>
  <c r="BI11" i="1" s="1"/>
  <c r="BH10" i="1"/>
  <c r="BI10" i="1" s="1"/>
  <c r="BF9" i="1"/>
  <c r="BH9" i="1"/>
  <c r="BI9" i="1" s="1"/>
  <c r="AR256" i="1"/>
  <c r="AR254" i="1"/>
  <c r="AR252" i="1"/>
  <c r="BJ252" i="1" s="1"/>
  <c r="AR250" i="1"/>
  <c r="AR148" i="1"/>
  <c r="BJ131" i="1"/>
  <c r="AS130" i="1"/>
  <c r="BJ130" i="1" s="1"/>
  <c r="AS129" i="1"/>
  <c r="BF129" i="1" s="1"/>
  <c r="AS128" i="1"/>
  <c r="BF128" i="1" s="1"/>
  <c r="AS123" i="1"/>
  <c r="BM123" i="1" s="1"/>
  <c r="AS121" i="1"/>
  <c r="BM121" i="1" s="1"/>
  <c r="AS110" i="1"/>
  <c r="BM110" i="1" s="1"/>
  <c r="AS109" i="1"/>
  <c r="BM109" i="1" s="1"/>
  <c r="AS107" i="1"/>
  <c r="BM107" i="1" s="1"/>
  <c r="BM105" i="1"/>
  <c r="BJ104" i="1"/>
  <c r="AS19" i="1"/>
  <c r="BF19" i="1" s="1"/>
  <c r="AS18" i="1"/>
  <c r="BJ18" i="1" s="1"/>
  <c r="AS17" i="1"/>
  <c r="BF17" i="1" s="1"/>
  <c r="AS16" i="1"/>
  <c r="BJ16" i="1" s="1"/>
  <c r="AS15" i="1"/>
  <c r="BF15" i="1" s="1"/>
  <c r="AS14" i="1"/>
  <c r="BJ14" i="1" s="1"/>
  <c r="AS13" i="1"/>
  <c r="BF13" i="1" s="1"/>
  <c r="AS12" i="1"/>
  <c r="BJ12" i="1" s="1"/>
  <c r="AS11" i="1"/>
  <c r="BF11" i="1" s="1"/>
  <c r="AS10" i="1"/>
  <c r="BJ10" i="1" s="1"/>
  <c r="AS8" i="1"/>
  <c r="BJ8" i="1" s="1"/>
  <c r="AS6" i="1"/>
  <c r="AR248" i="1"/>
  <c r="BJ248" i="1" s="1"/>
  <c r="AR150" i="1"/>
  <c r="AR144" i="1"/>
  <c r="BJ144" i="1" s="1"/>
  <c r="BJ135" i="1"/>
  <c r="AS134" i="1"/>
  <c r="BJ134" i="1" s="1"/>
  <c r="AS133" i="1"/>
  <c r="BF133" i="1" s="1"/>
  <c r="AS127" i="1"/>
  <c r="BJ127" i="1" s="1"/>
  <c r="AS126" i="1"/>
  <c r="BJ126" i="1" s="1"/>
  <c r="AS125" i="1"/>
  <c r="BF125" i="1" s="1"/>
  <c r="AS124" i="1"/>
  <c r="BJ124" i="1" s="1"/>
  <c r="AS122" i="1"/>
  <c r="BM122" i="1" s="1"/>
  <c r="AS120" i="1"/>
  <c r="BM120" i="1" s="1"/>
  <c r="AS118" i="1"/>
  <c r="BF118" i="1" s="1"/>
  <c r="AS116" i="1"/>
  <c r="BM116" i="1" s="1"/>
  <c r="AS115" i="1"/>
  <c r="BM115" i="1" s="1"/>
  <c r="AS113" i="1"/>
  <c r="BM113" i="1" s="1"/>
  <c r="BM111" i="1"/>
  <c r="BJ100" i="1"/>
  <c r="AS98" i="1"/>
  <c r="BJ98" i="1" s="1"/>
  <c r="AS97" i="1"/>
  <c r="BJ97" i="1" s="1"/>
  <c r="AS96" i="1"/>
  <c r="BF96" i="1" s="1"/>
  <c r="AS95" i="1"/>
  <c r="BJ95" i="1" s="1"/>
  <c r="AS92" i="1"/>
  <c r="BJ92" i="1" s="1"/>
  <c r="AS90" i="1"/>
  <c r="BJ90" i="1" s="1"/>
  <c r="AS89" i="1"/>
  <c r="BJ89" i="1" s="1"/>
  <c r="AS86" i="1"/>
  <c r="BJ86" i="1" s="1"/>
  <c r="AS84" i="1"/>
  <c r="BJ84" i="1" s="1"/>
  <c r="AS83" i="1"/>
  <c r="BF83" i="1" s="1"/>
  <c r="AS80" i="1"/>
  <c r="BJ80" i="1" s="1"/>
  <c r="AS78" i="1"/>
  <c r="BJ78" i="1" s="1"/>
  <c r="AS77" i="1"/>
  <c r="BJ77" i="1" s="1"/>
  <c r="AS74" i="1"/>
  <c r="BJ74" i="1" s="1"/>
  <c r="AS72" i="1"/>
  <c r="BJ72" i="1" s="1"/>
  <c r="AS71" i="1"/>
  <c r="BF71" i="1" s="1"/>
  <c r="AS69" i="1"/>
  <c r="BM69" i="1" s="1"/>
  <c r="AS67" i="1"/>
  <c r="BM67" i="1" s="1"/>
  <c r="AS65" i="1"/>
  <c r="BM65" i="1" s="1"/>
  <c r="AS57" i="1"/>
  <c r="BM57" i="1" s="1"/>
  <c r="AS55" i="1"/>
  <c r="BJ55" i="1" s="1"/>
  <c r="AS53" i="1"/>
  <c r="BJ53" i="1" s="1"/>
  <c r="AS51" i="1"/>
  <c r="BJ51" i="1" s="1"/>
  <c r="AS50" i="1"/>
  <c r="BJ50" i="1" s="1"/>
  <c r="AS48" i="1"/>
  <c r="AS45" i="1"/>
  <c r="BJ45" i="1" s="1"/>
  <c r="AS43" i="1"/>
  <c r="BJ43" i="1" s="1"/>
  <c r="AS42" i="1"/>
  <c r="BJ42" i="1" s="1"/>
  <c r="AS40" i="1"/>
  <c r="BJ40" i="1" s="1"/>
  <c r="AS38" i="1"/>
  <c r="BJ38" i="1" s="1"/>
  <c r="AS36" i="1"/>
  <c r="BJ36" i="1" s="1"/>
  <c r="AS35" i="1"/>
  <c r="BJ35" i="1" s="1"/>
  <c r="AS33" i="1"/>
  <c r="BM33" i="1" s="1"/>
  <c r="AS31" i="1"/>
  <c r="BM31" i="1" s="1"/>
  <c r="AS29" i="1"/>
  <c r="BM29" i="1" s="1"/>
  <c r="AS24" i="1"/>
  <c r="BF24" i="1" s="1"/>
  <c r="AS23" i="1"/>
  <c r="BF23" i="1" s="1"/>
  <c r="AS22" i="1"/>
  <c r="BF22" i="1" s="1"/>
  <c r="AP548" i="1"/>
  <c r="AP1" i="1" s="1"/>
  <c r="BF472" i="1" l="1"/>
  <c r="BM508" i="1"/>
  <c r="BJ526" i="1"/>
  <c r="BF479" i="1"/>
  <c r="BF526" i="1"/>
  <c r="BF539" i="1"/>
  <c r="AR497" i="1"/>
  <c r="BJ497" i="1" s="1"/>
  <c r="BM477" i="1"/>
  <c r="BJ535" i="1"/>
  <c r="BF535" i="1"/>
  <c r="BF530" i="1"/>
  <c r="BM515" i="1"/>
  <c r="BF517" i="1"/>
  <c r="BM524" i="1"/>
  <c r="BF525" i="1"/>
  <c r="AZ548" i="1"/>
  <c r="AZ1" i="1" s="1"/>
  <c r="AY548" i="1"/>
  <c r="AY1" i="1" s="1"/>
  <c r="BJ527" i="1"/>
  <c r="BJ500" i="1"/>
  <c r="BF527" i="1"/>
  <c r="BM510" i="1"/>
  <c r="BF523" i="1"/>
  <c r="BF506" i="1"/>
  <c r="BJ540" i="1"/>
  <c r="BF540" i="1"/>
  <c r="BJ506" i="1"/>
  <c r="BM528" i="1"/>
  <c r="BM538" i="1"/>
  <c r="BM530" i="1"/>
  <c r="BF524" i="1"/>
  <c r="BJ490" i="1"/>
  <c r="BM490" i="1"/>
  <c r="BM474" i="1"/>
  <c r="BM537" i="1"/>
  <c r="BF538" i="1"/>
  <c r="BF528" i="1"/>
  <c r="BF251" i="1"/>
  <c r="BF260" i="1"/>
  <c r="BF411" i="1"/>
  <c r="BF147" i="1"/>
  <c r="BM345" i="1"/>
  <c r="BF533" i="1"/>
  <c r="BJ432" i="1"/>
  <c r="BF256" i="1"/>
  <c r="BM254" i="1"/>
  <c r="BF253" i="1"/>
  <c r="BF47" i="1"/>
  <c r="BJ321" i="1"/>
  <c r="BJ430" i="1"/>
  <c r="BJ326" i="1"/>
  <c r="BJ473" i="1"/>
  <c r="BF303" i="1"/>
  <c r="BF311" i="1"/>
  <c r="BJ334" i="1"/>
  <c r="BF353" i="1"/>
  <c r="BJ350" i="1"/>
  <c r="BF144" i="1"/>
  <c r="BF388" i="1"/>
  <c r="BF234" i="1"/>
  <c r="BF468" i="1"/>
  <c r="BF508" i="1"/>
  <c r="BF348" i="1"/>
  <c r="BF453" i="1"/>
  <c r="BF496" i="1"/>
  <c r="BF33" i="1"/>
  <c r="BF252" i="1"/>
  <c r="BF276" i="1"/>
  <c r="BM314" i="1"/>
  <c r="BF63" i="1"/>
  <c r="BF48" i="1"/>
  <c r="BM119" i="1"/>
  <c r="BF436" i="1"/>
  <c r="BF277" i="1"/>
  <c r="BF378" i="1"/>
  <c r="BF418" i="1"/>
  <c r="BM434" i="1"/>
  <c r="BF402" i="1"/>
  <c r="BF355" i="1"/>
  <c r="BF49" i="1"/>
  <c r="BF289" i="1"/>
  <c r="BF395" i="1"/>
  <c r="BJ150" i="1"/>
  <c r="BF102" i="1"/>
  <c r="BJ348" i="1"/>
  <c r="BJ188" i="1"/>
  <c r="BF188" i="1"/>
  <c r="BM525" i="1"/>
  <c r="BJ355" i="1"/>
  <c r="BM453" i="1"/>
  <c r="BF197" i="1"/>
  <c r="BM356" i="1"/>
  <c r="BF257" i="1"/>
  <c r="BF59" i="1"/>
  <c r="BF416" i="1"/>
  <c r="BF478" i="1"/>
  <c r="BF65" i="1"/>
  <c r="BJ303" i="1"/>
  <c r="BF237" i="1"/>
  <c r="BF272" i="1"/>
  <c r="BF315" i="1"/>
  <c r="BF330" i="1"/>
  <c r="BF427" i="1"/>
  <c r="BF324" i="1"/>
  <c r="BM148" i="1"/>
  <c r="BF123" i="1"/>
  <c r="BJ288" i="1"/>
  <c r="BJ250" i="1"/>
  <c r="BJ290" i="1"/>
  <c r="BF244" i="1"/>
  <c r="BF317" i="1"/>
  <c r="BF361" i="1"/>
  <c r="BF344" i="1"/>
  <c r="BF29" i="1"/>
  <c r="BF69" i="1"/>
  <c r="BF393" i="1"/>
  <c r="BM353" i="1"/>
  <c r="BF337" i="1"/>
  <c r="BF248" i="1"/>
  <c r="BM256" i="1"/>
  <c r="BJ331" i="1"/>
  <c r="BF142" i="1"/>
  <c r="BF365" i="1"/>
  <c r="BF264" i="1"/>
  <c r="BF261" i="1"/>
  <c r="BJ335" i="1"/>
  <c r="BJ329" i="1"/>
  <c r="BF327" i="1"/>
  <c r="BF328" i="1"/>
  <c r="BF332" i="1"/>
  <c r="AS548" i="1"/>
  <c r="AS1" i="1" s="1"/>
  <c r="BF31" i="1"/>
  <c r="BF57" i="1"/>
  <c r="BF67" i="1"/>
  <c r="BF121" i="1"/>
  <c r="BF122" i="1"/>
  <c r="BF137" i="1"/>
  <c r="BF150" i="1"/>
  <c r="BF223" i="1"/>
  <c r="BF270" i="1"/>
  <c r="BF291" i="1"/>
  <c r="BF357" i="1"/>
  <c r="BF359" i="1"/>
  <c r="BF363" i="1"/>
  <c r="BF367" i="1"/>
  <c r="BF398" i="1"/>
  <c r="BF474" i="1"/>
  <c r="BF516" i="1"/>
  <c r="BF536" i="1"/>
  <c r="BJ22" i="1"/>
  <c r="BM24" i="1"/>
  <c r="BJ48" i="1"/>
  <c r="BJ71" i="1"/>
  <c r="BJ83" i="1"/>
  <c r="BJ96" i="1"/>
  <c r="BM118" i="1"/>
  <c r="BJ125" i="1"/>
  <c r="BJ133" i="1"/>
  <c r="BJ145" i="1"/>
  <c r="BJ266" i="1"/>
  <c r="BJ11" i="1"/>
  <c r="BJ13" i="1"/>
  <c r="BJ15" i="1"/>
  <c r="BJ17" i="1"/>
  <c r="BJ19" i="1"/>
  <c r="BJ128" i="1"/>
  <c r="BJ129" i="1"/>
  <c r="BL24" i="1"/>
  <c r="BL548" i="1" s="1"/>
  <c r="BL1" i="1" s="1"/>
  <c r="BK548" i="1"/>
  <c r="BK1" i="1" s="1"/>
  <c r="BF61" i="1"/>
  <c r="BF124" i="1"/>
  <c r="BF126" i="1"/>
  <c r="BF127" i="1"/>
  <c r="BH548" i="1"/>
  <c r="BH1" i="1" s="1"/>
  <c r="BI6" i="1"/>
  <c r="BI548" i="1" s="1"/>
  <c r="BI1" i="1" s="1"/>
  <c r="BJ292" i="1"/>
  <c r="BJ304" i="1"/>
  <c r="BF347" i="1"/>
  <c r="BF349" i="1"/>
  <c r="BF350" i="1"/>
  <c r="BF354" i="1"/>
  <c r="BJ388" i="1"/>
  <c r="BJ395" i="1"/>
  <c r="BJ436" i="1"/>
  <c r="BF379" i="1"/>
  <c r="BF421" i="1"/>
  <c r="BF422" i="1"/>
  <c r="BF434" i="1"/>
  <c r="BF451" i="1"/>
  <c r="BJ469" i="1"/>
  <c r="BF475" i="1"/>
  <c r="BF510" i="1"/>
  <c r="BF514" i="1"/>
  <c r="BF519" i="1"/>
  <c r="BM352" i="1"/>
  <c r="BF10" i="1"/>
  <c r="BF12" i="1"/>
  <c r="BF14" i="1"/>
  <c r="BF16" i="1"/>
  <c r="BF35" i="1"/>
  <c r="BF36" i="1"/>
  <c r="BF40" i="1"/>
  <c r="BF42" i="1"/>
  <c r="BF43" i="1"/>
  <c r="BF45" i="1"/>
  <c r="BF50" i="1"/>
  <c r="BF51" i="1"/>
  <c r="BF53" i="1"/>
  <c r="BF55" i="1"/>
  <c r="BF72" i="1"/>
  <c r="BF74" i="1"/>
  <c r="BF77" i="1"/>
  <c r="BF78" i="1"/>
  <c r="BF80" i="1"/>
  <c r="BF84" i="1"/>
  <c r="BF86" i="1"/>
  <c r="BF89" i="1"/>
  <c r="BF90" i="1"/>
  <c r="BF92" i="1"/>
  <c r="BF95" i="1"/>
  <c r="BF97" i="1"/>
  <c r="BF98" i="1"/>
  <c r="BF130" i="1"/>
  <c r="BF134" i="1"/>
  <c r="BF8" i="1"/>
  <c r="BF18" i="1"/>
  <c r="BF38" i="1"/>
  <c r="BF356" i="1"/>
  <c r="BF369" i="1"/>
  <c r="BF370" i="1"/>
  <c r="BF384" i="1"/>
  <c r="BF390" i="1"/>
  <c r="BF440" i="1"/>
  <c r="BF444" i="1"/>
  <c r="BF448" i="1"/>
  <c r="BF454" i="1"/>
  <c r="BF455" i="1"/>
  <c r="BF485" i="1"/>
  <c r="BF488" i="1"/>
  <c r="BF491" i="1"/>
  <c r="BF497" i="1"/>
  <c r="BF504" i="1"/>
  <c r="BJ6" i="1"/>
  <c r="BJ23" i="1"/>
  <c r="BM258" i="1"/>
  <c r="BF107" i="1"/>
  <c r="BF109" i="1"/>
  <c r="BF110" i="1"/>
  <c r="BF113" i="1"/>
  <c r="BF115" i="1"/>
  <c r="BF116" i="1"/>
  <c r="BF120" i="1"/>
  <c r="BF6" i="1"/>
  <c r="AR548" i="1"/>
  <c r="AR1" i="1" s="1"/>
  <c r="BF7" i="1"/>
  <c r="BF138" i="1"/>
  <c r="BF145" i="1"/>
  <c r="BF148" i="1"/>
  <c r="BF151" i="1"/>
  <c r="BF161" i="1"/>
  <c r="BF163" i="1"/>
  <c r="BF165" i="1"/>
  <c r="BF167" i="1"/>
  <c r="BF169" i="1"/>
  <c r="BF171" i="1"/>
  <c r="BF173" i="1"/>
  <c r="BF189" i="1"/>
  <c r="BF212" i="1"/>
  <c r="BF240" i="1"/>
  <c r="BF245" i="1"/>
  <c r="BF250" i="1"/>
  <c r="BF254" i="1"/>
  <c r="BF258" i="1"/>
  <c r="BF266" i="1"/>
  <c r="BF269" i="1"/>
  <c r="BF271" i="1"/>
  <c r="BF316" i="1"/>
  <c r="BF322" i="1"/>
  <c r="BF336" i="1"/>
  <c r="BF342" i="1"/>
  <c r="BJ411" i="1"/>
  <c r="BF417" i="1"/>
  <c r="BF430" i="1"/>
  <c r="BF442" i="1"/>
  <c r="BF446" i="1"/>
  <c r="BF450" i="1"/>
  <c r="BF486" i="1"/>
  <c r="BF490" i="1"/>
  <c r="BF493" i="1"/>
  <c r="BF498" i="1"/>
  <c r="BF502" i="1"/>
  <c r="BF520" i="1"/>
  <c r="BJ548" i="1" l="1"/>
  <c r="BJ1" i="1" s="1"/>
  <c r="BM548" i="1"/>
  <c r="BM1" i="1" s="1"/>
  <c r="BF548" i="1"/>
  <c r="BG548" i="1" l="1"/>
  <c r="BN548" i="1" s="1"/>
  <c r="BF1" i="1"/>
  <c r="A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Морозова Анастасия Дмитриевна</author>
    <author>Олег В. Игнатьев</author>
  </authors>
  <commentList>
    <comment ref="A3" authorId="0" shapeId="0" xr:uid="{00000000-0006-0000-0000-000001000000}">
      <text>
        <r>
          <rPr>
            <sz val="10"/>
            <rFont val="Arial"/>
            <family val="2"/>
          </rPr>
          <t xml:space="preserve">Морозова Анастасия Дмитриевна:
</t>
        </r>
        <r>
          <rPr>
            <sz val="9"/>
            <color rgb="FF000000"/>
            <rFont val="Tahoma"/>
            <family val="2"/>
            <charset val="204"/>
          </rPr>
          <t>Заполняются автоматически</t>
        </r>
      </text>
    </comment>
    <comment ref="B3" authorId="0" shapeId="0" xr:uid="{00000000-0006-0000-0000-000002000000}">
      <text>
        <r>
          <rPr>
            <sz val="10"/>
            <rFont val="Arial"/>
            <family val="2"/>
          </rPr>
          <t xml:space="preserve">Морозова Анастасия Дмитриевна:
</t>
        </r>
        <r>
          <rPr>
            <sz val="9"/>
            <color rgb="FF000000"/>
            <rFont val="Tahoma"/>
            <family val="2"/>
            <charset val="204"/>
          </rPr>
          <t>Заполняются автоматически</t>
        </r>
      </text>
    </comment>
    <comment ref="G3" authorId="1" shapeId="0" xr:uid="{00000000-0006-0000-0000-000003000000}">
      <text>
        <r>
          <rPr>
            <sz val="10"/>
            <rFont val="Arial"/>
            <family val="2"/>
          </rPr>
          <t xml:space="preserve">Олег В. Игнатьев:
</t>
        </r>
        <r>
          <rPr>
            <sz val="9"/>
            <color rgb="FF000000"/>
            <rFont val="Tahoma"/>
            <family val="2"/>
            <charset val="204"/>
          </rPr>
          <t>В соответствии с рабочим учебным планом</t>
        </r>
      </text>
    </comment>
    <comment ref="N3" authorId="1" shapeId="0" xr:uid="{00000000-0006-0000-0000-000004000000}">
      <text>
        <r>
          <rPr>
            <sz val="10"/>
            <rFont val="Arial"/>
            <family val="2"/>
          </rPr>
          <t xml:space="preserve">Олег В. Игнатьев:
</t>
        </r>
        <r>
          <rPr>
            <sz val="9"/>
            <color rgb="FF000000"/>
            <rFont val="Tahoma"/>
            <family val="2"/>
            <charset val="204"/>
          </rPr>
          <t>Выбор значения из выпадающего списка</t>
        </r>
      </text>
    </comment>
    <comment ref="R3" authorId="1" shapeId="0" xr:uid="{00000000-0006-0000-0000-000005000000}">
      <text>
        <r>
          <rPr>
            <sz val="10"/>
            <rFont val="Arial"/>
            <family val="2"/>
          </rPr>
          <t xml:space="preserve">Олег В. Игнатьев:
</t>
        </r>
        <r>
          <rPr>
            <sz val="9"/>
            <color rgb="FF000000"/>
            <rFont val="Tahoma"/>
            <family val="2"/>
            <charset val="204"/>
          </rPr>
          <t>Выбор значения из выпадающего списка</t>
        </r>
      </text>
    </comment>
    <comment ref="S3" authorId="1" shapeId="0" xr:uid="{00000000-0006-0000-0000-000006000000}">
      <text>
        <r>
          <rPr>
            <sz val="10"/>
            <rFont val="Arial"/>
            <family val="2"/>
          </rPr>
          <t xml:space="preserve">Олег В. Игнатьев:
</t>
        </r>
        <r>
          <rPr>
            <sz val="9"/>
            <color rgb="FF000000"/>
            <rFont val="Tahoma"/>
            <family val="2"/>
            <charset val="204"/>
          </rPr>
          <t>К - курсовая работа
М - история болезни</t>
        </r>
      </text>
    </comment>
    <comment ref="T3" authorId="1" shapeId="0" xr:uid="{00000000-0006-0000-0000-000007000000}">
      <text>
        <r>
          <rPr>
            <sz val="10"/>
            <rFont val="Arial"/>
            <family val="2"/>
          </rPr>
          <t xml:space="preserve">Олег В. Игнатьев:
</t>
        </r>
        <r>
          <rPr>
            <sz val="9"/>
            <color rgb="FF000000"/>
            <rFont val="Tahoma"/>
            <family val="2"/>
            <charset val="204"/>
          </rPr>
          <t>К - курсоввой проект</t>
        </r>
      </text>
    </comment>
    <comment ref="AI3" authorId="1" shapeId="0" xr:uid="{00000000-0006-0000-0000-000008000000}">
      <text>
        <r>
          <rPr>
            <sz val="10"/>
            <rFont val="Arial"/>
            <family val="2"/>
          </rPr>
          <t xml:space="preserve">Олег В. Игнатьев:
</t>
        </r>
        <r>
          <rPr>
            <sz val="9"/>
            <color rgb="FF000000"/>
            <rFont val="Tahoma"/>
            <family val="2"/>
            <charset val="204"/>
          </rPr>
          <t xml:space="preserve">Выбирается из списка
</t>
        </r>
      </text>
    </comment>
    <comment ref="AJ3" authorId="1" shapeId="0" xr:uid="{00000000-0006-0000-0000-000009000000}">
      <text>
        <r>
          <rPr>
            <sz val="10"/>
            <rFont val="Arial"/>
            <family val="2"/>
          </rPr>
          <t xml:space="preserve">Олег В. Игнатьев:
</t>
        </r>
        <r>
          <rPr>
            <sz val="9"/>
            <color rgb="FF000000"/>
            <rFont val="Tahoma"/>
            <family val="2"/>
            <charset val="204"/>
          </rPr>
          <t>Выбирается из списка</t>
        </r>
      </text>
    </comment>
    <comment ref="AL3" authorId="0" shapeId="0" xr:uid="{00000000-0006-0000-0000-00000A000000}">
      <text>
        <r>
          <rPr>
            <sz val="10"/>
            <rFont val="Arial"/>
            <family val="2"/>
          </rPr>
          <t xml:space="preserve">Морозова Анастасия Дмитриевна:
</t>
        </r>
        <r>
          <rPr>
            <sz val="9"/>
            <color rgb="FF000000"/>
            <rFont val="Tahoma"/>
            <family val="2"/>
            <charset val="204"/>
          </rPr>
          <t>Выбирается из списка</t>
        </r>
      </text>
    </comment>
    <comment ref="C4" authorId="1" shapeId="0" xr:uid="{00000000-0006-0000-0000-00000B000000}">
      <text>
        <r>
          <rPr>
            <sz val="10"/>
            <rFont val="Arial"/>
            <family val="2"/>
          </rPr>
          <t xml:space="preserve">Олег В. Игнатьев:
</t>
        </r>
        <r>
          <rPr>
            <b/>
            <sz val="11"/>
            <color rgb="FF000000"/>
            <rFont val="Tahoma"/>
            <family val="2"/>
            <charset val="204"/>
          </rPr>
          <t>Необходимо найти Шифр в первой колонке на листе "Контингент ООП" и скопировать его в этот столбец!</t>
        </r>
      </text>
    </comment>
    <comment ref="E4" authorId="1" shapeId="0" xr:uid="{00000000-0006-0000-0000-00000C000000}">
      <text>
        <r>
          <rPr>
            <sz val="10"/>
            <rFont val="Arial"/>
            <family val="2"/>
          </rPr>
          <t xml:space="preserve">Олег В. Игнатьев:
</t>
        </r>
        <r>
          <rPr>
            <sz val="9"/>
            <color rgb="FF000000"/>
            <rFont val="Tahoma"/>
            <family val="2"/>
            <charset val="204"/>
          </rPr>
          <t>Заполняются автоматически</t>
        </r>
      </text>
    </comment>
    <comment ref="F4" authorId="1" shapeId="0" xr:uid="{00000000-0006-0000-0000-00000D000000}">
      <text>
        <r>
          <rPr>
            <sz val="10"/>
            <rFont val="Arial"/>
            <family val="2"/>
          </rPr>
          <t xml:space="preserve">Олег В. Игнатьев:
</t>
        </r>
        <r>
          <rPr>
            <sz val="9"/>
            <color rgb="FF000000"/>
            <rFont val="Tahoma"/>
            <family val="2"/>
            <charset val="204"/>
          </rPr>
          <t>Заполняются автоматическм</t>
        </r>
      </text>
    </comment>
    <comment ref="G4" authorId="0" shapeId="0" xr:uid="{00000000-0006-0000-0000-00000E000000}">
      <text>
        <r>
          <rPr>
            <sz val="10"/>
            <rFont val="Arial"/>
            <family val="2"/>
          </rPr>
          <t xml:space="preserve">Морозова Анастасия Дмитриевна:
</t>
        </r>
        <r>
          <rPr>
            <sz val="9"/>
            <color rgb="FF000000"/>
            <rFont val="Tahoma"/>
            <family val="2"/>
            <charset val="204"/>
          </rPr>
          <t>Б.1. - Теоретическое обучение
Б.2. - Практики и НИР
Б.3. - Итоговая аттестация
ФТД - Факультативные дисциплины</t>
        </r>
      </text>
    </comment>
    <comment ref="X4" authorId="1" shapeId="0" xr:uid="{00000000-0006-0000-0000-00000F000000}">
      <text>
        <r>
          <rPr>
            <sz val="10"/>
            <rFont val="Arial"/>
            <family val="2"/>
          </rPr>
          <t xml:space="preserve">Олег В. Игнатьев:
</t>
        </r>
        <r>
          <rPr>
            <sz val="9"/>
            <color rgb="FF000000"/>
            <rFont val="Tahoma"/>
            <family val="2"/>
            <charset val="204"/>
          </rPr>
          <t>Формируется автоматически</t>
        </r>
      </text>
    </comment>
  </commentList>
</comments>
</file>

<file path=xl/sharedStrings.xml><?xml version="1.0" encoding="utf-8"?>
<sst xmlns="http://schemas.openxmlformats.org/spreadsheetml/2006/main" count="16478" uniqueCount="2830">
  <si>
    <t>Название кафедры / уч. департамента:</t>
  </si>
  <si>
    <r>
      <rPr>
        <b/>
        <sz val="12"/>
        <color rgb="FFFF0000"/>
        <rFont val="Calibri"/>
        <family val="2"/>
        <charset val="204"/>
      </rPr>
      <t xml:space="preserve">Кафедра </t>
    </r>
    <r>
      <rPr>
        <b/>
        <i/>
        <sz val="12"/>
        <color rgb="FFFF0000"/>
        <rFont val="Calibri"/>
        <family val="2"/>
        <charset val="204"/>
      </rPr>
      <t>МАТЕМАТИЧЕСКОГО МОДЕЛИРОВАНИЯ И ИСКУССТВЕННОГО ИНТЕЛЛЕКТА</t>
    </r>
  </si>
  <si>
    <t>Учебная работа (по рабочему учебному плану)</t>
  </si>
  <si>
    <t>Контингент обучающихся</t>
  </si>
  <si>
    <t>Сведения о ППС</t>
  </si>
  <si>
    <t>Объём учебной работы ППС</t>
  </si>
  <si>
    <t>ИТОГО</t>
  </si>
  <si>
    <t>Осенний семестр</t>
  </si>
  <si>
    <t>Весенний семестр</t>
  </si>
  <si>
    <t>Форма обучения</t>
  </si>
  <si>
    <t>Уровень ОП</t>
  </si>
  <si>
    <t>Образовательная программа</t>
  </si>
  <si>
    <t>Дисциплина или вид учебной  работы</t>
  </si>
  <si>
    <t>Семестр ; Модуль</t>
  </si>
  <si>
    <t>Недель в семестре (модуле)</t>
  </si>
  <si>
    <t>Вид учебной работы</t>
  </si>
  <si>
    <t>Ауд. нагр. 
(час. в нед.)</t>
  </si>
  <si>
    <t>Вид ПА или ГИА</t>
  </si>
  <si>
    <t>Курс. работы</t>
  </si>
  <si>
    <t>Курс. проекты</t>
  </si>
  <si>
    <t>Уч. пр. (ЗЕ по РУП)</t>
  </si>
  <si>
    <t>Пр. пр. (ЗЕ по РУП)</t>
  </si>
  <si>
    <t>НИР (ЗЕ по РУП)</t>
  </si>
  <si>
    <t>Учебная группа 
(поток)</t>
  </si>
  <si>
    <t>Кол-во чел. в группе (потоке)</t>
  </si>
  <si>
    <t>Кафедра/департамент</t>
  </si>
  <si>
    <t>должность</t>
  </si>
  <si>
    <t xml:space="preserve">условия привлечения </t>
  </si>
  <si>
    <t>Фамилия И.О.  преподавателя</t>
  </si>
  <si>
    <t>Особый признак</t>
  </si>
  <si>
    <t>Лекции</t>
  </si>
  <si>
    <t>Практика / Семинары</t>
  </si>
  <si>
    <t>Лаб. работы / Клинические занятия</t>
  </si>
  <si>
    <t>Текущий контроль</t>
  </si>
  <si>
    <t>Промежуточная аттестация (ПА) по БРС</t>
  </si>
  <si>
    <t>Оформление результатов ПА</t>
  </si>
  <si>
    <t>Текущие консультации по дисциплине</t>
  </si>
  <si>
    <t>Курсовые работы</t>
  </si>
  <si>
    <t>Курсовые проекты</t>
  </si>
  <si>
    <t>Учебная практика</t>
  </si>
  <si>
    <t>Произв., педагогическая и преддипломная практики</t>
  </si>
  <si>
    <t>НИР</t>
  </si>
  <si>
    <t>Практики (в т.ч. НИР) цифровых магистратур</t>
  </si>
  <si>
    <t>Рецензирование рефератов аспирантов</t>
  </si>
  <si>
    <t>Кандидатский экзамен</t>
  </si>
  <si>
    <t>Научное руководство</t>
  </si>
  <si>
    <t>Руководство ВКР или НКР, в том числе Организация и сопровождение Первичной аккредитации МИ</t>
  </si>
  <si>
    <t>Рецензирование ВКР</t>
  </si>
  <si>
    <t xml:space="preserve">ГЭК </t>
  </si>
  <si>
    <t>Аудиторная работа</t>
  </si>
  <si>
    <t>Пар в неделю</t>
  </si>
  <si>
    <t>Внеаудиторная работа</t>
  </si>
  <si>
    <t>Шифр ООП РУДН</t>
  </si>
  <si>
    <t>ОУП</t>
  </si>
  <si>
    <t>Код направления</t>
  </si>
  <si>
    <t>Наименование программы</t>
  </si>
  <si>
    <t>Блок</t>
  </si>
  <si>
    <t>Компонента</t>
  </si>
  <si>
    <t>№ в РУП</t>
  </si>
  <si>
    <t>доп.инфо</t>
  </si>
  <si>
    <t>Наименование дисциплины или вида учебной работы</t>
  </si>
  <si>
    <t>Лекций</t>
  </si>
  <si>
    <t>Лаб. работы</t>
  </si>
  <si>
    <t>Пр. занятия</t>
  </si>
  <si>
    <t>Код</t>
  </si>
  <si>
    <t>Номер группы</t>
  </si>
  <si>
    <t>Подгрупп</t>
  </si>
  <si>
    <t>Групп</t>
  </si>
  <si>
    <t>Всего</t>
  </si>
  <si>
    <t>РФ</t>
  </si>
  <si>
    <t>ИН</t>
  </si>
  <si>
    <t>Норматив</t>
  </si>
  <si>
    <t>Рассчетных</t>
  </si>
  <si>
    <t>ПК</t>
  </si>
  <si>
    <t>3.1</t>
  </si>
  <si>
    <t>НПИбд00р-л000-4.00</t>
  </si>
  <si>
    <t>Б.1.</t>
  </si>
  <si>
    <t>Б</t>
  </si>
  <si>
    <t>Алгебра и аналитическая геометрия</t>
  </si>
  <si>
    <t>лек</t>
  </si>
  <si>
    <t>Экз</t>
  </si>
  <si>
    <t>01,02,03-25</t>
  </si>
  <si>
    <t>кафедра математического моделирования и искусственного интеллекта</t>
  </si>
  <si>
    <t>доц.</t>
  </si>
  <si>
    <t>штат.</t>
  </si>
  <si>
    <t>Тютюнник А.А.</t>
  </si>
  <si>
    <t>пр</t>
  </si>
  <si>
    <t>01-25</t>
  </si>
  <si>
    <t>02-25</t>
  </si>
  <si>
    <t>03-25</t>
  </si>
  <si>
    <t>5</t>
  </si>
  <si>
    <t>Цифровая грамотность, основы программирования</t>
  </si>
  <si>
    <t>01, 02, 03-25</t>
  </si>
  <si>
    <t>Салпагаров С.И.</t>
  </si>
  <si>
    <t>лаб</t>
  </si>
  <si>
    <t>Зач</t>
  </si>
  <si>
    <t>Введение в специальность</t>
  </si>
  <si>
    <t>Малых М.Д.</t>
  </si>
  <si>
    <t>Введение в анализ и визуализацию данных</t>
  </si>
  <si>
    <t>ассист.</t>
  </si>
  <si>
    <t>внутр.</t>
  </si>
  <si>
    <t>Кройтор О.К.</t>
  </si>
  <si>
    <t>Символьные методы математического анализа</t>
  </si>
  <si>
    <t>Цифровая грамотность, технология программирования</t>
  </si>
  <si>
    <t>Фомин М.Б.</t>
  </si>
  <si>
    <t>Python и его приложения</t>
  </si>
  <si>
    <t>01, 02, 03-24</t>
  </si>
  <si>
    <t>01-24</t>
  </si>
  <si>
    <t>02-24</t>
  </si>
  <si>
    <t>Мамонов А.А.</t>
  </si>
  <si>
    <t>03-24</t>
  </si>
  <si>
    <t>Социальные и этические вопросы информационных технологий</t>
  </si>
  <si>
    <t>ст.пр.</t>
  </si>
  <si>
    <t>Александрова Л.В.</t>
  </si>
  <si>
    <t>Теоретические основы информатики</t>
  </si>
  <si>
    <t>проф.</t>
  </si>
  <si>
    <t>внеш.</t>
  </si>
  <si>
    <t>Хачумов В.М.</t>
  </si>
  <si>
    <t>Основы Web-технологий</t>
  </si>
  <si>
    <t>Виноградов А.Н.</t>
  </si>
  <si>
    <t>Пальчевский А.И.</t>
  </si>
  <si>
    <t>Интеллектуальные системы</t>
  </si>
  <si>
    <t>Хачумов М.В.</t>
  </si>
  <si>
    <t>Лукин А.В.</t>
  </si>
  <si>
    <t>Структуры данных и парадигмы программирования</t>
  </si>
  <si>
    <t>Реляционные базы данных</t>
  </si>
  <si>
    <t>01, 02, 03-23</t>
  </si>
  <si>
    <t>Панкратов А.С.</t>
  </si>
  <si>
    <t>01-23</t>
  </si>
  <si>
    <t>02-23</t>
  </si>
  <si>
    <t>03-23</t>
  </si>
  <si>
    <t>Теория автоматов и формальных языков</t>
  </si>
  <si>
    <t>Алгоритмы машинной графики и обработки изображений</t>
  </si>
  <si>
    <t>Управление проектами разработки информационных систем</t>
  </si>
  <si>
    <t>Левичев И.В.</t>
  </si>
  <si>
    <t>Э</t>
  </si>
  <si>
    <t>2</t>
  </si>
  <si>
    <t>1/4</t>
  </si>
  <si>
    <t>Прикладное программное обеспечение: проектирование, управление проектом, разработка и документация</t>
  </si>
  <si>
    <t>Введение в программирование для мобильных платформ</t>
  </si>
  <si>
    <t>Технологии искусственного интеллекта</t>
  </si>
  <si>
    <t>Руденкова Ю.С.</t>
  </si>
  <si>
    <t>Методы искусственного интеллекта</t>
  </si>
  <si>
    <t>Методы машинного обучения для анализа временных рядов и панельных данных</t>
  </si>
  <si>
    <t>Шорохов С.Г.</t>
  </si>
  <si>
    <t>Моделирование сложно структурированных систем</t>
  </si>
  <si>
    <t>Молодченков А.И.</t>
  </si>
  <si>
    <t>Севастьянов Л.А.</t>
  </si>
  <si>
    <t>вак.</t>
  </si>
  <si>
    <t>вакансия</t>
  </si>
  <si>
    <t>Разработка информационно-аналитических систем</t>
  </si>
  <si>
    <t>Методы машинного обучения</t>
  </si>
  <si>
    <t>Обработка больших данных с использованием машинного обучения</t>
  </si>
  <si>
    <t>Б.2.</t>
  </si>
  <si>
    <t>1/2</t>
  </si>
  <si>
    <t>Научно-исследовательская работа (получение первичных навыков научно-исследовательской работы)</t>
  </si>
  <si>
    <t>УП</t>
  </si>
  <si>
    <t>Системы управления базами данных</t>
  </si>
  <si>
    <t>01 -22</t>
  </si>
  <si>
    <t>1</t>
  </si>
  <si>
    <t>Технологии интеллектуального анализа данных и прогнозирование</t>
  </si>
  <si>
    <t>01-22</t>
  </si>
  <si>
    <t>Программная инженерия</t>
  </si>
  <si>
    <t>Анализ больших данных при моделировании сложно-структурированных систем</t>
  </si>
  <si>
    <t>Модели на гиперграфах</t>
  </si>
  <si>
    <t>Компьютерный практикум по интеллектуальным системам</t>
  </si>
  <si>
    <t>Б.3.</t>
  </si>
  <si>
    <t>Технологическая (проектно-технологическая) практика</t>
  </si>
  <si>
    <t>ВП</t>
  </si>
  <si>
    <t>Научно-исследовательская работа</t>
  </si>
  <si>
    <t>Преддипломная практика</t>
  </si>
  <si>
    <t>Руководство ВКР</t>
  </si>
  <si>
    <t>РК</t>
  </si>
  <si>
    <t>ВКР</t>
  </si>
  <si>
    <t>РДП</t>
  </si>
  <si>
    <t>Проведение тестовой части Государственного итогового экзамена</t>
  </si>
  <si>
    <t>ТЕСТ</t>
  </si>
  <si>
    <t>Участие в работе ГЭК В качестве председателя</t>
  </si>
  <si>
    <t>ПГ</t>
  </si>
  <si>
    <t>ЧГ</t>
  </si>
  <si>
    <t>МДЭ</t>
  </si>
  <si>
    <t>СГ</t>
  </si>
  <si>
    <t>НПМбд00р-л000-4.00</t>
  </si>
  <si>
    <t>В</t>
  </si>
  <si>
    <t>Элементы компьютерной алгебры и пакеты математических вычислений</t>
  </si>
  <si>
    <t>Анализ временных рядов и панельных данных</t>
  </si>
  <si>
    <t>НКАбд00р-л000-4.00</t>
  </si>
  <si>
    <t>01,02,03,04,05,06,07-25</t>
  </si>
  <si>
    <t>04-25</t>
  </si>
  <si>
    <t>Чулуунбаатар Г.</t>
  </si>
  <si>
    <t>05-25</t>
  </si>
  <si>
    <t>06-25</t>
  </si>
  <si>
    <t>07-25</t>
  </si>
  <si>
    <t>Компьютерная алгебра</t>
  </si>
  <si>
    <t>01,02,03,04,04,05-24</t>
  </si>
  <si>
    <t>Лапшенкова Л.О.</t>
  </si>
  <si>
    <t>04-24</t>
  </si>
  <si>
    <t>05-24</t>
  </si>
  <si>
    <t>НКНбд00р-л000-4.00</t>
  </si>
  <si>
    <t>Вычислительные методы</t>
  </si>
  <si>
    <t>Диваков Д.В.</t>
  </si>
  <si>
    <t>1/3</t>
  </si>
  <si>
    <t>Математические модели в экономике</t>
  </si>
  <si>
    <t>Ловецкий К.П.</t>
  </si>
  <si>
    <t>Киселев Г.А.</t>
  </si>
  <si>
    <t>Аналитические методы математического моделирования</t>
  </si>
  <si>
    <t>Компьютерный практикум по информационным технологиям</t>
  </si>
  <si>
    <t>Компьютерное моделирование переходных процессов в физике и экономике</t>
  </si>
  <si>
    <t>Интеллектуальные обучающие системы</t>
  </si>
  <si>
    <t>Стефанюк В.Л.</t>
  </si>
  <si>
    <t>02-22</t>
  </si>
  <si>
    <t>НФИбд00р-л000-4.00</t>
  </si>
  <si>
    <t>01,02-23</t>
  </si>
  <si>
    <t>Линейный и нелинейный регрессионный анализ больших данных</t>
  </si>
  <si>
    <t>Буатта М.А.</t>
  </si>
  <si>
    <t>01, 02-22</t>
  </si>
  <si>
    <t>01,02-22</t>
  </si>
  <si>
    <t>Руководство и консультирование ВКР</t>
  </si>
  <si>
    <t>НФЗбд00р-л000-4.00</t>
  </si>
  <si>
    <t>Алгоритмы и языки программирования. Цифровая грамотность</t>
  </si>
  <si>
    <t>Матюхина Е.Н.</t>
  </si>
  <si>
    <t>НХМбд00р-л000-4.00</t>
  </si>
  <si>
    <t>Цифровая грамотность</t>
  </si>
  <si>
    <t>01, 02,03-25</t>
  </si>
  <si>
    <t>СББсд00р-л000-5.00</t>
  </si>
  <si>
    <t>Программирование</t>
  </si>
  <si>
    <t>НБИбд00р-л000-4.00</t>
  </si>
  <si>
    <t>Линейная алгебра</t>
  </si>
  <si>
    <t>Основы программирования на Python</t>
  </si>
  <si>
    <t>Математический анализ</t>
  </si>
  <si>
    <t>Макроэкономика</t>
  </si>
  <si>
    <t>Архитектура предприятия</t>
  </si>
  <si>
    <t>ИТ-инфраструктура предприятия</t>
  </si>
  <si>
    <t>Системы поддержки принятия решений</t>
  </si>
  <si>
    <t>Общая теория систем</t>
  </si>
  <si>
    <t>Анализ данных</t>
  </si>
  <si>
    <t>Интеллектуальный анализ данных</t>
  </si>
  <si>
    <t>Распределенные системы</t>
  </si>
  <si>
    <t>Рынки ИКТ и организация продаж</t>
  </si>
  <si>
    <t>НБИбд01р-л000-4.00</t>
  </si>
  <si>
    <t>Основы информатики и кибернетики</t>
  </si>
  <si>
    <t>НПИмд01р-л000-2.00</t>
  </si>
  <si>
    <t>Введение в компьютерные науки и искусственный интеллект</t>
  </si>
  <si>
    <t>Брак И.В.</t>
  </si>
  <si>
    <t>Основы компьютерной лингвистики</t>
  </si>
  <si>
    <t>Глубокое обучение</t>
  </si>
  <si>
    <t>Когнитивные архитектуры и их применение</t>
  </si>
  <si>
    <t>Lisp и искусственный интеллект</t>
  </si>
  <si>
    <t>Интеллектуальные динамические системы</t>
  </si>
  <si>
    <t>Линейное программирование и оптимизация</t>
  </si>
  <si>
    <t>Интеллектуальные системы и их применение</t>
  </si>
  <si>
    <t>Распознавание образов и обработка изображений</t>
  </si>
  <si>
    <t>Пакеты символьных вычислений</t>
  </si>
  <si>
    <t>Прикладные методы компьютерной лингвистики</t>
  </si>
  <si>
    <t>Анализ мультимодальных данных</t>
  </si>
  <si>
    <t>Обучение с подкреплением</t>
  </si>
  <si>
    <t>Ознакомительная практика</t>
  </si>
  <si>
    <t>Программирование приложений для анализа данных</t>
  </si>
  <si>
    <t>Интеллектуальный анализ больших данных</t>
  </si>
  <si>
    <t>Методы интеллектуального анализа текстов</t>
  </si>
  <si>
    <t>Practicum in Artificial Intelligence</t>
  </si>
  <si>
    <t>НПМмд07р-л000-2.00</t>
  </si>
  <si>
    <t>Численные методы моделирования киберфизических систем</t>
  </si>
  <si>
    <t>Белов А.А.</t>
  </si>
  <si>
    <t>Дополнительные главы математического моделирования</t>
  </si>
  <si>
    <t>Компьютерные методы решения многомерных задач</t>
  </si>
  <si>
    <t>Компьютерный анализ временных рядов</t>
  </si>
  <si>
    <t>НФИмд05р-л000-2.00</t>
  </si>
  <si>
    <t>Язык теории категорий и искусственный интеллект</t>
  </si>
  <si>
    <t>Гамбарян М.М.</t>
  </si>
  <si>
    <t>НТКад00р-л000-3.00</t>
  </si>
  <si>
    <t>Методология научных исследований</t>
  </si>
  <si>
    <t>Теоретическая информатика, кибернетика</t>
  </si>
  <si>
    <t>Руководство аспирантами, обучающимися по ФГТ</t>
  </si>
  <si>
    <t>ФГТ</t>
  </si>
  <si>
    <t>Педагогическая практика</t>
  </si>
  <si>
    <t>РПА</t>
  </si>
  <si>
    <t>Промежуточная аттестация по педагогической практике</t>
  </si>
  <si>
    <t>НЧМад00р-л000-3.00</t>
  </si>
  <si>
    <t>Математическое моделирование, численные методы и комплексы программ</t>
  </si>
  <si>
    <t>НСАад01р-л000-3.00</t>
  </si>
  <si>
    <t>Системный анализ, управление и обработка информации, статистика</t>
  </si>
  <si>
    <t>НИ</t>
  </si>
  <si>
    <t>Код ОПОП ВО</t>
  </si>
  <si>
    <t>Код по ОКСО</t>
  </si>
  <si>
    <t>Язык</t>
  </si>
  <si>
    <t>Срок обучения</t>
  </si>
  <si>
    <t>Название направления</t>
  </si>
  <si>
    <t>Наименование ОПОП ВО</t>
  </si>
  <si>
    <t>Вуз-Партнер</t>
  </si>
  <si>
    <t>Форма обучения - символ</t>
  </si>
  <si>
    <t>Уровень ОП - символ</t>
  </si>
  <si>
    <t>Наименование ОП + Вуз-Партнёр</t>
  </si>
  <si>
    <t>Цифровая</t>
  </si>
  <si>
    <t>'06.05.01</t>
  </si>
  <si>
    <t>Очная</t>
  </si>
  <si>
    <t>Русский</t>
  </si>
  <si>
    <t>5.00</t>
  </si>
  <si>
    <t>Специалитет</t>
  </si>
  <si>
    <t>Биоинженерия и биоинформатика</t>
  </si>
  <si>
    <t>Аграрно-технологический институт</t>
  </si>
  <si>
    <t>нет</t>
  </si>
  <si>
    <t>СВТсд00а-л000-5.00</t>
  </si>
  <si>
    <t>'36.05.01</t>
  </si>
  <si>
    <t>Английский</t>
  </si>
  <si>
    <t>Ветеринария</t>
  </si>
  <si>
    <t>СВТсд00р-д090-5.00</t>
  </si>
  <si>
    <t>Казахский агротехнический исследовательский университет имени С. Сейфуллина</t>
  </si>
  <si>
    <t>СВТсд00р-л000-5.00</t>
  </si>
  <si>
    <t>СЗКбд00р-л000-4.00</t>
  </si>
  <si>
    <t>'21.03.02</t>
  </si>
  <si>
    <t>4.00</t>
  </si>
  <si>
    <t>Бакалавриат</t>
  </si>
  <si>
    <t>Землеустройство и кадастры</t>
  </si>
  <si>
    <t>ССМбд00р-л000-4.00</t>
  </si>
  <si>
    <t>'27.03.01</t>
  </si>
  <si>
    <t>Стандартизация и метрология</t>
  </si>
  <si>
    <t>САГбд00р-л000-4.00</t>
  </si>
  <si>
    <t>'35.03.04</t>
  </si>
  <si>
    <t>Агрономия</t>
  </si>
  <si>
    <t>САГбд02р-л000-4.00</t>
  </si>
  <si>
    <t>Биотехнология растений</t>
  </si>
  <si>
    <t>СЛАбд00р-л000-4.00</t>
  </si>
  <si>
    <t>'35.03.10</t>
  </si>
  <si>
    <t>Ландшафтная архитектура</t>
  </si>
  <si>
    <t>СВЭбд00р-л000-4.00</t>
  </si>
  <si>
    <t>'36.03.01</t>
  </si>
  <si>
    <t>Ветеринарно-санитарная экспертиза</t>
  </si>
  <si>
    <t>СЗКмд01р-д090-2.00</t>
  </si>
  <si>
    <t>'21.04.02</t>
  </si>
  <si>
    <t>2.00</t>
  </si>
  <si>
    <t>Магистратура</t>
  </si>
  <si>
    <t>Технологии геодезических и кадастровых работ</t>
  </si>
  <si>
    <t>СЗКмд01р-л000-2.00</t>
  </si>
  <si>
    <t>ССМмд02р-с021-2.00</t>
  </si>
  <si>
    <t>'27.04.01</t>
  </si>
  <si>
    <t>Технологии обеспечения качества и безопасности пищевой продукции и производств</t>
  </si>
  <si>
    <t>Кыргызский технический университет имени И.Раззакова</t>
  </si>
  <si>
    <t>ССМмд03р-л000-2.00</t>
  </si>
  <si>
    <t>Аудит и управление качеством пищевой продукции</t>
  </si>
  <si>
    <t>САГмд01р-д090-2.00</t>
  </si>
  <si>
    <t>'35.04.04</t>
  </si>
  <si>
    <t>Агробиотехнология</t>
  </si>
  <si>
    <t>САГмд01р-л000-2.00</t>
  </si>
  <si>
    <t>САГмд02а-л000-2.00</t>
  </si>
  <si>
    <t>Интегрированная защита растений</t>
  </si>
  <si>
    <t>САГмд06а-л000-2.00</t>
  </si>
  <si>
    <t>Управление почвенным плодородием</t>
  </si>
  <si>
    <t>САГмд10р-л000-2.00</t>
  </si>
  <si>
    <t>Защита и карантин растений</t>
  </si>
  <si>
    <t>САГмд11а-л000-2.00</t>
  </si>
  <si>
    <t>Общая агрономия</t>
  </si>
  <si>
    <t>САГмд12р-л000-2.00</t>
  </si>
  <si>
    <t>Декоративное питомниководство </t>
  </si>
  <si>
    <t>СЛАмд01р-л000-2.00</t>
  </si>
  <si>
    <t>'35.04.09</t>
  </si>
  <si>
    <t>Современная ландшафтная архитектура и дизайн городской среды</t>
  </si>
  <si>
    <t>СЛАмд02а-л000-2.00</t>
  </si>
  <si>
    <t>Менеджмент и дизайн городской зеленой инфраструктуры</t>
  </si>
  <si>
    <t>СЛАмд02а-с057-2.00</t>
  </si>
  <si>
    <t>Университет Тушии</t>
  </si>
  <si>
    <t>СЛАмд03р-д090-2.00</t>
  </si>
  <si>
    <t>Ландшафтная архитектура и дизайн</t>
  </si>
  <si>
    <t>СВЭмд01р-л000-2.00</t>
  </si>
  <si>
    <t>'36.04.01</t>
  </si>
  <si>
    <t>Ветеринарно-санитарная экспертиза, безопасность и качество сырья и продуктов биологического происхождения</t>
  </si>
  <si>
    <t>СЭГад00а-л000-4.00</t>
  </si>
  <si>
    <t>'1.5.15.</t>
  </si>
  <si>
    <t>Аспирантура</t>
  </si>
  <si>
    <t>Экология</t>
  </si>
  <si>
    <t>Зеленая инфраструктура и устойчивое развитие</t>
  </si>
  <si>
    <t>СЭГад00р-л000-4.00</t>
  </si>
  <si>
    <t>СФБад00р-л000-4.00</t>
  </si>
  <si>
    <t>'1.5.21.</t>
  </si>
  <si>
    <t>Физиология и биохимия растений</t>
  </si>
  <si>
    <t>СГТад00а-л000-4.00</t>
  </si>
  <si>
    <t>'1.5.7.</t>
  </si>
  <si>
    <t>Генетика</t>
  </si>
  <si>
    <t>Генетика растений</t>
  </si>
  <si>
    <t>СГТад00р-л000-4.00</t>
  </si>
  <si>
    <t>СОРад00р-л000-4.00</t>
  </si>
  <si>
    <t>'4.1.1.</t>
  </si>
  <si>
    <t>Общее земледелие и растениеводство</t>
  </si>
  <si>
    <t>ССРад00р-л000-4.00</t>
  </si>
  <si>
    <t>'4.1.2.</t>
  </si>
  <si>
    <t>Селекция, семеноводство и биотехнология растений</t>
  </si>
  <si>
    <t>СААад00р-л000-4.00</t>
  </si>
  <si>
    <t>'4.1.3.</t>
  </si>
  <si>
    <t>Агрохимия, агропочвоведение, защита и карантин растений</t>
  </si>
  <si>
    <t>СААад01а-л000-4.00</t>
  </si>
  <si>
    <t>Защита растений</t>
  </si>
  <si>
    <t>СПЖад00а-л000-3.00</t>
  </si>
  <si>
    <t>'4.2.1.</t>
  </si>
  <si>
    <t>3.00</t>
  </si>
  <si>
    <t>Патология животных, морфология, физиология, фармакология и токсикология</t>
  </si>
  <si>
    <t>СПЖад00р-л000-3.00</t>
  </si>
  <si>
    <t>СИЖад00р-л000-3.00</t>
  </si>
  <si>
    <t>'4.2.3.</t>
  </si>
  <si>
    <t>Инфекционные болезни и иммунология животных</t>
  </si>
  <si>
    <t>СЧЗад00р-л000-3.00</t>
  </si>
  <si>
    <t>'4.2.4.</t>
  </si>
  <si>
    <t>Частная зоотехния, кормление, технологии приготовления кормов и производства продукции животноводства</t>
  </si>
  <si>
    <t>СВТсв00р-л000-5.06</t>
  </si>
  <si>
    <t>Очно-заочная</t>
  </si>
  <si>
    <t>5.06</t>
  </si>
  <si>
    <t>СЗКбв00р-л000-4.06</t>
  </si>
  <si>
    <t>4.06</t>
  </si>
  <si>
    <t>ССМбв00р-л000-4.06</t>
  </si>
  <si>
    <t>САГбв00р-л000-4.06</t>
  </si>
  <si>
    <t>САГбв02р-л000-4.06</t>
  </si>
  <si>
    <t>СЛАбв00р-л000-4.06</t>
  </si>
  <si>
    <t>СВЭбв00р-л000-4.06</t>
  </si>
  <si>
    <t>СЗКмв01р-л000-2.06</t>
  </si>
  <si>
    <t>2.06</t>
  </si>
  <si>
    <t>ССМмв03р-л000-2.06</t>
  </si>
  <si>
    <t>САГмв10р-л000-2.06</t>
  </si>
  <si>
    <t>СЛАмв01р-л000-2.06</t>
  </si>
  <si>
    <t>СВЭмв01р-л000-2.06</t>
  </si>
  <si>
    <t>СВТсз00р-л000-5.06</t>
  </si>
  <si>
    <t>Заочная</t>
  </si>
  <si>
    <t>СЗКбз00р-л000-4.06</t>
  </si>
  <si>
    <t>ССМбз00р-л000-4.06</t>
  </si>
  <si>
    <t>САГбз00р-л000-4.06</t>
  </si>
  <si>
    <t>САГбз02р-л000-4.06</t>
  </si>
  <si>
    <t>СЛАбз00р-л000-4.06</t>
  </si>
  <si>
    <t>СВЭбз00р-л000-4.06</t>
  </si>
  <si>
    <t>СЗКмз01р-л000-2.06</t>
  </si>
  <si>
    <t>ССМмз03р-л000-2.06</t>
  </si>
  <si>
    <t>САГмз01р-л000-2.06</t>
  </si>
  <si>
    <t>САГмз10р-л000-2.06</t>
  </si>
  <si>
    <t>САГмз12р-л000-2.06</t>
  </si>
  <si>
    <t>СЛАмз01р-л000-2.06</t>
  </si>
  <si>
    <t>СЭКмз20р-л000-2.06</t>
  </si>
  <si>
    <t>'38.04.01</t>
  </si>
  <si>
    <t>Экономика</t>
  </si>
  <si>
    <t>Экономика недвижимости в АПК</t>
  </si>
  <si>
    <t>СТБаз01р-л000-5.00</t>
  </si>
  <si>
    <t>'20.06.01</t>
  </si>
  <si>
    <t>Техносферная безопасность</t>
  </si>
  <si>
    <t>Безопасность в чрезвычайных ситуациях (технические, биологические науки)</t>
  </si>
  <si>
    <t>ССЗаз01р-л000-5.00</t>
  </si>
  <si>
    <t>'35.06.01</t>
  </si>
  <si>
    <t>Сельское хозяйство</t>
  </si>
  <si>
    <t>Общее земледелие, растениеводство</t>
  </si>
  <si>
    <t>ССЗаз02р-л000-5.00</t>
  </si>
  <si>
    <t>Селекция и семеноводство сельскохозяйственных растений</t>
  </si>
  <si>
    <t>ССЗаз03р-л000-5.00</t>
  </si>
  <si>
    <t>ХМНбд05р-л000-4.00</t>
  </si>
  <si>
    <t>'38.03.02</t>
  </si>
  <si>
    <t>Менеджмент</t>
  </si>
  <si>
    <t>Управление предприятиями наукоемких отраслей промышленности</t>
  </si>
  <si>
    <t>Высшая школа управления</t>
  </si>
  <si>
    <t>ХМНбд09р-л000-4.00</t>
  </si>
  <si>
    <t>Цифровой дизайн и веб-разработка</t>
  </si>
  <si>
    <t>ХМНбд16р-л000-4.00</t>
  </si>
  <si>
    <t>Управление предприятиями</t>
  </si>
  <si>
    <t>ХБИбд02р-л000-4.00</t>
  </si>
  <si>
    <t>'38.03.05</t>
  </si>
  <si>
    <t>Бизнес-информатика</t>
  </si>
  <si>
    <t>Разработка прикладных решений для бизнеса</t>
  </si>
  <si>
    <t>ХТРбд01р-л000-4.00</t>
  </si>
  <si>
    <t>'43.03.02</t>
  </si>
  <si>
    <t>Туризм</t>
  </si>
  <si>
    <t>Международный туризм</t>
  </si>
  <si>
    <t>ХГДбд01р-л000-4.00</t>
  </si>
  <si>
    <t>'43.03.03</t>
  </si>
  <si>
    <t>Гостиничное дело</t>
  </si>
  <si>
    <t>Международный ресторанный бизнес</t>
  </si>
  <si>
    <t>ХГДбд02р-л000-4.00</t>
  </si>
  <si>
    <t>Международный гостиничный бизнес</t>
  </si>
  <si>
    <t>ХУСмд12р-л000-2.00</t>
  </si>
  <si>
    <t>'27.04.04</t>
  </si>
  <si>
    <t>Управление в технических системах</t>
  </si>
  <si>
    <t>Математическое моделирование инженерно-экономических систем</t>
  </si>
  <si>
    <t>ХУСмд22р-л000-2.00</t>
  </si>
  <si>
    <t>Разработка и управление информационными (IT) системами</t>
  </si>
  <si>
    <t>ХЭКмд09р-л000-2.00</t>
  </si>
  <si>
    <t>Управление наукоемкими отраслями</t>
  </si>
  <si>
    <t>ХЭКмд10р-л000-2.00</t>
  </si>
  <si>
    <t>Принятие эффективных управленческих решений (Big Data Economics)</t>
  </si>
  <si>
    <t>ХЭКмд13р-л000-2.00</t>
  </si>
  <si>
    <t>Комплаенс-контроль в деятельности организаций</t>
  </si>
  <si>
    <t>ХЭКмд22р-л000-2.00</t>
  </si>
  <si>
    <t>E-commerce – Электронная коммерция</t>
  </si>
  <si>
    <t>да</t>
  </si>
  <si>
    <t>ХЭКмд25р-л000-2.00</t>
  </si>
  <si>
    <t>Экономика и управление цифровым предприятием</t>
  </si>
  <si>
    <t>ХМНмд06р-л000-2.00</t>
  </si>
  <si>
    <t>'38.04.02</t>
  </si>
  <si>
    <t>Инновационный менеджмент в промышленности</t>
  </si>
  <si>
    <t>ХМНмд22р-л000-2.00</t>
  </si>
  <si>
    <t>Девелопмент и управление недвижимостью</t>
  </si>
  <si>
    <t>ХМНмд23а-л000-2.00</t>
  </si>
  <si>
    <t>Инженерный менеджмент</t>
  </si>
  <si>
    <t>ХМНмд23р-л000-2.00</t>
  </si>
  <si>
    <t>ХМНмд35р-д091-2.00</t>
  </si>
  <si>
    <t>Управление продуктом</t>
  </si>
  <si>
    <t>ООО "Сберобразование"</t>
  </si>
  <si>
    <t>ХМНмд36р-л000-2.00</t>
  </si>
  <si>
    <t>Цифровые технологии в управлении</t>
  </si>
  <si>
    <t>ХМНмд37р-л000-2.00</t>
  </si>
  <si>
    <t>Управление внешнеэкономической деятельностью</t>
  </si>
  <si>
    <t>ХМНмд37р-с103-2.00</t>
  </si>
  <si>
    <t>АНО ДПО "Школа экспорта Акционерного общества "Российский экспортный центр"</t>
  </si>
  <si>
    <t>ХМНмд38р-д105-2.00</t>
  </si>
  <si>
    <t>Управление гостиничным комплексом</t>
  </si>
  <si>
    <t>АНО ДПО «Академия гостеприимства Космос»</t>
  </si>
  <si>
    <t>ХТРмд01р-л000-2.00</t>
  </si>
  <si>
    <t>'43.04.02</t>
  </si>
  <si>
    <t>Планирование и развитие туризма</t>
  </si>
  <si>
    <t>ХТРмд02р-д065-2.00</t>
  </si>
  <si>
    <t>Планирование и развитие туризма на государственном уровне</t>
  </si>
  <si>
    <t>Южно-Казахстанский государственный университет им. М.Ауэзова</t>
  </si>
  <si>
    <t>ХТРмд02р-с009-2.00</t>
  </si>
  <si>
    <t>Евразийский национальный университет имени Л. Н. Гумилёва</t>
  </si>
  <si>
    <t>ХТРмд02р-с015-2.00</t>
  </si>
  <si>
    <t>Казахский национальный университет им. Аль-Фараби</t>
  </si>
  <si>
    <t>ХТРмд02р-с020-2.00</t>
  </si>
  <si>
    <t>Кыргызский национальный университет им. Ж. Баласагына</t>
  </si>
  <si>
    <t>ХТРмд04а-л000-2.00</t>
  </si>
  <si>
    <t>Бизнес-процессы в сфере туризма и гостеприимства</t>
  </si>
  <si>
    <t>ХТРмд04р-л000-2.00</t>
  </si>
  <si>
    <t>ХТРмд05р-с011-2.00</t>
  </si>
  <si>
    <t>Межкультурные коммуникации в туризме</t>
  </si>
  <si>
    <t>Ереванский государственный университет</t>
  </si>
  <si>
    <t>ХТРмд05р-с012-2.00</t>
  </si>
  <si>
    <t>Ереванский Государственный университет языков и социальных наук имени В. Я. Брюсова</t>
  </si>
  <si>
    <t>ХРОад00а-л000-3.00</t>
  </si>
  <si>
    <t>'5.2.3.</t>
  </si>
  <si>
    <t>Региональная и отраслевая экономика</t>
  </si>
  <si>
    <t>Экономика инноваций</t>
  </si>
  <si>
    <t>ХРОад00р-л000-3.00</t>
  </si>
  <si>
    <t>ХРОад02р-л000-3.00</t>
  </si>
  <si>
    <t>Экономика сферы услуг</t>
  </si>
  <si>
    <t>ХМДад00р-л000-3.00</t>
  </si>
  <si>
    <t>'5.2.6.</t>
  </si>
  <si>
    <t>ХМНбв05р-л000-4.06</t>
  </si>
  <si>
    <t>ХМНбв16р-л000-4.06</t>
  </si>
  <si>
    <t>ХТРбв01р-л000-5.00</t>
  </si>
  <si>
    <t>ХГДбв01р-л000-5.00</t>
  </si>
  <si>
    <t>ХГДбв02р-л000-5.00</t>
  </si>
  <si>
    <t>ХТРбз01р-л000-5.00</t>
  </si>
  <si>
    <t>ХГДбз02р-л000-5.00</t>
  </si>
  <si>
    <t>ХМНмз06р-л000-2.03</t>
  </si>
  <si>
    <t>2.03</t>
  </si>
  <si>
    <t>ХМНмз14р-л000-2.03</t>
  </si>
  <si>
    <t>Управление клиентским опытом и инновации в сервисе</t>
  </si>
  <si>
    <t>ХМНмз22р-л000-2.03</t>
  </si>
  <si>
    <t>ХМНмз37р-с103-2.06</t>
  </si>
  <si>
    <t>ИГАсд00р-л000-5.06</t>
  </si>
  <si>
    <t>'21.05.00</t>
  </si>
  <si>
    <t>Прикладная геология, горное дело, нефтегазовое дело и геодезия</t>
  </si>
  <si>
    <t>Прикладная геология, горное дело, нефтегазовое дело и геодезия (УГСН)</t>
  </si>
  <si>
    <t>Инженерная академия</t>
  </si>
  <si>
    <t>ИПГсд01р-л000-5.00</t>
  </si>
  <si>
    <t>'21.05.02</t>
  </si>
  <si>
    <t>Прикладная геология</t>
  </si>
  <si>
    <t>Геологическая съемка, поиски и разведка месторождений твердых полезных ископаемых</t>
  </si>
  <si>
    <t>ИПГсд02р-л000-5.00</t>
  </si>
  <si>
    <t>Геология нефти и газа</t>
  </si>
  <si>
    <t>ИГРсд01р-л000-5.06</t>
  </si>
  <si>
    <t>'21.05.04</t>
  </si>
  <si>
    <t>Горное дело</t>
  </si>
  <si>
    <t>Маркшейдерское дело</t>
  </si>
  <si>
    <t>ИПМбд01р-л000-4.00</t>
  </si>
  <si>
    <t>'01.03.02</t>
  </si>
  <si>
    <t>Прикладная математика и информатика</t>
  </si>
  <si>
    <t>Математические методы механики полета ракет-носителей и космических аппаратов</t>
  </si>
  <si>
    <t>ИПМбд04р-л000-4.00</t>
  </si>
  <si>
    <t>Математические методы механики космического полета и анализа геоинформационных данных</t>
  </si>
  <si>
    <t>ИААбд00р-л000-5.00</t>
  </si>
  <si>
    <t>'07.03.00</t>
  </si>
  <si>
    <t>Архитектура</t>
  </si>
  <si>
    <t>Архитектура (УГСН)</t>
  </si>
  <si>
    <t>ИАРбд00р-л000-5.00</t>
  </si>
  <si>
    <t>'07.03.01</t>
  </si>
  <si>
    <t>ИАНбд01р-л000-5.00</t>
  </si>
  <si>
    <t>'07.03.02</t>
  </si>
  <si>
    <t>Реконструкция и реставрация архитектурного наследия</t>
  </si>
  <si>
    <t>ИДСбд02р-л000-5.00</t>
  </si>
  <si>
    <t>'07.03.03</t>
  </si>
  <si>
    <t>Дизайн архитектурной среды</t>
  </si>
  <si>
    <t>Дизайн промышленных и социальных объектов</t>
  </si>
  <si>
    <t>ИСРбд00р-л000-4.00</t>
  </si>
  <si>
    <t>'08.03.01</t>
  </si>
  <si>
    <t>Строительство</t>
  </si>
  <si>
    <t>ИЭМбд05р-л000-4.00</t>
  </si>
  <si>
    <t>'13.03.03</t>
  </si>
  <si>
    <t>Энергетическое машиностроение</t>
  </si>
  <si>
    <t>ИЭМбд06р-л000-4.00</t>
  </si>
  <si>
    <t>Комбинированные энергетические установки и альтернативная энергетика</t>
  </si>
  <si>
    <t>ИМПбд00р-л000-4.00</t>
  </si>
  <si>
    <t>'15.03.05</t>
  </si>
  <si>
    <t>Конструкторско-технологическое обеспечение машиностроительных производств</t>
  </si>
  <si>
    <t>ИМПбд02р-л000-4.00</t>
  </si>
  <si>
    <t>Системная инженерия машиностроительных производств</t>
  </si>
  <si>
    <t>ИНГбд07р-л000-4.00</t>
  </si>
  <si>
    <t>'21.03.01</t>
  </si>
  <si>
    <t>Нефтегазовое дело</t>
  </si>
  <si>
    <t>Разработка нефтяных и газовых месторождений, транспортировка, хранение и переработка нефти и газа</t>
  </si>
  <si>
    <t>ИТКбд00р-л000-4.00</t>
  </si>
  <si>
    <t>'23.03.03</t>
  </si>
  <si>
    <t>Эксплуатация транспортно-технологических машин и комплексов</t>
  </si>
  <si>
    <t>ИТКбд05р-л000-4.00</t>
  </si>
  <si>
    <t>Эксплуатация автомобилей и электромобилей</t>
  </si>
  <si>
    <t>ИУСбд03р-л000-4.00</t>
  </si>
  <si>
    <t>'27.03.04</t>
  </si>
  <si>
    <t>Управление инновациями в инженерном бизнесе</t>
  </si>
  <si>
    <t>ИУСбд04а-л000-4.00</t>
  </si>
  <si>
    <t>Механика полета и управление космическими системами</t>
  </si>
  <si>
    <t>ИУСбд05р-л000-4.00</t>
  </si>
  <si>
    <t>Информационные технологии в управлении и кибербезопасность</t>
  </si>
  <si>
    <t>ИУСбд07р-л000-4.00</t>
  </si>
  <si>
    <t>Data Engineering, программирование и компьютерное моделирование интеллектуальных систем</t>
  </si>
  <si>
    <t>ИУСбд08а-л000-4.00</t>
  </si>
  <si>
    <t>Data Engineering и управление космическими системами</t>
  </si>
  <si>
    <t>ИУСбд09р-л000-4.00</t>
  </si>
  <si>
    <t>Управление информационными процессами, машинное обучение и кибербезопасность</t>
  </si>
  <si>
    <t>ИУСбд10р-л000-4.00</t>
  </si>
  <si>
    <t>Data Engineering, интеллектуальные системы и кибербезопасность</t>
  </si>
  <si>
    <t>ИУСбд12а-л000-4.00</t>
  </si>
  <si>
    <t>Data Science и космические системы</t>
  </si>
  <si>
    <t>ИНВбд01р-л000-4.00</t>
  </si>
  <si>
    <t>'27.03.05</t>
  </si>
  <si>
    <t>Инноватика</t>
  </si>
  <si>
    <t>Управление инновациями в отраслях промышленности</t>
  </si>
  <si>
    <t>ИНИбд00р-л000-4.00</t>
  </si>
  <si>
    <t>'28.03.02</t>
  </si>
  <si>
    <t>Наноинженерия</t>
  </si>
  <si>
    <t>ИНИбд01р-л000-4.00</t>
  </si>
  <si>
    <t>Нанотехнологии и наноматериалы в приборостроении</t>
  </si>
  <si>
    <t>ИПМмд01а-с001-2.00</t>
  </si>
  <si>
    <t>'01.04.02</t>
  </si>
  <si>
    <t>Баллистическое проектирование космических комплексов и систем</t>
  </si>
  <si>
    <t>EPF Graduate School of Engineering</t>
  </si>
  <si>
    <t>ИПМмд01р-л000-2.00</t>
  </si>
  <si>
    <t>ИПМмд03р-л000-2.00</t>
  </si>
  <si>
    <t>Data Science и цифровая трансформация</t>
  </si>
  <si>
    <t>ИПМмд06р-л000-2.00</t>
  </si>
  <si>
    <t>Проектирование космических миссий и систем</t>
  </si>
  <si>
    <t>ИФИмд07р-л000-2.00</t>
  </si>
  <si>
    <t>'02.04.02</t>
  </si>
  <si>
    <t>Фундаментальная информатика и информационные технологии</t>
  </si>
  <si>
    <t>Анализ больших данных и технологии защиты информации</t>
  </si>
  <si>
    <t>ИГЛмд01р-л000-2.00</t>
  </si>
  <si>
    <t>'05.04.01</t>
  </si>
  <si>
    <t>Геология</t>
  </si>
  <si>
    <t>Инновационные технологии в поиске и разведке месторождений нефти и газа</t>
  </si>
  <si>
    <t>ИГЛмд02р-л000-2.00</t>
  </si>
  <si>
    <t>Инновационные технологии в поиске и разведке твердых полезных ископаемых</t>
  </si>
  <si>
    <t>ИГЛмд03а-д101-2.00</t>
  </si>
  <si>
    <t>Горнопромышленная геология</t>
  </si>
  <si>
    <t>Университет Дар-эс-Салам</t>
  </si>
  <si>
    <t>ИГЛмд03а-м092-2.00</t>
  </si>
  <si>
    <t>ФГАОУ ВО «Национальный исследовательский технологический университет «МИСИС»</t>
  </si>
  <si>
    <t>ИГЛмд04р-л000-2.00</t>
  </si>
  <si>
    <t>Искусственный интеллект в геологоразведке и добыче полезных ископаемых</t>
  </si>
  <si>
    <t>ИАРмд01р-л000-2.00</t>
  </si>
  <si>
    <t>'07.04.01</t>
  </si>
  <si>
    <t>Архитектура жилых, общественных и промышленных зданий</t>
  </si>
  <si>
    <t>ИАРмд02р-л000-2.00</t>
  </si>
  <si>
    <t>Технологии интеллектуального архитектурного проектирования</t>
  </si>
  <si>
    <t>ИАНмд01р-л000-2.00</t>
  </si>
  <si>
    <t>'07.04.02</t>
  </si>
  <si>
    <t>Архитектура историко-культурных объектов</t>
  </si>
  <si>
    <t>ИДСмд01р-л000-2.00</t>
  </si>
  <si>
    <t>'07.04.03</t>
  </si>
  <si>
    <t>Параметрический дизайн в архитектурной среде</t>
  </si>
  <si>
    <t>ИДСмд02р-л000-2.00</t>
  </si>
  <si>
    <t>Параметрический цифровой дизайн в архитектурной среде</t>
  </si>
  <si>
    <t>ИСРмд06а-л000-2.00</t>
  </si>
  <si>
    <t>'08.04.01</t>
  </si>
  <si>
    <t>Строительная инженерия и построенная среда</t>
  </si>
  <si>
    <t>ИСРмд10р-л000-2.00</t>
  </si>
  <si>
    <t>Гидротехническое строительство и технологии водопользования</t>
  </si>
  <si>
    <t>ИСРмд12р-л000-2.00</t>
  </si>
  <si>
    <t>Технология, организация и экономика строительства</t>
  </si>
  <si>
    <t>ИСРмд13р-л000-2.00</t>
  </si>
  <si>
    <t>Проектирование зданий и специальных сооружений</t>
  </si>
  <si>
    <t>ИСРмд14р-д065-2.00</t>
  </si>
  <si>
    <t>Инновационные и энергосберегающие технологии в строительстве</t>
  </si>
  <si>
    <t>ИСРмд15р-л000-2.00</t>
  </si>
  <si>
    <t>Искусственный интеллект в строительстве</t>
  </si>
  <si>
    <t>ИЭМмд01р-л000-2.00</t>
  </si>
  <si>
    <t>'13.04.03</t>
  </si>
  <si>
    <t>Интеллектуальные энергетические системы</t>
  </si>
  <si>
    <t>ИЭМмд03а-л000-2.00</t>
  </si>
  <si>
    <t>Машиностроение</t>
  </si>
  <si>
    <t>ИЭМмд04р-л000-2.00</t>
  </si>
  <si>
    <t>Эксплуатация оборудования энергетических систем</t>
  </si>
  <si>
    <t>ИМПмд06р-л000-2.00</t>
  </si>
  <si>
    <t>'15.04.05</t>
  </si>
  <si>
    <t>Технологии машиностроения и автоматизации производства</t>
  </si>
  <si>
    <t>ИМПмд07р-л000-2.00</t>
  </si>
  <si>
    <t>Проектирование энергетических установок</t>
  </si>
  <si>
    <t>ИМПмд08р-л000-2.00</t>
  </si>
  <si>
    <t>Интеллектуальное машиностроительное проектирование и производство</t>
  </si>
  <si>
    <t>ИНГмд02а-л000-2.00</t>
  </si>
  <si>
    <t>'21.04.01</t>
  </si>
  <si>
    <t>Технологии добычи и транспортировки нефти и газа</t>
  </si>
  <si>
    <t>ИНГмд03р-л000-2.00</t>
  </si>
  <si>
    <t>Технологии добычи, транспортировки и переработки нефти и газа</t>
  </si>
  <si>
    <t>ИНГмд04р-л000-2.00</t>
  </si>
  <si>
    <t>Искусственный интеллект в нефтегазовом деле</t>
  </si>
  <si>
    <t>ИММмд00р-л000-2.00</t>
  </si>
  <si>
    <t>'22.04.01</t>
  </si>
  <si>
    <t>Материаловедение и технологии материалов</t>
  </si>
  <si>
    <t>Современные конструкционные материалы</t>
  </si>
  <si>
    <t>ИТТмд01р-л000-2.00</t>
  </si>
  <si>
    <t>'23.04.01</t>
  </si>
  <si>
    <t>Технология транспортных процессов</t>
  </si>
  <si>
    <t>Логистика в мультимодальных транспортных системах</t>
  </si>
  <si>
    <t>ИТКмд01р-л000-2.00</t>
  </si>
  <si>
    <t>'23.04.03</t>
  </si>
  <si>
    <t>Эксплуатация и техническая экспертиза автотранспортных средств</t>
  </si>
  <si>
    <t>ИТКмд04р-л000-2.00</t>
  </si>
  <si>
    <t>Интеллектуальные транспортные системы</t>
  </si>
  <si>
    <t>ИУСмд11р-л000-2.00</t>
  </si>
  <si>
    <t>Искусственный интеллект и робототехнические системы</t>
  </si>
  <si>
    <t>ИУСмд21а-л000-2.00</t>
  </si>
  <si>
    <t>Data Science и космическая инженерия</t>
  </si>
  <si>
    <t>ИУСмд23а-д097-2.00</t>
  </si>
  <si>
    <t>Искусственный интеллект, машинное обучение и космические науки</t>
  </si>
  <si>
    <t>Университет Симбиозис Интернешнл</t>
  </si>
  <si>
    <t>ИУСмд23а-д098-2.00</t>
  </si>
  <si>
    <t>Университет Грегори в Утуру</t>
  </si>
  <si>
    <t>ИУСмд23а-л000-2.00</t>
  </si>
  <si>
    <t>ИУСмд24р-л000-2.00</t>
  </si>
  <si>
    <t>ИУСмд25р-л000-2.00</t>
  </si>
  <si>
    <t>ИУСмд26р-л000-2.00</t>
  </si>
  <si>
    <t>ИУСмд27р-л000-2.00</t>
  </si>
  <si>
    <t>Искусственный интеллект в управлении инновационными проектами в промышленности</t>
  </si>
  <si>
    <t>ИУСмд28р-л000-2.00</t>
  </si>
  <si>
    <t>ИУСмд29р-л000-2.00</t>
  </si>
  <si>
    <t>ИУСмд30р-л000-2.00</t>
  </si>
  <si>
    <t>ИУСмд31р-л000-2.00</t>
  </si>
  <si>
    <t>ИУСмд32р-л000-2.00</t>
  </si>
  <si>
    <t>Нанотехнологии и искусственный интеллект</t>
  </si>
  <si>
    <t>ИУСмд33р-л000-2.00</t>
  </si>
  <si>
    <t>ИНВмд01р-л000-2.00</t>
  </si>
  <si>
    <t>'27.04.05</t>
  </si>
  <si>
    <t>ИНВмд04а-л000-2.00</t>
  </si>
  <si>
    <t>Цифровая трансформация в управлении производством</t>
  </si>
  <si>
    <t>ИНВмд04р-л000-2.00</t>
  </si>
  <si>
    <t>ИНТмд01р-л000-2.00</t>
  </si>
  <si>
    <t>'28.04.01</t>
  </si>
  <si>
    <t>Нанотехнологии и микросистемная техника</t>
  </si>
  <si>
    <t>Инженерно-физические технологии в наноиндустрии</t>
  </si>
  <si>
    <t>ИНТмд01р-с009-2.00</t>
  </si>
  <si>
    <t>ИНТмд02р-с015-2.00</t>
  </si>
  <si>
    <t>Нанотехнологии</t>
  </si>
  <si>
    <t>ИНТмд04р-л000-2.00</t>
  </si>
  <si>
    <t>Новые материалы и технологии опто-, нано- и микроэлектроники</t>
  </si>
  <si>
    <t>ИНТмд05р-л000-2.00</t>
  </si>
  <si>
    <t>ИПОмд05а-л000-2.00</t>
  </si>
  <si>
    <t>'44.04.02</t>
  </si>
  <si>
    <t>Психолого-педагогическое образование</t>
  </si>
  <si>
    <t>Педагогика в инженерном деле</t>
  </si>
  <si>
    <t>ИПОмд05р-л000-2.00</t>
  </si>
  <si>
    <t>ИДМад00а-л000-4.00</t>
  </si>
  <si>
    <t>'1.1.7.</t>
  </si>
  <si>
    <t>Теоретическая механика, динамика машин</t>
  </si>
  <si>
    <t>ИДМад00р-л000-4.00</t>
  </si>
  <si>
    <t>ИИИад00а-л000-3.00</t>
  </si>
  <si>
    <t>'1.2.1.</t>
  </si>
  <si>
    <t>Искусственный интеллект и машинное обучение</t>
  </si>
  <si>
    <t>ИИИад00р-л000-3.00</t>
  </si>
  <si>
    <t>ИГГад00р-л000-3.00</t>
  </si>
  <si>
    <t>'1.6.1.</t>
  </si>
  <si>
    <t>Общая и региональная геология. Геотектоника и геодинамика</t>
  </si>
  <si>
    <t>ИГМад00а-л000-3.00</t>
  </si>
  <si>
    <t>'1.6.10.</t>
  </si>
  <si>
    <t>Геология, поиски и разведка твердых полезных ископаемых, минерагения</t>
  </si>
  <si>
    <t>ИГМад00р-л000-3.00</t>
  </si>
  <si>
    <t>ИГНад00а-л000-3.00</t>
  </si>
  <si>
    <t>'1.6.11.</t>
  </si>
  <si>
    <t>Геология, поиски, разведка и эксплуатация нефтяных и газовых месторождений</t>
  </si>
  <si>
    <t>ИГНад00р-л000-3.00</t>
  </si>
  <si>
    <t>ИГФад00а-л000-3.00</t>
  </si>
  <si>
    <t>'1.6.9.</t>
  </si>
  <si>
    <t>Геофизика</t>
  </si>
  <si>
    <t>ИГФад00р-л000-3.00</t>
  </si>
  <si>
    <t>ИСКад00а-л000-4.00</t>
  </si>
  <si>
    <t>'2.1.1.</t>
  </si>
  <si>
    <t>Строительные конструкции, здания и сооружения</t>
  </si>
  <si>
    <t>ИСКад00р-л000-4.00</t>
  </si>
  <si>
    <t>ИТАад00а-л000-3.00</t>
  </si>
  <si>
    <t>'2.1.11.</t>
  </si>
  <si>
    <t>Теория и история архитектуры, реставрация и реконструкция историко-архитектурного наследия</t>
  </si>
  <si>
    <t>ИТАад00р-л000-3.00</t>
  </si>
  <si>
    <t>ИАРад00а-л000-3.00</t>
  </si>
  <si>
    <t>'2.1.12.</t>
  </si>
  <si>
    <t>Архитектура зданий и сооружений. Творческие концепции архитектурной деятельности</t>
  </si>
  <si>
    <t>ИАРад00р-л000-3.00</t>
  </si>
  <si>
    <t>ИВКад00р-л000-4.00</t>
  </si>
  <si>
    <t>'2.1.4.</t>
  </si>
  <si>
    <t>Водоснабжение, канализация, строительные системы охраны водных ресурсов</t>
  </si>
  <si>
    <t>ИСЯад00а-л000-4.00</t>
  </si>
  <si>
    <t>'2.1.5.</t>
  </si>
  <si>
    <t>Строительные материалы и изделия</t>
  </si>
  <si>
    <t>ИСЯад00р-л000-4.00</t>
  </si>
  <si>
    <t>ИГСад00а-л000-4.00</t>
  </si>
  <si>
    <t>'2.1.6.</t>
  </si>
  <si>
    <t>Гидротехническое строительство, гидравлика и инженерная гидрология</t>
  </si>
  <si>
    <t>ИГСад00р-л000-4.00</t>
  </si>
  <si>
    <t>ИТОад00а-л000-4.00</t>
  </si>
  <si>
    <t>'2.1.7.</t>
  </si>
  <si>
    <t>Технология и организация строительства</t>
  </si>
  <si>
    <t>ИТОад00р-л000-4.00</t>
  </si>
  <si>
    <t>ИСМад00а-л000-4.00</t>
  </si>
  <si>
    <t>'2.1.9.</t>
  </si>
  <si>
    <t>Строительная механика</t>
  </si>
  <si>
    <t>ИСМад00р-л000-4.00</t>
  </si>
  <si>
    <t>ИРАад00а-л000-4.00</t>
  </si>
  <si>
    <t>'2.2.9.</t>
  </si>
  <si>
    <t>Проектирование и технология приборостроения и радиоэлектронной аппаратуры</t>
  </si>
  <si>
    <t>ИРАад00р-л000-4.00</t>
  </si>
  <si>
    <t>ИСАад00а-л000-3.00</t>
  </si>
  <si>
    <t>'2.3.1.</t>
  </si>
  <si>
    <t>Системный анализ, управление и обработка информации</t>
  </si>
  <si>
    <t>ИСАад00р-л000-3.00</t>
  </si>
  <si>
    <t>ИВСад00р-л000-3.00</t>
  </si>
  <si>
    <t>'2.3.2.</t>
  </si>
  <si>
    <t>Вычислительные системы и их элементы</t>
  </si>
  <si>
    <t>ИУОад00а-л000-3.00</t>
  </si>
  <si>
    <t>'2.3.4.</t>
  </si>
  <si>
    <t>Управление в организационных системах</t>
  </si>
  <si>
    <t>ИУОад00р-л000-3.00</t>
  </si>
  <si>
    <t>ИМКад00а-л000-3.00</t>
  </si>
  <si>
    <t>'2.3.5.</t>
  </si>
  <si>
    <t>Математическое и программное обеспечение вычислительных систем, комплексов и компьютерных сетей</t>
  </si>
  <si>
    <t>ИМКад00р-л000-3.00</t>
  </si>
  <si>
    <t>ИЭСад00а-л000-4.00</t>
  </si>
  <si>
    <t>'2.4.5.</t>
  </si>
  <si>
    <t>Энергетические системы и комплексы</t>
  </si>
  <si>
    <t>ИЭСад00р-л000-4.00</t>
  </si>
  <si>
    <t>ИТДад00а-л000-4.00</t>
  </si>
  <si>
    <t>'2.4.7.</t>
  </si>
  <si>
    <t>Турбомашины и поршневые двигатели</t>
  </si>
  <si>
    <t>ИТДад00р-л000-4.00</t>
  </si>
  <si>
    <t>ИУДад00а-л000-4.00</t>
  </si>
  <si>
    <t>'2.5.16.</t>
  </si>
  <si>
    <t>Динамика, баллистика, управление движением летательных аппаратов</t>
  </si>
  <si>
    <t>Динамика, баллистика и управление движением летательных аппаратов</t>
  </si>
  <si>
    <t>ИУДад00р-л000-4.00</t>
  </si>
  <si>
    <t>ИТТад00р-л000-4.00</t>
  </si>
  <si>
    <t>'2.5.5.</t>
  </si>
  <si>
    <t>Технология и оборудование механической и физико-технической обработки</t>
  </si>
  <si>
    <t>ИТМад00а-л000-4.00</t>
  </si>
  <si>
    <t>'2.5.6.</t>
  </si>
  <si>
    <t>Технология машиностроения</t>
  </si>
  <si>
    <t>ИТМад00р-л000-4.00</t>
  </si>
  <si>
    <t>ИХТад00а-л000-4.00</t>
  </si>
  <si>
    <t>'2.6.12.</t>
  </si>
  <si>
    <t>Химическая технология топлива и высокоэнергетических веществ</t>
  </si>
  <si>
    <t>ИХТад00р-л000-4.00</t>
  </si>
  <si>
    <t>ИГДад00р-л000-4.00</t>
  </si>
  <si>
    <t>'2.8.3.</t>
  </si>
  <si>
    <t>Горнопромышленная и нефтегазопромысловая геология, геофизика, маркшейдерское дело и геометрия недр</t>
  </si>
  <si>
    <t>ИРЭад00а-л000-4.00</t>
  </si>
  <si>
    <t>'2.8.4.</t>
  </si>
  <si>
    <t>Разработка и эксплуатация нефтяных и газовых месторождений</t>
  </si>
  <si>
    <t>ИРЭад00р-л000-4.00</t>
  </si>
  <si>
    <t>ИГЯад00р-л000-4.00</t>
  </si>
  <si>
    <t>'2.8.8.</t>
  </si>
  <si>
    <t>Геотехнология, горные машины</t>
  </si>
  <si>
    <t>ИЭАад00а-л000-4.00</t>
  </si>
  <si>
    <t>'2.9.5.</t>
  </si>
  <si>
    <t>Эксплуатация автомобильного транспорта</t>
  </si>
  <si>
    <t>ИЭАад00р-л000-4.00</t>
  </si>
  <si>
    <t>ИЛТад00а-л000-3.00</t>
  </si>
  <si>
    <t>'2.9.9.</t>
  </si>
  <si>
    <t>Логистические транспортные системы</t>
  </si>
  <si>
    <t>ИЛТад00р-л000-3.00</t>
  </si>
  <si>
    <t>ИММад00а-л000-3.00</t>
  </si>
  <si>
    <t>'5.2.2.</t>
  </si>
  <si>
    <t>Математические, статистические и инструментальные методы в экономике</t>
  </si>
  <si>
    <t>ИММад00р-л000-3.00</t>
  </si>
  <si>
    <t>ИААбв00р-л000-5.06</t>
  </si>
  <si>
    <t>ИАРбв00р-л000-5.06</t>
  </si>
  <si>
    <t>ИАНбв01р-л000-5.06</t>
  </si>
  <si>
    <t>ИДСбв02р-л000-5.06</t>
  </si>
  <si>
    <t>ИСРбв00р-л000-5.00</t>
  </si>
  <si>
    <t>ИНГбв05р-л000-4.06</t>
  </si>
  <si>
    <t>ИНГбв07р-л000-4.06</t>
  </si>
  <si>
    <t>ИУСбв01р-л000-5.00</t>
  </si>
  <si>
    <t>Информационные технологии в управлении</t>
  </si>
  <si>
    <t>ИУСбв05р-л000-5.00</t>
  </si>
  <si>
    <t>ИАРмв01р-л000-2.06</t>
  </si>
  <si>
    <t>ИМПмв02р-л000-2.06</t>
  </si>
  <si>
    <t>Технологии автоматизации промышленных систем</t>
  </si>
  <si>
    <t>ИМПмв06р-л000-2.06</t>
  </si>
  <si>
    <t>ИНГмв03р-л000-2.06</t>
  </si>
  <si>
    <t>ИСРбз00р-л000-5.00</t>
  </si>
  <si>
    <t>ИЭМбз05р-л000-5.00</t>
  </si>
  <si>
    <t>ИЭМбз06р-л000-5.00</t>
  </si>
  <si>
    <t>ИМПбз00р-л000-5.00</t>
  </si>
  <si>
    <t>ИМПбз02р-л000-5.00</t>
  </si>
  <si>
    <t>ИТКбз00р-л000-5.00</t>
  </si>
  <si>
    <t>ИТКбз05р-л000-5.00</t>
  </si>
  <si>
    <t>ИУСбз03р-л000-5.00</t>
  </si>
  <si>
    <t>ИУСбз09р-л000-5.00</t>
  </si>
  <si>
    <t>ИУСбз10р-л000-5.00</t>
  </si>
  <si>
    <t>ИНВбз01р-л000-5.00</t>
  </si>
  <si>
    <t>ИНИбз00р-л000-5.00</t>
  </si>
  <si>
    <t>ИНИбз01р-л000-5.00</t>
  </si>
  <si>
    <t>ИСРмз02р-л000-2.06</t>
  </si>
  <si>
    <t>Теория и практика организационно-технологических и экономических решений в строительстве</t>
  </si>
  <si>
    <t>ИСРмз12р-л000-2.06</t>
  </si>
  <si>
    <t>ИЭМмз04р-л000-2.06</t>
  </si>
  <si>
    <t>ИТКмз01р-л000-2.06</t>
  </si>
  <si>
    <t>ИНВмз01р-л000-2.06</t>
  </si>
  <si>
    <t>Управление инновациями</t>
  </si>
  <si>
    <t>ИНВмз04р-л000-2.06</t>
  </si>
  <si>
    <t>ИТСаз01р-л000-5.00</t>
  </si>
  <si>
    <t>'08.06.01</t>
  </si>
  <si>
    <t>Техника и технологии строительства</t>
  </si>
  <si>
    <t>ИТСаз02р-л000-5.00</t>
  </si>
  <si>
    <t>Гидравлика и инженерная гидрология</t>
  </si>
  <si>
    <t>ИТСаз03р-л000-5.00</t>
  </si>
  <si>
    <t>Гидротехническое строительство</t>
  </si>
  <si>
    <t>ИТСаз04р-л000-5.00</t>
  </si>
  <si>
    <t>ИТСаз05р-л000-5.00</t>
  </si>
  <si>
    <t>ИТСаз06р-л000-5.00</t>
  </si>
  <si>
    <t>ИИВаз01р-л000-5.00</t>
  </si>
  <si>
    <t>'09.06.01</t>
  </si>
  <si>
    <t>Информатика и вычислительная техника</t>
  </si>
  <si>
    <t>Системный анализ, управление и обработка информации (технические науки)</t>
  </si>
  <si>
    <t>ИИВаз03р-л000-5.00</t>
  </si>
  <si>
    <t>Управление в социальных и экономических системах (технические науки)</t>
  </si>
  <si>
    <t>ИИВаз06р-л000-5.00</t>
  </si>
  <si>
    <t>Элементы и устройства вычислительной техники и систем управления (технические науки)</t>
  </si>
  <si>
    <t>ИЭТаз01р-л000-5.00</t>
  </si>
  <si>
    <t>'13.06.01</t>
  </si>
  <si>
    <t>Электро- и теплотехника</t>
  </si>
  <si>
    <t>Тепловые двигатели</t>
  </si>
  <si>
    <t>ИЭТаз02р-л000-5.00</t>
  </si>
  <si>
    <t>Турбомашины и комбинированные турбоустановки</t>
  </si>
  <si>
    <t>ИМСаз01р-л000-5.00</t>
  </si>
  <si>
    <t>'15.06.01</t>
  </si>
  <si>
    <t>ИРПаз01р-л000-5.00</t>
  </si>
  <si>
    <t>'21.06.01</t>
  </si>
  <si>
    <t>Геология, разведка и разработка полезных ископаемых</t>
  </si>
  <si>
    <t>Геотехнология (подземная, открытая и строительная)</t>
  </si>
  <si>
    <t>ИРПаз02р-л000-5.00</t>
  </si>
  <si>
    <t>ИРПаз03р-л000-5.00</t>
  </si>
  <si>
    <t>ИТНаз01р-л000-5.00</t>
  </si>
  <si>
    <t>'23.06.01</t>
  </si>
  <si>
    <t>Техника и технологии наземного транспорта</t>
  </si>
  <si>
    <t>ЛТДсд03р-л000-5.00</t>
  </si>
  <si>
    <t>'38.05.02</t>
  </si>
  <si>
    <t>Таможенное дело</t>
  </si>
  <si>
    <t>Таможенный контроль</t>
  </si>
  <si>
    <t>Институт внешнеэкономической безопасности и таможенного дела</t>
  </si>
  <si>
    <t>ЛТДсд04р-л000-5.00</t>
  </si>
  <si>
    <t>ВЭД в условиях цифровизации экономики</t>
  </si>
  <si>
    <t>ЛТДсв04р-л000-5.06</t>
  </si>
  <si>
    <t>ЛТДсз04р-л000-5.06</t>
  </si>
  <si>
    <t>ЯЗРбд01р-л000-4.00</t>
  </si>
  <si>
    <t>'41.03.01</t>
  </si>
  <si>
    <t>Зарубежное регионоведение</t>
  </si>
  <si>
    <t>Зарубежное регионоведение: Европейский регион</t>
  </si>
  <si>
    <t>Институт иностранных языков</t>
  </si>
  <si>
    <t>ЯЗРбд07р-л000-4.00</t>
  </si>
  <si>
    <t>Зарубежное регионоведение: Евро-Азиатский и Средиземноморский регионы</t>
  </si>
  <si>
    <t>ЯПОбд01р-л000-4.00</t>
  </si>
  <si>
    <t>'44.03.02</t>
  </si>
  <si>
    <t>Психология образования</t>
  </si>
  <si>
    <t>ЯЛНбд04р-л000-4.00</t>
  </si>
  <si>
    <t>'45.03.02</t>
  </si>
  <si>
    <t>Лингвистика</t>
  </si>
  <si>
    <t>Теория и методика преподавания иностранных языков и культур</t>
  </si>
  <si>
    <t>ЯЛНбд05р-л000-4.00</t>
  </si>
  <si>
    <t>Перевод и переводоведение</t>
  </si>
  <si>
    <t>ЯЗРмд08р-л000-2.00</t>
  </si>
  <si>
    <t>'41.04.01</t>
  </si>
  <si>
    <t>Зарубежное регионоведение: Евро-Азиатские и Средиземноморские исследования</t>
  </si>
  <si>
    <t>ЯПОмд02р-л000-2.00</t>
  </si>
  <si>
    <t>Психолого-педагогические основы организационно-управленческой деятельности</t>
  </si>
  <si>
    <t>ЯЛНмд06р-л000-2.00</t>
  </si>
  <si>
    <t>'45.04.02</t>
  </si>
  <si>
    <t>Теория коммуникации и международные связи с общественностью (PR)</t>
  </si>
  <si>
    <t>ЯЛНмд09р-л000-2.00</t>
  </si>
  <si>
    <t>Теория коммуникации и синхронный перевод</t>
  </si>
  <si>
    <t>ЯЛНмд10р-д015-2.00</t>
  </si>
  <si>
    <t>Теория коммуникации и международные связи с общественностью (PR) - Иностранный язык: два иностранных языка</t>
  </si>
  <si>
    <t>ЯОИад00р-л000-3.00</t>
  </si>
  <si>
    <t>'5.3.1.</t>
  </si>
  <si>
    <t>Общая психология, психология личности, история психологии</t>
  </si>
  <si>
    <t>Общая психология (Проблемы общения и коммуникации)</t>
  </si>
  <si>
    <t>ЯООад00р-л000-3.00</t>
  </si>
  <si>
    <t>'5.8.1.</t>
  </si>
  <si>
    <t>Общая педагогика, история педагогики и образования</t>
  </si>
  <si>
    <t>Общая педагогика, история педагогики и образования (Педагогическое регулирование социальных отношений личности и социокультурной среды</t>
  </si>
  <si>
    <t>ЯТУад02а-л000-3.00</t>
  </si>
  <si>
    <t>'5.8.2.</t>
  </si>
  <si>
    <t>Теория и методика обучения и воспитания (по областям и уровням образования)</t>
  </si>
  <si>
    <t>Теория и методика обучения и воспитания (иностранные языки): интралингводидактика, межкультурная коммуникация</t>
  </si>
  <si>
    <t>ЯТУад02р-л000-3.00</t>
  </si>
  <si>
    <t>ЯЯНад00р-л000-3.00</t>
  </si>
  <si>
    <t>'5.9.6.</t>
  </si>
  <si>
    <t>Языки народов зарубежных стран (с указанием конкретного языка или группы языков)</t>
  </si>
  <si>
    <t>Языки народов зарубежных стран (романские языки): Исторические особенности развития диалектов романских языков</t>
  </si>
  <si>
    <t>ЯЯНад01р-л000-3.00</t>
  </si>
  <si>
    <t>Языки народов зарубежных стран (германские языки): Общие тенденции и индивидуальные тенденции развития германских языков</t>
  </si>
  <si>
    <t>ЯТЛад06р-л000-3.00</t>
  </si>
  <si>
    <t>'5.9.8.</t>
  </si>
  <si>
    <t>Теоретическая, прикладная и сравнительно-сопоставительная лингвистика</t>
  </si>
  <si>
    <t>Сравнение и сопоставление языков в диахронии и синхронии</t>
  </si>
  <si>
    <t>ЯЛНбв04р-л000-4.06</t>
  </si>
  <si>
    <t>ЯЛНбв05р-л000-4.06</t>
  </si>
  <si>
    <t>ЯЛНмв06р-л000-2.06</t>
  </si>
  <si>
    <t>ШЭКбд01р-л000-4.00</t>
  </si>
  <si>
    <t>'38.03.01</t>
  </si>
  <si>
    <t>Мировая экономика</t>
  </si>
  <si>
    <t>Институт мировой экономики и бизнеса</t>
  </si>
  <si>
    <t>ШЭКбд14р-л000-4.00</t>
  </si>
  <si>
    <t>Международная экономическая безопасность</t>
  </si>
  <si>
    <t>ШЭКбд15р-л000-4.00</t>
  </si>
  <si>
    <t>Цифровая экономика</t>
  </si>
  <si>
    <t>ШЭКбд19р-л000-4.00</t>
  </si>
  <si>
    <t>Аналитика данных в экономике и бизнесе</t>
  </si>
  <si>
    <t>ШЭКбд20р-л000-4.00</t>
  </si>
  <si>
    <t>Бизнес-консалтинг, цифровой учет и аудит</t>
  </si>
  <si>
    <t>ШЭКбд21р-л000-4.00</t>
  </si>
  <si>
    <t>Мировая экономика и международная экономическая безопасность</t>
  </si>
  <si>
    <t>ШМНбд01р-л000-4.00</t>
  </si>
  <si>
    <t>Международный менеджмент</t>
  </si>
  <si>
    <t>ШРОбд01р-л000-4.00</t>
  </si>
  <si>
    <t>'42.03.01</t>
  </si>
  <si>
    <t>Реклама и связи с общественностью</t>
  </si>
  <si>
    <t>Реклама</t>
  </si>
  <si>
    <t>ШРОбд02р-л000-4.00</t>
  </si>
  <si>
    <t>Связи с общественностью</t>
  </si>
  <si>
    <t>ШРОбд03р-л000-4.00</t>
  </si>
  <si>
    <t>Цифровые маркетинговые коммуникации</t>
  </si>
  <si>
    <t>ШЭКмд26р-л000-2.00</t>
  </si>
  <si>
    <t>Международные финансы и бизнес</t>
  </si>
  <si>
    <t>ШЭКмд27р-л000-2.00</t>
  </si>
  <si>
    <t>Комплексная безопасность госкорпораций и бизнеса</t>
  </si>
  <si>
    <t>ШЭКмд29р-л000-2.00</t>
  </si>
  <si>
    <t>Исламские финансы и бизнес</t>
  </si>
  <si>
    <t>ШЭКмд30р-л000-2.00</t>
  </si>
  <si>
    <t>Международные финансы</t>
  </si>
  <si>
    <t>ШМНмд15р-л000-2.00</t>
  </si>
  <si>
    <t>Управление международным бизнесом</t>
  </si>
  <si>
    <t>ШРОмд01р-л000-2.00</t>
  </si>
  <si>
    <t>'42.04.01</t>
  </si>
  <si>
    <t>Рекламный менеджмент</t>
  </si>
  <si>
    <t>ШРОмд02р-л000-2.00</t>
  </si>
  <si>
    <t>Управление связями с общественностью</t>
  </si>
  <si>
    <t>ШЛНмд01а-л000-2.00</t>
  </si>
  <si>
    <t>Иностранный язык профессионального общения и специализированный перевод</t>
  </si>
  <si>
    <t>ШЛНмд01к-л000-2.00</t>
  </si>
  <si>
    <t>Китайский</t>
  </si>
  <si>
    <t>РФЛбд01р-л000-4.00</t>
  </si>
  <si>
    <t>'45.03.01</t>
  </si>
  <si>
    <t>Филология</t>
  </si>
  <si>
    <t>Прикладная цифровая филология</t>
  </si>
  <si>
    <t>Институт русского языка</t>
  </si>
  <si>
    <t>РИВбд00р-л000-4.00</t>
  </si>
  <si>
    <t>'45.03.04</t>
  </si>
  <si>
    <t>Интеллектуальные системы в гуманитарной сфере</t>
  </si>
  <si>
    <t>Кибертехнологии и анализ данных в гуманитарной сфере</t>
  </si>
  <si>
    <t>РОБмд00р-л000-2.00</t>
  </si>
  <si>
    <t>'44.04.01</t>
  </si>
  <si>
    <t>Педагогическое образование</t>
  </si>
  <si>
    <t>Лингвокультурная педагогика</t>
  </si>
  <si>
    <t>РФЛмд08р-д070-2.00</t>
  </si>
  <si>
    <t>'45.04.01</t>
  </si>
  <si>
    <t>Глобальная русистика</t>
  </si>
  <si>
    <t>Тюменский государственный университет</t>
  </si>
  <si>
    <t>РФЛмд09р-л000-2.00</t>
  </si>
  <si>
    <t>Цифровые инновации в филологии</t>
  </si>
  <si>
    <t>РФЛмд13р-д084-2.00</t>
  </si>
  <si>
    <t>Цифровая филология</t>
  </si>
  <si>
    <t>Кыргызско-Российский (Славянский) Университет</t>
  </si>
  <si>
    <t>РФЛмд14р-д036-2.00</t>
  </si>
  <si>
    <t>Русский язык и литература в полиэтнической среде</t>
  </si>
  <si>
    <t>Российско-Таджикский (Славянский) университет</t>
  </si>
  <si>
    <t>РЛНмд15р-д093-2.00</t>
  </si>
  <si>
    <t>Липецкий государственный педагогический университет имени П.П. Семенова-Тян-Шанского</t>
  </si>
  <si>
    <t>РИВмд00р-л000-2.00</t>
  </si>
  <si>
    <t>'45.04.04</t>
  </si>
  <si>
    <t>Интеллектуальные системы в гуманитарной среде</t>
  </si>
  <si>
    <t>Интеллектуальные технологии и анализ данных в гуманитарной сфере</t>
  </si>
  <si>
    <t>РПЦад00р-л000-3.00</t>
  </si>
  <si>
    <t>'5.3.4.</t>
  </si>
  <si>
    <t>Педагогическая психология, психодиагностика цифровых образовательных сред</t>
  </si>
  <si>
    <t>Психология традиционных и цифровых образовательных сред</t>
  </si>
  <si>
    <t>РООад02р-л000-3.00</t>
  </si>
  <si>
    <t>Междисциплинарность в педагогических исследованиях</t>
  </si>
  <si>
    <t>РТУад01р-л000-3.00</t>
  </si>
  <si>
    <t>Этноориентированная методика обучения русскому языку как иностранному</t>
  </si>
  <si>
    <t>РМТад00р-л000-3.00</t>
  </si>
  <si>
    <t>'5.8.7.</t>
  </si>
  <si>
    <t>Методология и технология профессионального образования</t>
  </si>
  <si>
    <t>Русский язык как иностранный: теория и методика профессионального образования</t>
  </si>
  <si>
    <t>РРЯад01р-л000-3.00</t>
  </si>
  <si>
    <t>'5.9.5.</t>
  </si>
  <si>
    <t>Русский язык. Языки народов России</t>
  </si>
  <si>
    <t>Русский язык в речевой культуре современных носителей русского языка и билингвальных студентов</t>
  </si>
  <si>
    <t>РРЯад02р-л000-3.00</t>
  </si>
  <si>
    <t>Лингвокультурология: теория и практика</t>
  </si>
  <si>
    <t>РТЛад01р-л000-3.00</t>
  </si>
  <si>
    <t>Русско-инонациональный (массовый и индивидуальный) би- и транслингвизм</t>
  </si>
  <si>
    <t>РТЛад02р-л000-3.00</t>
  </si>
  <si>
    <t>Сравнительно-типологические, сравнительно-сопоставительные исследования русского языка с языками народов РФ</t>
  </si>
  <si>
    <t>РТЛад03р-л000-3.00</t>
  </si>
  <si>
    <t>Лингвистический анализ русскоязычного художественного текста нерусских авторов, в том числе представителей коренных народов РФ</t>
  </si>
  <si>
    <t>РТЛад05р-л000-3.00</t>
  </si>
  <si>
    <t>Транслатология: теория и методология</t>
  </si>
  <si>
    <t>РФЛбв01р-л000-4.06</t>
  </si>
  <si>
    <t>РИВбв00р-л000-4.06</t>
  </si>
  <si>
    <t>РФЛмв09р-л000-2.06</t>
  </si>
  <si>
    <t>РФЛбз01р-л000-5.00</t>
  </si>
  <si>
    <t>РФЛмз09р-л000-2.06</t>
  </si>
  <si>
    <t>РФЛмз13р-д084-2.06</t>
  </si>
  <si>
    <t>РФЛмз14р-д036-2.06</t>
  </si>
  <si>
    <t>ЖХМмд01р-л000-2.00</t>
  </si>
  <si>
    <t>'04.04.01</t>
  </si>
  <si>
    <t>Химия</t>
  </si>
  <si>
    <t>Биохимические технологии и нанотехнологии</t>
  </si>
  <si>
    <t>Институт фармации и биотехнологии</t>
  </si>
  <si>
    <t>ЖНТмд03р-л000-2.00</t>
  </si>
  <si>
    <t>Инновационные технологии и нанотехнологии в медицине, фармацевтике и биотехнологии</t>
  </si>
  <si>
    <t>ЖПФмд01р-л000-2.00</t>
  </si>
  <si>
    <t>'33.04.01</t>
  </si>
  <si>
    <t>Промышленная фармация</t>
  </si>
  <si>
    <t>Биофармацевтические технологии и управление фармпроизводством</t>
  </si>
  <si>
    <t>ЖБТад00р-л000-4.00</t>
  </si>
  <si>
    <t>'1.5.6.</t>
  </si>
  <si>
    <t>Биотехнология</t>
  </si>
  <si>
    <t>ЖПТад02а-с047-3.00</t>
  </si>
  <si>
    <t>'3.4.1.</t>
  </si>
  <si>
    <t>Промышленная фармация и технология получения лекарств</t>
  </si>
  <si>
    <t>Фармацевтическая технология</t>
  </si>
  <si>
    <t>Университет г. Базель</t>
  </si>
  <si>
    <t>ЖПТад02р-л000-3.00</t>
  </si>
  <si>
    <t>ЖХМмв01р-л000-2.06</t>
  </si>
  <si>
    <t>ЖПФмз01р-л000-2.06</t>
  </si>
  <si>
    <t>ОЭПбд00р-л000-4.00</t>
  </si>
  <si>
    <t>'05.03.06</t>
  </si>
  <si>
    <t>Экология и природопользование</t>
  </si>
  <si>
    <t>Институт экологии</t>
  </si>
  <si>
    <t>ОЭПбд01р-л000-4.00</t>
  </si>
  <si>
    <t>Управление природными ресурсами</t>
  </si>
  <si>
    <t>ОЭПбд02р-л000-4.00</t>
  </si>
  <si>
    <t>Экология и устойчивое развитие</t>
  </si>
  <si>
    <t>ОРСбд00р-л000-4.00</t>
  </si>
  <si>
    <t>'18.03.02</t>
  </si>
  <si>
    <t>Энерго- и ресурсосберегающие процессы в химической технологии, нефтехимии и биотехнологии</t>
  </si>
  <si>
    <t>ОПМмд05р-л000-2.00</t>
  </si>
  <si>
    <t>Моделирование и прогнозирование процессов в экологии и экономике</t>
  </si>
  <si>
    <t>ОЭПмд00р-д015-2.00</t>
  </si>
  <si>
    <t>'05.04.06</t>
  </si>
  <si>
    <t>Природопользование</t>
  </si>
  <si>
    <t>ОЭПмд00р-с038-2.00</t>
  </si>
  <si>
    <t>Университет Шанхайской организации сотрудничества (Университет ШОС)</t>
  </si>
  <si>
    <t>ОЭПмд04а-л000-2.00</t>
  </si>
  <si>
    <t>Экономика управления природными ресурсами</t>
  </si>
  <si>
    <t>ОЭПмд05р-с009-2.00</t>
  </si>
  <si>
    <t>Рециклинг отходов производства и потребления</t>
  </si>
  <si>
    <t>ОЭПмд06р-л000-2.00</t>
  </si>
  <si>
    <t>Экспертиза в области охраны окружающей среды и устойчивого развития</t>
  </si>
  <si>
    <t>ОЭПмд07а-д008-2.00</t>
  </si>
  <si>
    <t>Комплексное управление твердыми отходами</t>
  </si>
  <si>
    <t>Евразийский национальный университет им. Л.Н. Гумилева</t>
  </si>
  <si>
    <t>ОЭПмд08р-л000-2.00</t>
  </si>
  <si>
    <t>Экология города</t>
  </si>
  <si>
    <t>ОЭПмд12а-д063-2.00</t>
  </si>
  <si>
    <t>Управление природопользованием</t>
  </si>
  <si>
    <t>Шаньдунский университет</t>
  </si>
  <si>
    <t>ОЭПмд12р-с008-2.00</t>
  </si>
  <si>
    <t>ОЭПмд12р-с067-2.00</t>
  </si>
  <si>
    <t>Ланьчжоуский университет</t>
  </si>
  <si>
    <t>ОЭПмд12р-с068-2.00</t>
  </si>
  <si>
    <t>Северо-восточный педагогический университет</t>
  </si>
  <si>
    <t>ОЭПмд13р-л000-2.00</t>
  </si>
  <si>
    <t>Управление охраной труда, промышленной и экологической безопасностью (HSE – менеджмент)</t>
  </si>
  <si>
    <t>ОЭПмд17а-д085-2.00</t>
  </si>
  <si>
    <t>Экологическая инженерия в строительстве</t>
  </si>
  <si>
    <t>Национальный исследовательский Московский государственный строительный университет</t>
  </si>
  <si>
    <t>ОЭПмд17р-д085-2.00</t>
  </si>
  <si>
    <t>ОЭПмд18р-д065-2.00</t>
  </si>
  <si>
    <t>Экологическая экспертиза и устойчивое развитие</t>
  </si>
  <si>
    <t>ОЭПмд19р-л000-2.00</t>
  </si>
  <si>
    <t>Биобезопасность и карантин растений</t>
  </si>
  <si>
    <t>ОЭПмд20р-л000-2.00</t>
  </si>
  <si>
    <t>Зеленая экономика и устойчивое развитие предприятий</t>
  </si>
  <si>
    <t>ОЭПмд21а-л000-2.00</t>
  </si>
  <si>
    <t>Управление климатическими проектами</t>
  </si>
  <si>
    <t>ОЭПмд22а-л000-2.00</t>
  </si>
  <si>
    <t>Комплексное управление твердыми бытовыми отходами</t>
  </si>
  <si>
    <t>ОЭПмд23р-л000-2.00</t>
  </si>
  <si>
    <t>Урбанистика и экологическое проектирование городской среды</t>
  </si>
  <si>
    <t>ОЭПмд24р-м106-2.00</t>
  </si>
  <si>
    <t>Методы и технологии снижения углеродного следа в нефтегазовой отрасли</t>
  </si>
  <si>
    <t xml:space="preserve">ФГБОУ ВО «Российский государственный геологоразведочный университет имени Серго Орджоникидзе» (МГРИ) </t>
  </si>
  <si>
    <t>ОМНмд09р-л000-2.00</t>
  </si>
  <si>
    <t>ОПОмд04а-л000-2.00</t>
  </si>
  <si>
    <t>Экологическая педагогика</t>
  </si>
  <si>
    <t>ОЭГад01р-л000-4.00</t>
  </si>
  <si>
    <t>ОЭГад02а-с026-4.00</t>
  </si>
  <si>
    <t>Современные экологические исследования</t>
  </si>
  <si>
    <t>Международный государственный экологический институт им. А.Д. Сахарова Белорусского государственного университета</t>
  </si>
  <si>
    <t>ОЭГад02а-с046-4.00</t>
  </si>
  <si>
    <t>Университет Витовта Великого</t>
  </si>
  <si>
    <t>ОЭГад03а-л000-4.00</t>
  </si>
  <si>
    <t>Экология: Современные исследования окружающей среды</t>
  </si>
  <si>
    <t>ОГЭад00р-л000-3.00</t>
  </si>
  <si>
    <t>'1.6.21.</t>
  </si>
  <si>
    <t>Геоэкология</t>
  </si>
  <si>
    <t>ОЭПбв00р-л000-4.06</t>
  </si>
  <si>
    <t>ОЭПбв01р-л000-4.06</t>
  </si>
  <si>
    <t>ОЭПбв02р-л000-4.06</t>
  </si>
  <si>
    <t>ОРСбв00р-л000-4.06</t>
  </si>
  <si>
    <t>ОПМмв05р-л000-2.06</t>
  </si>
  <si>
    <t>ОЭПмв08р-л000-2.06</t>
  </si>
  <si>
    <t>ОЭПмв13р-л000-2.06</t>
  </si>
  <si>
    <t>ОСМмв01р-л000-2.06</t>
  </si>
  <si>
    <t>Оценка соответствия качества и безопасности продукции</t>
  </si>
  <si>
    <t>ОМНмв09р-л000-2.06</t>
  </si>
  <si>
    <t>ОЭПбз00р-л000-4.06</t>
  </si>
  <si>
    <t>ОЭПбз01р-л000-4.06</t>
  </si>
  <si>
    <t>ОЭПбз02р-л000-4.06</t>
  </si>
  <si>
    <t>ОРСбз00р-л000-4.06</t>
  </si>
  <si>
    <t>ОЭПмз13р-л000-2.06</t>
  </si>
  <si>
    <t>ОЭПмз17а-д085-2.06</t>
  </si>
  <si>
    <t>ОЭПмз17р-д085-2.06</t>
  </si>
  <si>
    <t>ОЭПмз19р-л000-2.06</t>
  </si>
  <si>
    <t>ОЭПмз23р-л000-2.06</t>
  </si>
  <si>
    <t>ОСМмз01р-л000-2.06</t>
  </si>
  <si>
    <t>ОПОмз04а-л000-2.06</t>
  </si>
  <si>
    <t>Инкубатор Лечебное дело</t>
  </si>
  <si>
    <t>'31.05.01</t>
  </si>
  <si>
    <t>дело</t>
  </si>
  <si>
    <t>Лечебное дело</t>
  </si>
  <si>
    <t>Медицинский институт</t>
  </si>
  <si>
    <t>МЛДсд00а-л000-6.00</t>
  </si>
  <si>
    <t>6.00</t>
  </si>
  <si>
    <t>МЛДсд00р-д071-6.00</t>
  </si>
  <si>
    <t>Ташкентский государственный стоматологический институт при Министерстве здравоохранения</t>
  </si>
  <si>
    <t>МЛДсд00р-д102-6.00</t>
  </si>
  <si>
    <t>Бухарский государственный медицинский институт имени Абу Али ибн Сино</t>
  </si>
  <si>
    <t>МЛДсд00р-л000-6.00</t>
  </si>
  <si>
    <t>Инкубатор Стоматология</t>
  </si>
  <si>
    <t>'31.05.03</t>
  </si>
  <si>
    <t>огия</t>
  </si>
  <si>
    <t>Стоматология</t>
  </si>
  <si>
    <t>МСЯсд00а-л000-5.00</t>
  </si>
  <si>
    <t>МСЯсд00р-д071-5.00</t>
  </si>
  <si>
    <t>МСЯсд00р-д102-5.00</t>
  </si>
  <si>
    <t>МСЯсд00р-л000-5.00</t>
  </si>
  <si>
    <t>МФЯсд00р-л000-5.00</t>
  </si>
  <si>
    <t>'33.05.01</t>
  </si>
  <si>
    <t>Фармация</t>
  </si>
  <si>
    <t>МБЛбд01р-л000-4.00</t>
  </si>
  <si>
    <t>'06.03.01</t>
  </si>
  <si>
    <t>Биология</t>
  </si>
  <si>
    <t>Биомедицина</t>
  </si>
  <si>
    <t>МСЕбд00р-л000-4.00</t>
  </si>
  <si>
    <t>'34.03.01</t>
  </si>
  <si>
    <t>Сестринское дело</t>
  </si>
  <si>
    <t>МБЛмд01р-л000-2.00</t>
  </si>
  <si>
    <t>'06.04.01</t>
  </si>
  <si>
    <t>Биофармацевтический анализ</t>
  </si>
  <si>
    <t>МБЛмд02р-л000-2.00</t>
  </si>
  <si>
    <t>Радиационная биомедицина</t>
  </si>
  <si>
    <t>МБЛмд03р-л000-2.00</t>
  </si>
  <si>
    <t>Генная и тканевая инженерия</t>
  </si>
  <si>
    <t>МПФмд02р-л000-2.00</t>
  </si>
  <si>
    <t>Создание и разработка лекарственных препаратов</t>
  </si>
  <si>
    <t>МСЕмд01р-л000-2.00</t>
  </si>
  <si>
    <t>'34.04.01</t>
  </si>
  <si>
    <t>Управление сестринской деятельностью</t>
  </si>
  <si>
    <t>ММБад00р-л000-4.00</t>
  </si>
  <si>
    <t>'1.5.11.</t>
  </si>
  <si>
    <t>Микробиология</t>
  </si>
  <si>
    <t>МКБад00р-л000-4.00</t>
  </si>
  <si>
    <t>'1.5.22.</t>
  </si>
  <si>
    <t>Клеточная биология</t>
  </si>
  <si>
    <t>Клеточная биология, цитология, гистология</t>
  </si>
  <si>
    <t>МКБад01р-л000-4.00</t>
  </si>
  <si>
    <t>МБХад00р-л000-4.00</t>
  </si>
  <si>
    <t>'1.5.4.</t>
  </si>
  <si>
    <t>Биохимия</t>
  </si>
  <si>
    <t>МБХад01а-л000-4.00</t>
  </si>
  <si>
    <t>Биохимия: молекулярные механизмы опухолей</t>
  </si>
  <si>
    <t>МФЧад00р-л000-4.00</t>
  </si>
  <si>
    <t>'1.5.5.</t>
  </si>
  <si>
    <t>Физиология человека и животных</t>
  </si>
  <si>
    <t>Физиология</t>
  </si>
  <si>
    <t>МФЧад01р-л000-4.00</t>
  </si>
  <si>
    <t>Физиология человека</t>
  </si>
  <si>
    <t>МГТад01р-л000-4.00</t>
  </si>
  <si>
    <t>МГТад02а-л000-4.00</t>
  </si>
  <si>
    <t>Генетика: молекулярные основы наследственных болезней человека</t>
  </si>
  <si>
    <t>МГТад03р-л000-4.00</t>
  </si>
  <si>
    <t>Генетика человека</t>
  </si>
  <si>
    <t>МБИад00р-л000-4.00</t>
  </si>
  <si>
    <t>'1.5.8.</t>
  </si>
  <si>
    <t>Математическая биология, биоинформатика</t>
  </si>
  <si>
    <t>МРХад00р-л000-3.00</t>
  </si>
  <si>
    <t>'3.1.1.</t>
  </si>
  <si>
    <t>Рентгенэндоваскулярная хирургия</t>
  </si>
  <si>
    <t>МНРад00р-л000-3.00</t>
  </si>
  <si>
    <t>'3.1.10.</t>
  </si>
  <si>
    <t>Нейрохирургия</t>
  </si>
  <si>
    <t>МАНад00р-л000-3.00</t>
  </si>
  <si>
    <t>'3.1.12.</t>
  </si>
  <si>
    <t>Анестезиология и реаниматология</t>
  </si>
  <si>
    <t>МУАад00р-л000-3.00</t>
  </si>
  <si>
    <t>'3.1.13.</t>
  </si>
  <si>
    <t>Урология и андрология</t>
  </si>
  <si>
    <t>Урология</t>
  </si>
  <si>
    <t>МУАад01а-л000-3.00</t>
  </si>
  <si>
    <t>Урология: современные направления диагностики и лечения урологических болезней</t>
  </si>
  <si>
    <t>МУАад02р-л000-3.00</t>
  </si>
  <si>
    <t>МССад00р-л000-3.00</t>
  </si>
  <si>
    <t>'3.1.15.</t>
  </si>
  <si>
    <t>Сердечно-сосудистая хирургия</t>
  </si>
  <si>
    <t>МПХад00р-л000-3.00</t>
  </si>
  <si>
    <t>'3.1.16.</t>
  </si>
  <si>
    <t>Пластическая хирургия</t>
  </si>
  <si>
    <t>МПКад00р-л000-3.00</t>
  </si>
  <si>
    <t>'3.1.17.</t>
  </si>
  <si>
    <t>Психиатрия и наркология</t>
  </si>
  <si>
    <t>Психиатрия</t>
  </si>
  <si>
    <t>МПКад01р-л000-3.00</t>
  </si>
  <si>
    <t>Наркология</t>
  </si>
  <si>
    <t>МПКад02р-л000-3.00</t>
  </si>
  <si>
    <t>МВБад00р-л000-3.00</t>
  </si>
  <si>
    <t>'3.1.18.</t>
  </si>
  <si>
    <t>Внутренние болезни</t>
  </si>
  <si>
    <t>МВБад01а-л000-3.00</t>
  </si>
  <si>
    <t>Внутренние болезни: сердечная недостаточность</t>
  </si>
  <si>
    <t>МЧЛад00р-л000-3.00</t>
  </si>
  <si>
    <t>'3.1.2.</t>
  </si>
  <si>
    <t>Челюстно-лицевая хирургия</t>
  </si>
  <si>
    <t>МКДад00р-л000-3.00</t>
  </si>
  <si>
    <t>'3.1.20.</t>
  </si>
  <si>
    <t>Кардиология</t>
  </si>
  <si>
    <t>МПЕад00р-л000-3.00</t>
  </si>
  <si>
    <t>'3.1.21.</t>
  </si>
  <si>
    <t>Педиатрия</t>
  </si>
  <si>
    <t>МИБад00р-л000-3.00</t>
  </si>
  <si>
    <t>'3.1.22.</t>
  </si>
  <si>
    <t>Инфекционные болезни</t>
  </si>
  <si>
    <t>МИБад01а-л000-3.00</t>
  </si>
  <si>
    <t>Социально-значимые инфекционные болезни</t>
  </si>
  <si>
    <t>МДВад00р-л000-3.00</t>
  </si>
  <si>
    <t>'3.1.23.</t>
  </si>
  <si>
    <t>Дерматовенерология</t>
  </si>
  <si>
    <t>Кожные и венерические болезни</t>
  </si>
  <si>
    <t>МДВад01р-л000-3.00</t>
  </si>
  <si>
    <t>МНВад00р-л000-3.00</t>
  </si>
  <si>
    <t>'3.1.24.</t>
  </si>
  <si>
    <t>Неврология</t>
  </si>
  <si>
    <t>Нервные болезни</t>
  </si>
  <si>
    <t>МНВад01р-л000-3.00</t>
  </si>
  <si>
    <t>МОЛад00р-л000-3.00</t>
  </si>
  <si>
    <t>'3.1.3.</t>
  </si>
  <si>
    <t>Оториноларингология</t>
  </si>
  <si>
    <t>Болезни уха, горла и носа</t>
  </si>
  <si>
    <t>МНФад00р-л000-3.00</t>
  </si>
  <si>
    <t>'3.1.32.</t>
  </si>
  <si>
    <t>Нефрология</t>
  </si>
  <si>
    <t>МВЛад00р-л000-3.00</t>
  </si>
  <si>
    <t>'3.1.33.</t>
  </si>
  <si>
    <t>Восстановительная медицина, спортивная медицина, лечебная физкультура, курортология и физиотерапия</t>
  </si>
  <si>
    <t>МАГад00р-л000-3.00</t>
  </si>
  <si>
    <t>'3.1.4.</t>
  </si>
  <si>
    <t>Акушерство и гинекология</t>
  </si>
  <si>
    <t>МОФад00р-л000-3.00</t>
  </si>
  <si>
    <t>'3.1.5.</t>
  </si>
  <si>
    <t>Офтальмология</t>
  </si>
  <si>
    <t>Глазные болезни</t>
  </si>
  <si>
    <t>МОФад01р-л000-3.00</t>
  </si>
  <si>
    <t>МОНад00р-л000-3.00</t>
  </si>
  <si>
    <t>'3.1.6.</t>
  </si>
  <si>
    <t>Онкология, лучевая терапия</t>
  </si>
  <si>
    <t>Онкология</t>
  </si>
  <si>
    <t>МОНад01р-л000-3.00</t>
  </si>
  <si>
    <t>МСТад00р-л000-3.00</t>
  </si>
  <si>
    <t>'3.1.7.</t>
  </si>
  <si>
    <t>МТВад00р-л000-3.00</t>
  </si>
  <si>
    <t>'3.1.8.</t>
  </si>
  <si>
    <t>Травматология и ортопедия</t>
  </si>
  <si>
    <t>МХРад00р-л000-3.00</t>
  </si>
  <si>
    <t>'3.1.9.</t>
  </si>
  <si>
    <t>Хирургия</t>
  </si>
  <si>
    <t>МОЗад01р-л000-3.00</t>
  </si>
  <si>
    <t>'3.2.3.</t>
  </si>
  <si>
    <t>Общественное здоровье, организация и социология здравоохранения, медико-социальная экспертиза</t>
  </si>
  <si>
    <t>МАИад01р-л000-3.00</t>
  </si>
  <si>
    <t>'3.2.7.</t>
  </si>
  <si>
    <t>Иммунология</t>
  </si>
  <si>
    <t>МАЧад00р-л000-4.00</t>
  </si>
  <si>
    <t>'3.3.1.</t>
  </si>
  <si>
    <t>Анатомия человека</t>
  </si>
  <si>
    <t>МПАад00р-л000-4.00</t>
  </si>
  <si>
    <t>'3.3.2.</t>
  </si>
  <si>
    <t>Патологическая анатомия</t>
  </si>
  <si>
    <t>МПФад00р-л000-4.00</t>
  </si>
  <si>
    <t>'3.3.3.</t>
  </si>
  <si>
    <t>Патологическая физиология</t>
  </si>
  <si>
    <t>МПФад01а-л000-4.00</t>
  </si>
  <si>
    <t>Патологическая физиология: патологические механизмы современных заболеваний</t>
  </si>
  <si>
    <t>МСБад00р-л000-4.00</t>
  </si>
  <si>
    <t>'3.3.5.</t>
  </si>
  <si>
    <t>Судебная медицина</t>
  </si>
  <si>
    <t>МФФад00р-л000-4.00</t>
  </si>
  <si>
    <t>'3.3.6.</t>
  </si>
  <si>
    <t>Фармакология, клиническая фармакология</t>
  </si>
  <si>
    <t>ММИад00р-л000-4.00</t>
  </si>
  <si>
    <t>'3.3.9.</t>
  </si>
  <si>
    <t>Медицинская информатика</t>
  </si>
  <si>
    <t>МПТад00р-л000-3.00</t>
  </si>
  <si>
    <t>Технология получения лекарств</t>
  </si>
  <si>
    <t>МПТад01а-л000-3.00</t>
  </si>
  <si>
    <t>Технология получения лекарств: биофармация</t>
  </si>
  <si>
    <t>МПТад03р-л000-3.00</t>
  </si>
  <si>
    <t>МФЗад00р-л000-3.00</t>
  </si>
  <si>
    <t>'3.4.2.</t>
  </si>
  <si>
    <t>Фармацевтическая химия, фармакогнозия</t>
  </si>
  <si>
    <t>МФЗад01а-л000-3.00</t>
  </si>
  <si>
    <t>Фармацевтическая химия: анализ и контроль качества лекарственных средств</t>
  </si>
  <si>
    <t>МОДад00р-л000-3.00</t>
  </si>
  <si>
    <t>'3.4.3.</t>
  </si>
  <si>
    <t>Организация фармацевтического дела</t>
  </si>
  <si>
    <t>МОДад01а-л000-3.00</t>
  </si>
  <si>
    <t>Социальная и административная фармация</t>
  </si>
  <si>
    <t>МФИад00р-л000-3.00</t>
  </si>
  <si>
    <t>'5.8.4.</t>
  </si>
  <si>
    <t>Физическая культура и профессиональная физическая подготовка</t>
  </si>
  <si>
    <t>МТЕад00р-л000-3.00</t>
  </si>
  <si>
    <t>'5.8.5.</t>
  </si>
  <si>
    <t>Теория и методика спорта</t>
  </si>
  <si>
    <t>МОКад00р-л000-3.00</t>
  </si>
  <si>
    <t>'5.8.6.</t>
  </si>
  <si>
    <t>Оздоровительная и адаптивная физическая культура</t>
  </si>
  <si>
    <t>МФРод00р-л000-3.00</t>
  </si>
  <si>
    <t>31.08.78</t>
  </si>
  <si>
    <t>Ординатура</t>
  </si>
  <si>
    <t>Физическая и реабилитационная медицина</t>
  </si>
  <si>
    <t>МАКод00р-л000-2.00</t>
  </si>
  <si>
    <t>'31.08.01</t>
  </si>
  <si>
    <t>МАНод00р-л000-2.00</t>
  </si>
  <si>
    <t>'31.08.02</t>
  </si>
  <si>
    <t>Анестезиология-реаниматология</t>
  </si>
  <si>
    <t>МКЛод00р-л000-2.00</t>
  </si>
  <si>
    <t>'31.08.05</t>
  </si>
  <si>
    <t>Клиническая лабораторная диагностика</t>
  </si>
  <si>
    <t>МЛГод00р-л000-2.00</t>
  </si>
  <si>
    <t>'31.08.06</t>
  </si>
  <si>
    <t xml:space="preserve">Лабораторная генетика </t>
  </si>
  <si>
    <t>Лабораторная генетика</t>
  </si>
  <si>
    <t>МПАод00р-л000-2.00</t>
  </si>
  <si>
    <t>'31.08.07</t>
  </si>
  <si>
    <t>МРДод00р-л000-2.00</t>
  </si>
  <si>
    <t>'31.08.08</t>
  </si>
  <si>
    <t>Радиология</t>
  </si>
  <si>
    <t>МРНод00р-л000-2.00</t>
  </si>
  <si>
    <t>'31.08.09</t>
  </si>
  <si>
    <t>Рентгенология</t>
  </si>
  <si>
    <t>МСЭод00р-л000-2.00</t>
  </si>
  <si>
    <t>'31.08.10</t>
  </si>
  <si>
    <t>Судебно-медицинская экспертиза</t>
  </si>
  <si>
    <t>МФДод00р-л000-2.00</t>
  </si>
  <si>
    <t>'31.08.12</t>
  </si>
  <si>
    <t>Функциональная диагностика</t>
  </si>
  <si>
    <t>МДХод00р-л000-2.00</t>
  </si>
  <si>
    <t>'31.08.16</t>
  </si>
  <si>
    <t>Детская хирургия</t>
  </si>
  <si>
    <t>МПДод00р-л000-2.00</t>
  </si>
  <si>
    <t>'31.08.19</t>
  </si>
  <si>
    <t>МПЯод00р-л000-2.00</t>
  </si>
  <si>
    <t>'31.08.20</t>
  </si>
  <si>
    <t>МАИод00р-л000-2.00</t>
  </si>
  <si>
    <t>'31.08.26</t>
  </si>
  <si>
    <t>Аллергология и иммунология</t>
  </si>
  <si>
    <t>МГЭод00р-л000-2.00</t>
  </si>
  <si>
    <t>'31.08.28</t>
  </si>
  <si>
    <t>Гастроэнтерология</t>
  </si>
  <si>
    <t>МГМод00р-л000-2.00</t>
  </si>
  <si>
    <t>'31.08.29</t>
  </si>
  <si>
    <t>Гематология</t>
  </si>
  <si>
    <t>МДМод00р-л000-2.00</t>
  </si>
  <si>
    <t>'31.08.32</t>
  </si>
  <si>
    <t>МИБод00р-л000-2.00</t>
  </si>
  <si>
    <t>'31.08.35</t>
  </si>
  <si>
    <t>МКДод00р-л000-2.00</t>
  </si>
  <si>
    <t>'31.08.36</t>
  </si>
  <si>
    <t>МКФод00р-л000-2.00</t>
  </si>
  <si>
    <t>'31.08.37</t>
  </si>
  <si>
    <t xml:space="preserve">Клиническая фармакология </t>
  </si>
  <si>
    <t>Клиническая фармакология</t>
  </si>
  <si>
    <t>МЛФод00р-л000-2.00</t>
  </si>
  <si>
    <t>'31.08.39</t>
  </si>
  <si>
    <t>Лечебная физкультура и спортивная медицина</t>
  </si>
  <si>
    <t>МНВод00р-л000-2.00</t>
  </si>
  <si>
    <t>'31.08.42</t>
  </si>
  <si>
    <t>МНФод00р-л000-2.00</t>
  </si>
  <si>
    <t>'31.08.43</t>
  </si>
  <si>
    <t>МПУод00р-л000-2.00</t>
  </si>
  <si>
    <t>'31.08.45</t>
  </si>
  <si>
    <t>Пульмонология</t>
  </si>
  <si>
    <t>МРМод00р-л000-2.00</t>
  </si>
  <si>
    <t>'31.08.46</t>
  </si>
  <si>
    <t>Ревматология</t>
  </si>
  <si>
    <t>МРЕод00р-л000-2.00</t>
  </si>
  <si>
    <t>'31.08.47</t>
  </si>
  <si>
    <t>Рефлексотерапия</t>
  </si>
  <si>
    <t>МТПод00р-л000-2.00</t>
  </si>
  <si>
    <t>'31.08.49</t>
  </si>
  <si>
    <t>Терапия</t>
  </si>
  <si>
    <t>МФОод00р-л000-2.00</t>
  </si>
  <si>
    <t>'31.08.50</t>
  </si>
  <si>
    <t>Физиотерапия</t>
  </si>
  <si>
    <t>МФТод00р-л000-2.00</t>
  </si>
  <si>
    <t>'31.08.51</t>
  </si>
  <si>
    <t>Фтизиатрия</t>
  </si>
  <si>
    <t>МЭРод00р-л000-2.00</t>
  </si>
  <si>
    <t>'31.08.53</t>
  </si>
  <si>
    <t>Эндокринология</t>
  </si>
  <si>
    <t>МОВод00р-л000-2.00</t>
  </si>
  <si>
    <t>'31.08.54</t>
  </si>
  <si>
    <t>Общая врачебная практика (семейная медицина)</t>
  </si>
  <si>
    <t>МНХод00р-л000-2.00</t>
  </si>
  <si>
    <t>'31.08.56</t>
  </si>
  <si>
    <t>МОНод00р-л000-2.00</t>
  </si>
  <si>
    <t>'31.08.57</t>
  </si>
  <si>
    <t>МОТод00р-л000-2.00</t>
  </si>
  <si>
    <t>'31.08.58</t>
  </si>
  <si>
    <t>МОФод00р-л000-2.00</t>
  </si>
  <si>
    <t>'31.08.59</t>
  </si>
  <si>
    <t>МРТод00р-л000-2.00</t>
  </si>
  <si>
    <t>'31.08.61</t>
  </si>
  <si>
    <t>Радиотерапия</t>
  </si>
  <si>
    <t>МРЭод00р-л000-2.00</t>
  </si>
  <si>
    <t>'31.08.62</t>
  </si>
  <si>
    <t>Рентгенэндоваскулярные диагностика и лечение</t>
  </si>
  <si>
    <t>МССод00р-л000-3.00</t>
  </si>
  <si>
    <t>'31.08.63</t>
  </si>
  <si>
    <t>МТОод00р-л000-2.00</t>
  </si>
  <si>
    <t>'31.08.66</t>
  </si>
  <si>
    <t>МХРод00р-л000-2.00</t>
  </si>
  <si>
    <t>'31.08.67</t>
  </si>
  <si>
    <t>МУРод00р-л000-2.00</t>
  </si>
  <si>
    <t>'31.08.68</t>
  </si>
  <si>
    <t>МЧЛод00р-л000-2.00</t>
  </si>
  <si>
    <t>'31.08.69</t>
  </si>
  <si>
    <t>МОЗод00р-л000-2.00</t>
  </si>
  <si>
    <t>'31.08.71</t>
  </si>
  <si>
    <t>Организация здравоохранения и общественное здоровье</t>
  </si>
  <si>
    <t>МСПод00р-л000-2.00</t>
  </si>
  <si>
    <t>'31.08.72</t>
  </si>
  <si>
    <t>Стоматология общей практики</t>
  </si>
  <si>
    <t>МСТод00р-л000-2.00</t>
  </si>
  <si>
    <t>'31.08.73</t>
  </si>
  <si>
    <t>Стоматология терапевтическая</t>
  </si>
  <si>
    <t>МСХод00р-л000-2.00</t>
  </si>
  <si>
    <t>'31.08.74</t>
  </si>
  <si>
    <t>Стоматология хирургическая</t>
  </si>
  <si>
    <t>МСОод00р-л000-2.00</t>
  </si>
  <si>
    <t>'31.08.75</t>
  </si>
  <si>
    <t>Стоматология ортопедическая</t>
  </si>
  <si>
    <t>МСДод00р-л000-2.00</t>
  </si>
  <si>
    <t>'31.08.76</t>
  </si>
  <si>
    <t>Стоматология детская</t>
  </si>
  <si>
    <t>МОРод00р-л000-2.00</t>
  </si>
  <si>
    <t>'31.08.77</t>
  </si>
  <si>
    <t>Ортодонтия</t>
  </si>
  <si>
    <t>МЭИод00р-л000-2.00</t>
  </si>
  <si>
    <t>'32.08.12</t>
  </si>
  <si>
    <t>Эпидемиология</t>
  </si>
  <si>
    <t>МСЕбв00р-л000-5.00</t>
  </si>
  <si>
    <t>МСЕмв01р-л000-2.06</t>
  </si>
  <si>
    <t>ММНмз10р-л000-2.04</t>
  </si>
  <si>
    <t>2.04</t>
  </si>
  <si>
    <t>Менеджмент в здравоохранении</t>
  </si>
  <si>
    <t>МБНаз03р-л000-5.00</t>
  </si>
  <si>
    <t>'06.06.01</t>
  </si>
  <si>
    <t>Биологические науки</t>
  </si>
  <si>
    <t>МБНаз05р-л000-5.00</t>
  </si>
  <si>
    <t>МБНаз06р-л000-5.00</t>
  </si>
  <si>
    <t>МБНаз07р-л000-5.00</t>
  </si>
  <si>
    <t>МБНаз08р-л000-5.00</t>
  </si>
  <si>
    <t>МБНаз10р-л000-5.00</t>
  </si>
  <si>
    <t>АБЭад00р-л000-3.00</t>
  </si>
  <si>
    <t>'1.5.23.</t>
  </si>
  <si>
    <t>Биология развития, эмбриология</t>
  </si>
  <si>
    <t>Научно-образовательный ресурсный центр "Инновационные технологии иммунофенотипирования, цифрового пространственного профилирования и ультраструктурного анализа"</t>
  </si>
  <si>
    <t>АНБад00р-л000-3.00</t>
  </si>
  <si>
    <t>'1.5.24.</t>
  </si>
  <si>
    <t>Нейробиология</t>
  </si>
  <si>
    <t>УФЗмд01а-л000-2.00</t>
  </si>
  <si>
    <t>'03.04.02</t>
  </si>
  <si>
    <t>Физика</t>
  </si>
  <si>
    <t>Гравитация, космология и релятивистская астрофизика</t>
  </si>
  <si>
    <t>Учебно-научный институт гравитации и космологии</t>
  </si>
  <si>
    <t>УФЗмд01а-с015-2.00</t>
  </si>
  <si>
    <t>ЕПОмд06р-л000-2.00</t>
  </si>
  <si>
    <t>Организация инклюзивного образования</t>
  </si>
  <si>
    <t>Учебно-научный институт сравнительной образовательной политики</t>
  </si>
  <si>
    <t>ЕООад01р-л000-3.00</t>
  </si>
  <si>
    <t>ЕТУад06р-л000-3.00</t>
  </si>
  <si>
    <t>Теория и методика обучения и воспитания (информатизация образования)</t>
  </si>
  <si>
    <t>ЕМТад01р-л000-3.00</t>
  </si>
  <si>
    <t>Теория и методика профессионального образования</t>
  </si>
  <si>
    <t>ЕМНмз04р-л000-2.06</t>
  </si>
  <si>
    <t>Организация деятельности специалистов психолого-медико-педагогической комиссии</t>
  </si>
  <si>
    <t>ЕМНмз19р-л000-2.06</t>
  </si>
  <si>
    <t>Менеджмент международного образования</t>
  </si>
  <si>
    <t>ГГУбд00р-л000-4.00</t>
  </si>
  <si>
    <t>'38.03.04</t>
  </si>
  <si>
    <t>Государственное и муниципальное управление</t>
  </si>
  <si>
    <t>Факультет гуманитарных и социальных наук</t>
  </si>
  <si>
    <t>ГСЦбд00р-л000-4.00</t>
  </si>
  <si>
    <t>'39.03.01</t>
  </si>
  <si>
    <t>Социология</t>
  </si>
  <si>
    <t>ГНРбд00р-л000-4.00</t>
  </si>
  <si>
    <t>'41.03.00</t>
  </si>
  <si>
    <t>Политические науки и регионоведение</t>
  </si>
  <si>
    <t>Политические науки и регионоведение (УГСН)</t>
  </si>
  <si>
    <t>ГЗРбд03р-л000-4.00</t>
  </si>
  <si>
    <t>Зарубежное регионоведение: Китай, Арабский Восток</t>
  </si>
  <si>
    <t>ГПЛбд00р-л000-4.00</t>
  </si>
  <si>
    <t>'41.03.04</t>
  </si>
  <si>
    <t>Политология</t>
  </si>
  <si>
    <t>ГМОбд00р-л000-4.00</t>
  </si>
  <si>
    <t>'41.03.05</t>
  </si>
  <si>
    <t>Международные отношения</t>
  </si>
  <si>
    <t>ГИСбд00р-л000-4.00</t>
  </si>
  <si>
    <t>'46.03.01</t>
  </si>
  <si>
    <t>История</t>
  </si>
  <si>
    <t>ГФСбд00р-л000-4.00</t>
  </si>
  <si>
    <t>'47.03.01</t>
  </si>
  <si>
    <t>Философия</t>
  </si>
  <si>
    <t>ГРВбд00р-л000-4.00</t>
  </si>
  <si>
    <t>'47.03.03</t>
  </si>
  <si>
    <t>Религиоведение</t>
  </si>
  <si>
    <t>ГИГбд00р-л000-4.00</t>
  </si>
  <si>
    <t>'50.03.01</t>
  </si>
  <si>
    <t>Искусства и гуманитарные науки</t>
  </si>
  <si>
    <t>ГВАбд01р-л000-4.00</t>
  </si>
  <si>
    <t>'58.03.01</t>
  </si>
  <si>
    <t>Востоковедение и африканистика</t>
  </si>
  <si>
    <t>История и философия Востока</t>
  </si>
  <si>
    <t>ГГУмд00р-л000-2.00</t>
  </si>
  <si>
    <t>'38.04.04</t>
  </si>
  <si>
    <t>ГГУмд04р-л000-2.00</t>
  </si>
  <si>
    <t>Государственное управление социально-экономическим развитием</t>
  </si>
  <si>
    <t>ГСЦмд01р-с063-2.00</t>
  </si>
  <si>
    <t>'39.04.01</t>
  </si>
  <si>
    <t>Социология управления и социальный менеджмент</t>
  </si>
  <si>
    <t>ГСЦмд07р-л000-2.00</t>
  </si>
  <si>
    <t>Методология, методы социологических исследований и социальная аналитика</t>
  </si>
  <si>
    <t>ГСЦмд08р-л000-2.00</t>
  </si>
  <si>
    <t>Социология управления и организационный консалтинг</t>
  </si>
  <si>
    <t>ГЗРмд01р-л000-2.00</t>
  </si>
  <si>
    <t>Зарубежное регионоведение: Ближний Восток</t>
  </si>
  <si>
    <t>ГЗРмд02р-л000-2.00</t>
  </si>
  <si>
    <t>Зарубежное регионоведение: Китай</t>
  </si>
  <si>
    <t>ГЗРмд03р-д063-2.00</t>
  </si>
  <si>
    <t>Россия и сопредельные регионы</t>
  </si>
  <si>
    <t>ГЗРмд03р-д067-2.00</t>
  </si>
  <si>
    <t>ГЗРмд03р-д078-2.00</t>
  </si>
  <si>
    <t>Государственный институт международных отношений Молдовы</t>
  </si>
  <si>
    <t>ГЗРмд03р-л000-2.00</t>
  </si>
  <si>
    <t>ГЗРмд03р-с009-2.00</t>
  </si>
  <si>
    <t>ГЗРмд04р-с005-2.00</t>
  </si>
  <si>
    <t>Регионоведение</t>
  </si>
  <si>
    <t>Даляньский университет иностранных языков</t>
  </si>
  <si>
    <t>ГЗРмд04р-с036-2.00</t>
  </si>
  <si>
    <t>ГЗРмд04р-с063-2.00</t>
  </si>
  <si>
    <t>ГПЛмд01р-л000-2.00</t>
  </si>
  <si>
    <t>'41.04.04</t>
  </si>
  <si>
    <t>Политические проблемы глобализирующегося мира</t>
  </si>
  <si>
    <t>ГПЛмд01р-с063-2.00</t>
  </si>
  <si>
    <t>ГПЛмд02р-л000-2.00</t>
  </si>
  <si>
    <t>Политические институты, процессы и технологии</t>
  </si>
  <si>
    <t>ГПЛмд05а-л000-2.00</t>
  </si>
  <si>
    <t>Политические институты и ценности</t>
  </si>
  <si>
    <t>ГПЛмд06р-л000-2.00</t>
  </si>
  <si>
    <t>Стратегический анализ, моделирование и планирование социально-политических действий</t>
  </si>
  <si>
    <t>ГПЛмд09р-л000-2.00</t>
  </si>
  <si>
    <t>Международный GR-менеджмент и публичная политика</t>
  </si>
  <si>
    <t>ГМОмд01р-л000-2.00</t>
  </si>
  <si>
    <t>'41.04.05</t>
  </si>
  <si>
    <t>Мировая политика: концептуальные основы и межкультурное взаимодействие</t>
  </si>
  <si>
    <t>ГМОмд02р-с034-2.00</t>
  </si>
  <si>
    <t>Мировая политика: глобализация и конфликты</t>
  </si>
  <si>
    <t>Пекинский университет иностранных языков</t>
  </si>
  <si>
    <t>ГМОмд03р-с040-2.00</t>
  </si>
  <si>
    <t>Мировая политика</t>
  </si>
  <si>
    <t>СУ СНГ</t>
  </si>
  <si>
    <t>ГМОмд04а-л000-2.00</t>
  </si>
  <si>
    <t>Глобальная безопасность и сотрудничество в целях развития</t>
  </si>
  <si>
    <t>ГМОмд06р-д023-2.00</t>
  </si>
  <si>
    <t>Россия и Ближний Восток: основные направления взаимодействия и сотрудничества</t>
  </si>
  <si>
    <t>Ливанский университет</t>
  </si>
  <si>
    <t>ГМОмд08а-л000-2.00</t>
  </si>
  <si>
    <t>Миротворчество, миростроительство и разрешение конфликтов</t>
  </si>
  <si>
    <t>ГИСмд02р-л000-2.00</t>
  </si>
  <si>
    <t>'46.04.01</t>
  </si>
  <si>
    <t>Всемирная история и массовые коммуникации</t>
  </si>
  <si>
    <t>ГИСмд04р-с063-2.00</t>
  </si>
  <si>
    <t>Современные тенденции истории России и Китая: компаративистский подход</t>
  </si>
  <si>
    <t>ГИСмд06р-л000-2.00</t>
  </si>
  <si>
    <t>Россия в истории и в современном мире</t>
  </si>
  <si>
    <t>ГФСмд01р-л000-2.00</t>
  </si>
  <si>
    <t>'47.04.01</t>
  </si>
  <si>
    <t>Знание и ценности: трансформации в изменяющемся мире</t>
  </si>
  <si>
    <t>ГФСмд01р-с015-2.00</t>
  </si>
  <si>
    <t>ГФСмд02р-с063-2.00</t>
  </si>
  <si>
    <t>Философия: диалог культур</t>
  </si>
  <si>
    <t>ГИГмд01р-л000-2.00</t>
  </si>
  <si>
    <t>'50.04.01</t>
  </si>
  <si>
    <t>Креативные индустрии и менеджмент в сфере культуры</t>
  </si>
  <si>
    <t>ГТИад00р-л000-3.00</t>
  </si>
  <si>
    <t>'5.4.1.</t>
  </si>
  <si>
    <t>Теория, методология и история социологии</t>
  </si>
  <si>
    <t>ГСУад00р-л000-3.00</t>
  </si>
  <si>
    <t>'5.4.7.</t>
  </si>
  <si>
    <t>Социология управления</t>
  </si>
  <si>
    <t>ГИТад00р-л000-3.00</t>
  </si>
  <si>
    <t>'5.5.1.</t>
  </si>
  <si>
    <t>История и теория политики</t>
  </si>
  <si>
    <t>ГПИад00а-л000-3.00</t>
  </si>
  <si>
    <t>'5.5.2.</t>
  </si>
  <si>
    <t>Политические институты, процессы, технологии</t>
  </si>
  <si>
    <t>ГПИад00р-л000-3.00</t>
  </si>
  <si>
    <t>ГМОад00р-л000-3.00</t>
  </si>
  <si>
    <t>'5.5.4.</t>
  </si>
  <si>
    <t>Международные отношения, глобальные и региональные исследования</t>
  </si>
  <si>
    <t>ГОСад00р-л000-3.00</t>
  </si>
  <si>
    <t>'5.6.1.</t>
  </si>
  <si>
    <t>Отечественная история</t>
  </si>
  <si>
    <t>ГВИад00р-л000-3.00</t>
  </si>
  <si>
    <t>'5.6.2.</t>
  </si>
  <si>
    <t>Всеобщая история</t>
  </si>
  <si>
    <t>ГИСад00р-л000-3.00</t>
  </si>
  <si>
    <t>'5.6.5.</t>
  </si>
  <si>
    <t>Историография, источниковедение, методы исторического исследования</t>
  </si>
  <si>
    <t>ГИОад00р-л000-3.00</t>
  </si>
  <si>
    <t>'5.6.7.</t>
  </si>
  <si>
    <t>История международных отношений и внешней политики</t>
  </si>
  <si>
    <t>ГИОад01а-л000-3.00</t>
  </si>
  <si>
    <t>История международных отношений и внешней политики: международные отношения</t>
  </si>
  <si>
    <t>ГОГад00р-л000-3.00</t>
  </si>
  <si>
    <t>'5.7.1.</t>
  </si>
  <si>
    <t>Онтология и теория познания</t>
  </si>
  <si>
    <t>ГИФад00р-л000-3.00</t>
  </si>
  <si>
    <t>'5.7.2.</t>
  </si>
  <si>
    <t>История философии</t>
  </si>
  <si>
    <t>ГСПад00р-л000-3.00</t>
  </si>
  <si>
    <t>'5.7.7.</t>
  </si>
  <si>
    <t>Социальная и политическая философия</t>
  </si>
  <si>
    <t>ГГУбв00р-л000-5.00</t>
  </si>
  <si>
    <t>ГСЦбв00р-л000-5.00</t>
  </si>
  <si>
    <t>ГПЛбв00р-л000-5.00</t>
  </si>
  <si>
    <t>ГГУмв02р-л000-2.06</t>
  </si>
  <si>
    <t>Социальные процессы и социальный менеджмент</t>
  </si>
  <si>
    <t>ГМОмв05р-л000-2.06</t>
  </si>
  <si>
    <t>Международные институты и политические процессы</t>
  </si>
  <si>
    <t>ГФСмв06р-л000-2.06</t>
  </si>
  <si>
    <t>Философия Индии в контексте религии и культуры</t>
  </si>
  <si>
    <t>ЗФИбд02р-л000-4.00</t>
  </si>
  <si>
    <t>'02.03.02</t>
  </si>
  <si>
    <t>Искусственный интеллект: разработка и обучение интеллектуальных систем</t>
  </si>
  <si>
    <t>Факультет искусственного интеллекта</t>
  </si>
  <si>
    <t>ЗПИбд02р-л000-4.00</t>
  </si>
  <si>
    <t>'09.03.03</t>
  </si>
  <si>
    <t>Прикладная информатика</t>
  </si>
  <si>
    <t>ЗИБбд00р-л000-4.00</t>
  </si>
  <si>
    <t>'10.03.01</t>
  </si>
  <si>
    <t>Информационная безопасность</t>
  </si>
  <si>
    <t>Организация и технологии защиты информации (по отрасли или в сфере профессиональной деятельности)</t>
  </si>
  <si>
    <t>ЗФИмд08р-л000-2.00</t>
  </si>
  <si>
    <t>Управление данными и искусственный интеллект</t>
  </si>
  <si>
    <t>ЗИБмд00р-л000-2.00</t>
  </si>
  <si>
    <t>'10.04.01</t>
  </si>
  <si>
    <t>Управление информационной безопасностью</t>
  </si>
  <si>
    <t>КДКод00р-л000-2.00</t>
  </si>
  <si>
    <t>'31.08.13</t>
  </si>
  <si>
    <t>Детская кардиология</t>
  </si>
  <si>
    <t>Факультет непрерывного медицинского образования</t>
  </si>
  <si>
    <t>КПТод00р-л000-2.00</t>
  </si>
  <si>
    <t>'31.08.22</t>
  </si>
  <si>
    <t>Психотерапия</t>
  </si>
  <si>
    <t>КПХод00р-л000-5.00</t>
  </si>
  <si>
    <t>'31.08.60</t>
  </si>
  <si>
    <t>КЭДод00р-л000-2.00</t>
  </si>
  <si>
    <t>'31.08.70</t>
  </si>
  <si>
    <t>Эндоскопия</t>
  </si>
  <si>
    <t>НММбд00р-л000-4.00</t>
  </si>
  <si>
    <t>'01.03.00</t>
  </si>
  <si>
    <t>Математика и механика</t>
  </si>
  <si>
    <t>Математика и механика (УГСН)</t>
  </si>
  <si>
    <t>Факультет физико-математических и естественных наук</t>
  </si>
  <si>
    <t>НМТбд00р-л000-4.00</t>
  </si>
  <si>
    <t>'01.03.01</t>
  </si>
  <si>
    <t>Математика</t>
  </si>
  <si>
    <t>НПМбд05р-л000-4.00</t>
  </si>
  <si>
    <t>Прикладная математика и программирование</t>
  </si>
  <si>
    <t>'02.03.00</t>
  </si>
  <si>
    <t>Компьютерные и информационные науки</t>
  </si>
  <si>
    <t>Компьютерные и информационные науки (УГСН)</t>
  </si>
  <si>
    <t>'02.03.01</t>
  </si>
  <si>
    <t>Математика и компьютерные науки</t>
  </si>
  <si>
    <t>'03.03.02</t>
  </si>
  <si>
    <t>'04.03.01</t>
  </si>
  <si>
    <t>Кибербезопасность в экономике</t>
  </si>
  <si>
    <t>НМТмд02а-л000-2.00</t>
  </si>
  <si>
    <t>'01.04.01</t>
  </si>
  <si>
    <t>Функциональные методы в дифференциальных уравнениях и междисциплинарных исследованиях</t>
  </si>
  <si>
    <t>НМТмд04р-л000-2.00</t>
  </si>
  <si>
    <t>Нелинейные и нелокальные задачи для уравнений в частных производных, математическое моделирование и нейронные сети</t>
  </si>
  <si>
    <t>НПМмд02р-л000-2.00</t>
  </si>
  <si>
    <t>Математические модели в междисциплинарных исследованиях</t>
  </si>
  <si>
    <t>НПМмд02р-с015-2.00</t>
  </si>
  <si>
    <t>Теория вероятностей и математическая статистика</t>
  </si>
  <si>
    <t>Управление инфокоммуникациями и интеллектуальные системы</t>
  </si>
  <si>
    <t>НФИмд09р-л000-2.00</t>
  </si>
  <si>
    <t>Беспроводные сети, интернет вещей и кибербезопасность</t>
  </si>
  <si>
    <t>НФЗмд03р-л000-2.00</t>
  </si>
  <si>
    <t>Фундаментальная и прикладная физика</t>
  </si>
  <si>
    <t>НХМмд02р-с011-2.00</t>
  </si>
  <si>
    <t>Фармацевтический анализ в производстве и контроле качества лекарственных средств</t>
  </si>
  <si>
    <t>НХМмд02р-с031-2.00</t>
  </si>
  <si>
    <t>Национальный политехнический университет Армении</t>
  </si>
  <si>
    <t>НХМмд05р-л000-2.00</t>
  </si>
  <si>
    <t>Фундаментальная и прикладная химия</t>
  </si>
  <si>
    <t>НХМмд07а-д015-2.00</t>
  </si>
  <si>
    <t>Биоэнергетика и продукты переработки биомассы</t>
  </si>
  <si>
    <t>НХМмд07а-л000-2.00</t>
  </si>
  <si>
    <t>НХМмд08р-д015-2.00</t>
  </si>
  <si>
    <t>Современная интегративная химия</t>
  </si>
  <si>
    <t>НХМмд09р-д009-2.00</t>
  </si>
  <si>
    <t>Химия органических соединений</t>
  </si>
  <si>
    <t>'09.04.03</t>
  </si>
  <si>
    <t>Искусственный интеллект и анализ данных</t>
  </si>
  <si>
    <t>НВАад00р-л000-4.00</t>
  </si>
  <si>
    <t>'1.1.1.</t>
  </si>
  <si>
    <t>Вещественный, комплексный и функциональный анализ</t>
  </si>
  <si>
    <t>НДУад00р-л000-4.00</t>
  </si>
  <si>
    <t>'1.1.2.</t>
  </si>
  <si>
    <t>Дифференциальные уравнения и математическая физика</t>
  </si>
  <si>
    <t>НВМад00р-л000-4.00</t>
  </si>
  <si>
    <t>'1.1.6.</t>
  </si>
  <si>
    <t>Вычислительная математика</t>
  </si>
  <si>
    <t>НДМад00р-л000-4.00</t>
  </si>
  <si>
    <t>'1.2.2.</t>
  </si>
  <si>
    <t>'1.2.3.</t>
  </si>
  <si>
    <t>НТФад00р-л000-4.00</t>
  </si>
  <si>
    <t>'1.3.3.</t>
  </si>
  <si>
    <t>Теоретическая физика</t>
  </si>
  <si>
    <t>НРФад00р-л000-4.00</t>
  </si>
  <si>
    <t>'1.3.4.</t>
  </si>
  <si>
    <t>Радиофизика</t>
  </si>
  <si>
    <t>НФПад00р-л000-4.00</t>
  </si>
  <si>
    <t>'1.3.9.</t>
  </si>
  <si>
    <t>Физика плазмы</t>
  </si>
  <si>
    <t>ННХад00р-л000-4.00</t>
  </si>
  <si>
    <t>'1.4.1.</t>
  </si>
  <si>
    <t>Неорганическая химия</t>
  </si>
  <si>
    <t>НОХад00р-л000-4.00</t>
  </si>
  <si>
    <t>'1.4.3.</t>
  </si>
  <si>
    <t>Органическая химия</t>
  </si>
  <si>
    <t>НФХад00р-л000-4.00</t>
  </si>
  <si>
    <t>'1.4.4.</t>
  </si>
  <si>
    <t>Физическая химия</t>
  </si>
  <si>
    <t>НПМбв00р-л000-5.00</t>
  </si>
  <si>
    <t>НПМбв05р-л000-5.00</t>
  </si>
  <si>
    <t>НХМмв02р-л000-2.05</t>
  </si>
  <si>
    <t>2.05</t>
  </si>
  <si>
    <t>НМХаз02р-л000-5.00</t>
  </si>
  <si>
    <t>'01.06.01</t>
  </si>
  <si>
    <t>НМХаз03р-л000-5.00</t>
  </si>
  <si>
    <t>Теоретическая механика</t>
  </si>
  <si>
    <t>НМХаз04р-л000-5.00</t>
  </si>
  <si>
    <t>Дифференциальные уравнения, динамические системы и оптимальное управление</t>
  </si>
  <si>
    <t>НИВаз02р-л000-5.00</t>
  </si>
  <si>
    <t>НИВаз05р-л000-5.00</t>
  </si>
  <si>
    <t>ФКПсд01р-л000-5.06</t>
  </si>
  <si>
    <t>'37.05.01</t>
  </si>
  <si>
    <t>Клиническая психология</t>
  </si>
  <si>
    <t>Клиническая психология. Психология здоровья</t>
  </si>
  <si>
    <t>Филологический факультет</t>
  </si>
  <si>
    <t>ФЛТсд01р-л000-5.00</t>
  </si>
  <si>
    <t>'52.05.04</t>
  </si>
  <si>
    <t>Литературное творчество</t>
  </si>
  <si>
    <t>Сценарист кино и телевидения</t>
  </si>
  <si>
    <t>ФПСбд00р-л000-4.00</t>
  </si>
  <si>
    <t>'37.03.01</t>
  </si>
  <si>
    <t>Психология</t>
  </si>
  <si>
    <t>ФРОбд00р-л000-4.00</t>
  </si>
  <si>
    <t>ФЖНбд00р-л000-4.00</t>
  </si>
  <si>
    <t>'42.03.02</t>
  </si>
  <si>
    <t>Журналистика</t>
  </si>
  <si>
    <t>ФЖНбд01а-л000-4.00</t>
  </si>
  <si>
    <t>Мультимедийная журналистика</t>
  </si>
  <si>
    <t>ФТВбд00р-л000-4.00</t>
  </si>
  <si>
    <t>'42.03.04</t>
  </si>
  <si>
    <t>Телевидение</t>
  </si>
  <si>
    <t>ФФЛбд00р-л000-4.00</t>
  </si>
  <si>
    <t>ФЛНбд01р-л000-4.00</t>
  </si>
  <si>
    <t>Лингвистика: русский язык</t>
  </si>
  <si>
    <t>ФЛНбд02р-л000-4.00</t>
  </si>
  <si>
    <t>Лингвистика: иностранные языки</t>
  </si>
  <si>
    <t>ФВАбд02р-л000-4.00</t>
  </si>
  <si>
    <t>Востоковедение: языки и культуры</t>
  </si>
  <si>
    <t>ФПСмд01р-л000-2.00</t>
  </si>
  <si>
    <t>'37.04.01</t>
  </si>
  <si>
    <t>Психологическое консультирование</t>
  </si>
  <si>
    <t>ФПСмд02р-л000-2.00</t>
  </si>
  <si>
    <t>Интегративные технологии в практической психологии</t>
  </si>
  <si>
    <t>ФРОмд03р-л000-2.00</t>
  </si>
  <si>
    <t>Управление бизнес-коммуникациями</t>
  </si>
  <si>
    <t>ФРОмд04р-л000-2.00</t>
  </si>
  <si>
    <t>Реклама и связи с общественностью в цифровой среде</t>
  </si>
  <si>
    <t>ФЖНмд01р-л000-2.00</t>
  </si>
  <si>
    <t>'42.04.02</t>
  </si>
  <si>
    <t>Современная международная журналистика</t>
  </si>
  <si>
    <t>ФЖНмд02р-л000-2.00</t>
  </si>
  <si>
    <t>Организация информационного производства</t>
  </si>
  <si>
    <t>ФЖНмд04а-л000-2.00</t>
  </si>
  <si>
    <t>Глобальные и цифровые медиа</t>
  </si>
  <si>
    <t>ФЖНмд05р-л000-2.00</t>
  </si>
  <si>
    <t>Журналистика больших данных</t>
  </si>
  <si>
    <t>ФЖНмд08р-д020-2.00</t>
  </si>
  <si>
    <t>Цифровые медиакоммуникации</t>
  </si>
  <si>
    <t>ФПОмд01р-с009-2.00</t>
  </si>
  <si>
    <t>Педагогика и психология</t>
  </si>
  <si>
    <t>ФПОмд03р-д015-2.00</t>
  </si>
  <si>
    <t>Психология и педагогика</t>
  </si>
  <si>
    <t>ФПОмд03р-д068-2.00</t>
  </si>
  <si>
    <t>ФФЛмд01р-л000-2.00</t>
  </si>
  <si>
    <t>Литературоведение</t>
  </si>
  <si>
    <t>ФФЛмд03р-л000-2.00</t>
  </si>
  <si>
    <t>Русский язык как иностранный</t>
  </si>
  <si>
    <t>ФФЛмд06р-д008-2.00</t>
  </si>
  <si>
    <t>Русский язык и литература</t>
  </si>
  <si>
    <t>ФФЛмд06р-д011-2.00</t>
  </si>
  <si>
    <t>ФФЛмд06р-д020-2.00</t>
  </si>
  <si>
    <t>ФФЛмд06р-д036-2.00</t>
  </si>
  <si>
    <t>ФФЛмд06р-д039-2.00</t>
  </si>
  <si>
    <t>Славянский университет</t>
  </si>
  <si>
    <t>ФФЛмд06р-д065-2.00</t>
  </si>
  <si>
    <t>ФФЛмд06р-д080-2.00</t>
  </si>
  <si>
    <t>Таджикский национальный университет</t>
  </si>
  <si>
    <t>ФФЛмд06р-д082-2.00</t>
  </si>
  <si>
    <t>Днепропетровский национальный университет им. О. Гончара</t>
  </si>
  <si>
    <t>ФФЛмд06р-д083-2.00</t>
  </si>
  <si>
    <t>Донецкий национальный университет</t>
  </si>
  <si>
    <t>ФФЛмд06р-д084-2.00</t>
  </si>
  <si>
    <t>ФФЛмд06р-с040-2.00</t>
  </si>
  <si>
    <t>ФФЛмд11а-л000-2.00</t>
  </si>
  <si>
    <t>Язык и культура: теория и практика</t>
  </si>
  <si>
    <t>ФФЛмд12р-л000-2.00</t>
  </si>
  <si>
    <t>Русский язык и межкультурная коммуникация</t>
  </si>
  <si>
    <t>ФФЛмд15р-д104-2.00</t>
  </si>
  <si>
    <t>Русский язык как иностранный: восток-запад</t>
  </si>
  <si>
    <t>ФГАОУ ВО "Казанский (Приволжский) федеральный университет"</t>
  </si>
  <si>
    <t>ФЛНмд02р-л000-2.00</t>
  </si>
  <si>
    <t>Методика обучения языкам. Переводоведение. Синхронный перевод</t>
  </si>
  <si>
    <t>ФЛНмд05р-л000-2.00</t>
  </si>
  <si>
    <t>Русский язык</t>
  </si>
  <si>
    <t>ФЛНмд14р-л000-2.00</t>
  </si>
  <si>
    <t>Когнитивная и цифровая лингвистика</t>
  </si>
  <si>
    <t>ФОИад01р-л000-3.00</t>
  </si>
  <si>
    <t>ФООад01р-л000-3.00</t>
  </si>
  <si>
    <t>ФТУад03р-л000-3.00</t>
  </si>
  <si>
    <t>Теория и методика обучения и воспитания (русский язык как иностранный)</t>
  </si>
  <si>
    <t>ФТУад04р-л000-3.00</t>
  </si>
  <si>
    <t>Теория и методика обучения и воспитания (иностранные языки)</t>
  </si>
  <si>
    <t>ФРЛад00р-л000-3.00</t>
  </si>
  <si>
    <t>'5.9.1.</t>
  </si>
  <si>
    <t>Русская литература и литературы народов Российской Федерации</t>
  </si>
  <si>
    <t>ФРЛад01р-с015-3.00</t>
  </si>
  <si>
    <t>Русская литература</t>
  </si>
  <si>
    <t>ФЛНад00р-л000-3.00</t>
  </si>
  <si>
    <t>'5.9.2.</t>
  </si>
  <si>
    <t>Литературы народов мира</t>
  </si>
  <si>
    <t>Литература народов мира</t>
  </si>
  <si>
    <t>ФЛНад01а-л000-3.00</t>
  </si>
  <si>
    <t>Английская и русская литература в сопоставительном аспекте</t>
  </si>
  <si>
    <t>ФРЯад03р-л000-3.00</t>
  </si>
  <si>
    <t>ФЯНад02р-л000-3.00</t>
  </si>
  <si>
    <t>Языки народов зарубежных стран (романские языки)</t>
  </si>
  <si>
    <t>ФТЛад09а-л000-3.00</t>
  </si>
  <si>
    <t>ФТЛад09р-л000-3.00</t>
  </si>
  <si>
    <t>ФМЖад00р-л000-3.00</t>
  </si>
  <si>
    <t>'5.9.9.</t>
  </si>
  <si>
    <t>Медиакоммуникации и журналистика</t>
  </si>
  <si>
    <t>ФМЖад01а-л000-3.00</t>
  </si>
  <si>
    <t>Международная журналистика</t>
  </si>
  <si>
    <t>ФПСбв00р-л000-4.06</t>
  </si>
  <si>
    <t>ФРОбв00р-л000-4.06</t>
  </si>
  <si>
    <t>ФЖНбв00р-л000-4.06</t>
  </si>
  <si>
    <t>ФТВбв00р-л000-4.06</t>
  </si>
  <si>
    <t>ФФЛбв00р-л000-4.06</t>
  </si>
  <si>
    <t>ФЛНбв00р-л000-4.06</t>
  </si>
  <si>
    <t>ФПСмв01р-л000-2.06</t>
  </si>
  <si>
    <t>ФПСмв02р-л000-2.06</t>
  </si>
  <si>
    <t>ФРОбз00р-л000-4.06</t>
  </si>
  <si>
    <t>ФЖНбз00р-л000-4.06</t>
  </si>
  <si>
    <t>ФФЛбз00р-л000-4.06</t>
  </si>
  <si>
    <t>ФЛНбз00р-л000-4.06</t>
  </si>
  <si>
    <t>ЭЭНсд00р-л000-5.00</t>
  </si>
  <si>
    <t>'38.05.01</t>
  </si>
  <si>
    <t>Экономическая безопасность</t>
  </si>
  <si>
    <t>Экономико-правовое обеспечение экономической безопасности</t>
  </si>
  <si>
    <t>Экономический факультет</t>
  </si>
  <si>
    <t>ЭЭУбд00р-л000-4.00</t>
  </si>
  <si>
    <t>'38.03.00</t>
  </si>
  <si>
    <t>Экономика и управление</t>
  </si>
  <si>
    <t>Экономика и управление (УГСН)</t>
  </si>
  <si>
    <t>ЭЭКбд02р-л000-4.00</t>
  </si>
  <si>
    <t>Бухгалтерский учет и аудит</t>
  </si>
  <si>
    <t>ЭЭКбд04р-д062-4.00</t>
  </si>
  <si>
    <t>Финансы и кредит</t>
  </si>
  <si>
    <t>Хэнаньский университет экономики и права</t>
  </si>
  <si>
    <t>ЭЭКбд04р-л000-4.00</t>
  </si>
  <si>
    <t>ЭЭКбд06а-л000-4.00</t>
  </si>
  <si>
    <t>Международные экономические отношения</t>
  </si>
  <si>
    <t>ЭЭКбд07р-л000-4.00</t>
  </si>
  <si>
    <t>Экономика города</t>
  </si>
  <si>
    <t>ЭЭКбд09р-л000-4.00</t>
  </si>
  <si>
    <t>Проектный анализ и моделирование в экономике</t>
  </si>
  <si>
    <t>ЭЭКбд10р-л000-4.00</t>
  </si>
  <si>
    <t>Экономика предприятия и предпринимательство</t>
  </si>
  <si>
    <t>ЭЭКбд11р-л000-4.00</t>
  </si>
  <si>
    <t>Международные экономические отношения и внешнеэкономическая деятельность</t>
  </si>
  <si>
    <t>ЭМНбд02р-л000-4.00</t>
  </si>
  <si>
    <t>Маркетинг</t>
  </si>
  <si>
    <t>ЭМНбд04р-д062-4.00</t>
  </si>
  <si>
    <t>Управление человеческими ресурсами</t>
  </si>
  <si>
    <t>ЭМНбд04р-л000-4.00</t>
  </si>
  <si>
    <t>ЭМНбд06р-л000-4.00</t>
  </si>
  <si>
    <t>Управление бизнесом</t>
  </si>
  <si>
    <t>ЭЗРбд04р-л000-4.00</t>
  </si>
  <si>
    <t>Ибероамерика</t>
  </si>
  <si>
    <t>ЭВАбд03р-л000-4.00</t>
  </si>
  <si>
    <t>Экономика и внешнеэкономические связи стран Востока</t>
  </si>
  <si>
    <t>ЭЭКмд02а-л000-2.00</t>
  </si>
  <si>
    <t>Международная торговля</t>
  </si>
  <si>
    <t>ЭЭКмд02р-д007-2.00</t>
  </si>
  <si>
    <t>Дипломатическая академия Министерства иностранных дел Кыргызской Республики им. К. Дикамбаева</t>
  </si>
  <si>
    <t>ЭЭКмд02р-д008-2.00</t>
  </si>
  <si>
    <t>ЭЭКмд02р-д015-2.00</t>
  </si>
  <si>
    <t>ЭЭКмд02р-д020-2.00</t>
  </si>
  <si>
    <t>ЭЭКмд02р-д036-2.00</t>
  </si>
  <si>
    <t>ЭЭКмд02р-д080-2.00</t>
  </si>
  <si>
    <t>ЭЭКмд02р-д083-2.00</t>
  </si>
  <si>
    <t>ЭЭКмд02р-д084-2.00</t>
  </si>
  <si>
    <t>ЭЭКмд02р-д087-2.00</t>
  </si>
  <si>
    <t>Армянский государственный экономический университет</t>
  </si>
  <si>
    <t>ЭЭКмд02р-д088-2.00</t>
  </si>
  <si>
    <t>Ошский государственный университет</t>
  </si>
  <si>
    <t>ЭЭКмд02р-л000-2.00</t>
  </si>
  <si>
    <t>ЭЭКмд02р-с032-2.00</t>
  </si>
  <si>
    <t>Национальный университет наук, технологий и менеджмента</t>
  </si>
  <si>
    <t>ЭЭКмд02р-с082-2.00</t>
  </si>
  <si>
    <t>ЭЭКмд03р-л000-2.00</t>
  </si>
  <si>
    <t>Экономика фирмы и отраслевых рынков</t>
  </si>
  <si>
    <t>ЭЭКмд05р-д036-2.00</t>
  </si>
  <si>
    <t>Бухгалтерский учет, внутренний контроль и аудит</t>
  </si>
  <si>
    <t>ЭЭКмд05р-д062-2.00</t>
  </si>
  <si>
    <t>ЭЭКмд05р-л000-2.00</t>
  </si>
  <si>
    <t>ЭЭКмд05р-с009-2.00</t>
  </si>
  <si>
    <t>ЭЭКмд05р-с020-2.00</t>
  </si>
  <si>
    <t>ЭЭКмд05р-с080-2.00</t>
  </si>
  <si>
    <t>ЭЭКмд07а-л000-2.00</t>
  </si>
  <si>
    <t>Международный бизнес</t>
  </si>
  <si>
    <t>ЭЭКмд08и-л000-2.00</t>
  </si>
  <si>
    <t>Испанский</t>
  </si>
  <si>
    <t>Современные исследования Латинской Америки</t>
  </si>
  <si>
    <t>ЭЭКмд15р-д009-2.00</t>
  </si>
  <si>
    <t>Международная логистика</t>
  </si>
  <si>
    <t>ЭЭКмд15р-л000-2.00</t>
  </si>
  <si>
    <t>ЭЭКмд15р-с015-2.00</t>
  </si>
  <si>
    <t>ЭЭКмд18р-л000-2.00</t>
  </si>
  <si>
    <t>Корпоративная экономика и управление бизнесом</t>
  </si>
  <si>
    <t>ЭЭКмд28р-л000-2.00</t>
  </si>
  <si>
    <t>Управление на основе анализа данных и бизнес-аналитика</t>
  </si>
  <si>
    <t>ЭМНмд01р-д007-2.00</t>
  </si>
  <si>
    <t>ЭМНмд01р-д008-2.00</t>
  </si>
  <si>
    <t>ЭМНмд01р-д015-2.00</t>
  </si>
  <si>
    <t>ЭМНмд01р-д020-2.00</t>
  </si>
  <si>
    <t>ЭМНмд01р-д065-2.00</t>
  </si>
  <si>
    <t>ЭМНмд01р-д083-2.00</t>
  </si>
  <si>
    <t>ЭМНмд01р-д084-2.00</t>
  </si>
  <si>
    <t>ЭМНмд01р-л000-2.00</t>
  </si>
  <si>
    <t>ЭМНмд01р-с082-2.00</t>
  </si>
  <si>
    <t>ЭМНмд07а-с059-2.00</t>
  </si>
  <si>
    <t>Международный маркетинг и бизнес</t>
  </si>
  <si>
    <t>Федеральный университет Минас-Жерайс</t>
  </si>
  <si>
    <t>ЭМНмд08а-с060-2.00</t>
  </si>
  <si>
    <t>Международный маркетинг - менеджмент</t>
  </si>
  <si>
    <t>Федеральный университет Флуминенсе</t>
  </si>
  <si>
    <t>ЭМНмд18а-л000-2.00</t>
  </si>
  <si>
    <t>Международный маркетинг</t>
  </si>
  <si>
    <t>ЭМНмд18р-д020-2.00</t>
  </si>
  <si>
    <t>ЭМНмд18р-д062-2.00</t>
  </si>
  <si>
    <t>ЭМНмд18р-л000-2.00</t>
  </si>
  <si>
    <t>ЭМНмд18р-с015-2.00</t>
  </si>
  <si>
    <t>ЭМНмд20р-д007-2.00</t>
  </si>
  <si>
    <t>Управление международными проектами</t>
  </si>
  <si>
    <t>ЭМНмд20р-д008-2.00</t>
  </si>
  <si>
    <t>ЭМНмд20р-д015-2.00</t>
  </si>
  <si>
    <t>ЭМНмд20р-д020-2.00</t>
  </si>
  <si>
    <t>ЭМНмд20р-д036-2.00</t>
  </si>
  <si>
    <t>ЭМНмд20р-д039-2.00</t>
  </si>
  <si>
    <t>ЭМНмд20р-д082-2.00</t>
  </si>
  <si>
    <t>ЭМНмд20р-д083-2.00</t>
  </si>
  <si>
    <t>ЭМНмд20р-л000-2.00</t>
  </si>
  <si>
    <t>ЭМНмд20р-с032-2.00</t>
  </si>
  <si>
    <t>ЭМНмд20р-с065-2.00</t>
  </si>
  <si>
    <t>ЭМНмд34р-л000-2.00</t>
  </si>
  <si>
    <t>ЭУПмд01р-л000-2.00</t>
  </si>
  <si>
    <t>'38.04.03</t>
  </si>
  <si>
    <t>Управление персоналом</t>
  </si>
  <si>
    <t>Управление персоналом в кросс-культурной среде</t>
  </si>
  <si>
    <t>ЭКРмд01р-л000-2.00</t>
  </si>
  <si>
    <t>'38.04.08</t>
  </si>
  <si>
    <t>Современные финансовые технологии в инвестировании и банковском бизнесе</t>
  </si>
  <si>
    <t>ЭКРмд02р-л000-2.00</t>
  </si>
  <si>
    <t>Финансовые рынки и инвестиции</t>
  </si>
  <si>
    <t>ЭЭРад00р-л000-3.00</t>
  </si>
  <si>
    <t>'5.2.1.</t>
  </si>
  <si>
    <t>Экономическая теория</t>
  </si>
  <si>
    <t>ЭРОад01а-л000-3.00</t>
  </si>
  <si>
    <t>ЭРОад01р-л000-3.00</t>
  </si>
  <si>
    <t>ЭФНад00а-л000-3.00</t>
  </si>
  <si>
    <t>'5.2.4.</t>
  </si>
  <si>
    <t>Финансы</t>
  </si>
  <si>
    <t>Финансы, денежное обращение и кредит</t>
  </si>
  <si>
    <t>ЭФНад00р-л000-3.00</t>
  </si>
  <si>
    <t>ЭМЭад00а-л000-3.00</t>
  </si>
  <si>
    <t>'5.2.5.</t>
  </si>
  <si>
    <t>ЭМЭад00р-л000-3.00</t>
  </si>
  <si>
    <t>ЭМДад00р-л000-3.00</t>
  </si>
  <si>
    <t>ЭЭНсв00р-л000-6.00</t>
  </si>
  <si>
    <t>ЭЭУбв00р-л000-4.00</t>
  </si>
  <si>
    <t>ЭЭКбв04р-л000-5.00</t>
  </si>
  <si>
    <t>ЭЭКбв10р-л000-5.00</t>
  </si>
  <si>
    <t>ЭЭКбв12р-л000-5.00</t>
  </si>
  <si>
    <t>Общий профиль</t>
  </si>
  <si>
    <t>ЭМНбв02р-л000-5.00</t>
  </si>
  <si>
    <t>ЭМНбв06р-л000-5.00</t>
  </si>
  <si>
    <t>ЭРОбв01р-л000-5.00</t>
  </si>
  <si>
    <t>ЭЭКмв00р-л000-2.06</t>
  </si>
  <si>
    <t>Smart-бизнес</t>
  </si>
  <si>
    <t>ЭЭКмв18р-л000-2.06</t>
  </si>
  <si>
    <t>ЭМНмв05р-л000-2.06</t>
  </si>
  <si>
    <t>Финансовый менеджмент</t>
  </si>
  <si>
    <t>ЭМНмв21р-л000-2.06</t>
  </si>
  <si>
    <t>Современный маркетинг и управление продажами</t>
  </si>
  <si>
    <t>ЭКРмв01р-л000-2.06</t>
  </si>
  <si>
    <t>ЭКРмв02р-л000-2.06</t>
  </si>
  <si>
    <t>ЭЭКмз00р-л000-2.06</t>
  </si>
  <si>
    <t>ЭЭКмз18р-л000-2.06</t>
  </si>
  <si>
    <t>ЮЮРбд00р-л000-4.00</t>
  </si>
  <si>
    <t>'40.03.01</t>
  </si>
  <si>
    <t>Юриспруденция</t>
  </si>
  <si>
    <t>Юридический институт</t>
  </si>
  <si>
    <t>ЮЮРбд01р-л000-4.00</t>
  </si>
  <si>
    <t>Международное право</t>
  </si>
  <si>
    <t>ЮЮРбд04а-л000-4.00</t>
  </si>
  <si>
    <t>Бакалавр права</t>
  </si>
  <si>
    <t>ЮЮРбд04р-л000-4.00</t>
  </si>
  <si>
    <t>Бакалавр права и политики</t>
  </si>
  <si>
    <t>ЮПЛбд01р-л000-4.00</t>
  </si>
  <si>
    <t>ЮКРмд03р-л000-2.00</t>
  </si>
  <si>
    <t>Обеспечение финансовой безопасности</t>
  </si>
  <si>
    <t>ЮЮРмд01р-д007-2.00</t>
  </si>
  <si>
    <t>'40.04.01</t>
  </si>
  <si>
    <t>ЮЮРмд01р-д008-2.00</t>
  </si>
  <si>
    <t>ЮЮРмд01р-д015-2.00</t>
  </si>
  <si>
    <t>ЮЮРмд01р-д020-2.00</t>
  </si>
  <si>
    <t>ЮЮРмд01р-д036-2.00</t>
  </si>
  <si>
    <t>ЮЮРмд01р-д083-2.00</t>
  </si>
  <si>
    <t>ЮЮРмд01р-д084-2.00</t>
  </si>
  <si>
    <t>ЮЮРмд01р-л000-2.00</t>
  </si>
  <si>
    <t>ЮЮРмд01р-с040-2.00</t>
  </si>
  <si>
    <t>ЮЮРмд02а-л000-2.00</t>
  </si>
  <si>
    <t>Международная защита прав человека</t>
  </si>
  <si>
    <t>ЮЮРмд02р-л000-2.00</t>
  </si>
  <si>
    <t>ЮЮРмд03р-л000-2.00</t>
  </si>
  <si>
    <t>Гражданское право, семейное право, предпринимательское право, международное частное право</t>
  </si>
  <si>
    <t>ЮЮРмд04р-л000-2.00</t>
  </si>
  <si>
    <t>Гражданский процесс, арбитражный процесс</t>
  </si>
  <si>
    <t>ЮЮРмд05а-л000-2.00</t>
  </si>
  <si>
    <t>Международное частное право</t>
  </si>
  <si>
    <t>ЮЮРмд06р-л000-2.00</t>
  </si>
  <si>
    <t>Административное право, административный процесс</t>
  </si>
  <si>
    <t>ЮЮРмд07р-л000-2.00</t>
  </si>
  <si>
    <t>Уголовное право, уголовный процесс и криминалистика</t>
  </si>
  <si>
    <t>ЮЮРмд07р-с009-2.00</t>
  </si>
  <si>
    <t>ЮЮРмд08р-л000-2.00</t>
  </si>
  <si>
    <t>Корпоративный юрист</t>
  </si>
  <si>
    <t>ЮЮРмд09р-л000-2.00</t>
  </si>
  <si>
    <t>Теория и история права и государства, сравнительно-правовые исследования</t>
  </si>
  <si>
    <t>ЮЮРмд09р-с009-2.00</t>
  </si>
  <si>
    <t>ЮЮРмд10р-л000-2.00</t>
  </si>
  <si>
    <t>Юрист в сфере финансовой деятельности</t>
  </si>
  <si>
    <t>ЮЮРмд11р-л000-2.00</t>
  </si>
  <si>
    <t>Судебная власть, прокурорский надзор, организация правоохранительной деятельности, адвокатура, нотариат</t>
  </si>
  <si>
    <t>ЮЮРмд12р-л000-2.00</t>
  </si>
  <si>
    <t>Судебно-экспертная деятельность в правоприменении</t>
  </si>
  <si>
    <t>ЮЮРмд14р-л000-2.00</t>
  </si>
  <si>
    <t>Конституционное право и конституционное судопроизводство</t>
  </si>
  <si>
    <t>ЮЮРмд18р-л000-2.00</t>
  </si>
  <si>
    <t>Правовое регулирование природоресурсных, земельно-имущественных отношений и градостроительной деятельности</t>
  </si>
  <si>
    <t>ЮЮРмд19р-л000-2.00</t>
  </si>
  <si>
    <t>Правовое регулирование финансового мониторинга и Compliance System</t>
  </si>
  <si>
    <t>ЮЮРмд24р-л000-2.00</t>
  </si>
  <si>
    <t>Правовое сопровождение бизнеса (бизнес-юрист)</t>
  </si>
  <si>
    <t>ЮЮРмд25р-л000-2.00</t>
  </si>
  <si>
    <t>Медицинское право</t>
  </si>
  <si>
    <t>ЮЮРмд26р-л000-2.00</t>
  </si>
  <si>
    <t>Исламское право</t>
  </si>
  <si>
    <t>ЮЮРмд27р-л000-2.00</t>
  </si>
  <si>
    <t>Право в публичной политике</t>
  </si>
  <si>
    <t>ЮЮРмд28р-л000-2.00</t>
  </si>
  <si>
    <t>Финансовое право и корпоративное налогообложение</t>
  </si>
  <si>
    <t>ЮЮРмд29р-д069-2.00</t>
  </si>
  <si>
    <t>Гражданское право, семейное право, международное частное право</t>
  </si>
  <si>
    <t>Белорусский государственный университет</t>
  </si>
  <si>
    <t>ЮЮРмд36р-л000-2.00</t>
  </si>
  <si>
    <t>Юрист в органах муниципальной власти</t>
  </si>
  <si>
    <t>ЮЮРмд37р-л000-2.00</t>
  </si>
  <si>
    <t>Сравнительные юридические стратегии в правовой политике</t>
  </si>
  <si>
    <t>ЮЮРмд38р-д030-2.00</t>
  </si>
  <si>
    <t>Цифровые финансовые технологии и право (FinTechLaw)</t>
  </si>
  <si>
    <t>Московский государственный юридический университет имени О.Е. Кутафина</t>
  </si>
  <si>
    <t>ЮЮРмд39и-л000-2.00</t>
  </si>
  <si>
    <t>Право и политика в контексте публичной власти</t>
  </si>
  <si>
    <t>ЮЮРмд40р-л000-2.00</t>
  </si>
  <si>
    <t>ЮПЛмд08р-л000-2.00</t>
  </si>
  <si>
    <t>ЮПЛмд10р-л000-2.00</t>
  </si>
  <si>
    <t>ЮПЛмд11и-л000-2.00</t>
  </si>
  <si>
    <t>ЮЛНмд07а-л000-2.00</t>
  </si>
  <si>
    <t>Юридический перевод</t>
  </si>
  <si>
    <t>ЮЛНмд08а-л000-2.00</t>
  </si>
  <si>
    <t>Переводчик в системе государственных служб и учреждений</t>
  </si>
  <si>
    <t>ЮТПад00а-л000-3.00</t>
  </si>
  <si>
    <t>'5.1.1.</t>
  </si>
  <si>
    <t>Теоретико-исторические правовые науки</t>
  </si>
  <si>
    <t>ЮТПад00р-л000-3.00</t>
  </si>
  <si>
    <t>ЮППад00р-л000-3.00</t>
  </si>
  <si>
    <t>'5.1.2.</t>
  </si>
  <si>
    <t>Публично-правовые (государственно-правовые) науки</t>
  </si>
  <si>
    <t>ЮЧПад00р-л000-3.00</t>
  </si>
  <si>
    <t>'5.1.3.</t>
  </si>
  <si>
    <t>Частно-правовые (цивилистические) науки</t>
  </si>
  <si>
    <t>ЮУПад00р-л000-3.00</t>
  </si>
  <si>
    <t>'5.1.4.</t>
  </si>
  <si>
    <t>Уголовно-правовые науки</t>
  </si>
  <si>
    <t>ЮМНад00р-л000-3.00</t>
  </si>
  <si>
    <t>'5.1.5.</t>
  </si>
  <si>
    <t>Международно-правовые науки</t>
  </si>
  <si>
    <t>ЮМНад01а-л000-3.00</t>
  </si>
  <si>
    <t>Юридические науки: современное международное право</t>
  </si>
  <si>
    <t>ЮПИад00а-л000-3.00</t>
  </si>
  <si>
    <t>ЮПИад00р-л000-3.00</t>
  </si>
  <si>
    <t>ЮМОад00р-л000-3.00</t>
  </si>
  <si>
    <t>ЮТУад05а-л000-3.00</t>
  </si>
  <si>
    <t>Обучение профессионально-ориентированному иностранному языку и переводу в условиях цифровизации</t>
  </si>
  <si>
    <t>ЮЮРбв00р-л000-4.06</t>
  </si>
  <si>
    <t>ЮЮРбв02р-л000-4.06</t>
  </si>
  <si>
    <t>Международное право (с элементами электронного обучения)</t>
  </si>
  <si>
    <t>ЮЮРмв03р-л000-2.06</t>
  </si>
  <si>
    <t>ЮЮРмз01р-л000-2.04</t>
  </si>
  <si>
    <t>ЮЮРмз06р-л000-2.04</t>
  </si>
  <si>
    <t>ЮЮРмз07р-л000-2.04</t>
  </si>
  <si>
    <t>ЮЮРмз25р-л000-2.04</t>
  </si>
  <si>
    <t>Факультет кафедры</t>
  </si>
  <si>
    <t>Кафедра</t>
  </si>
  <si>
    <t>Агробиотехнологический департамент</t>
  </si>
  <si>
    <t>Агроинженерный департамент</t>
  </si>
  <si>
    <t>Вечерне-заочное отделение АТИ</t>
  </si>
  <si>
    <t>Департамент ветеринарной медицины</t>
  </si>
  <si>
    <t>Департамент ландшафтного проектирования и устойчивых экосистем</t>
  </si>
  <si>
    <t>Департамент техносферной безопасности</t>
  </si>
  <si>
    <t>Кафедра иностранных языков</t>
  </si>
  <si>
    <t>Аграрный факультет</t>
  </si>
  <si>
    <t>Кафедра ботаники, физиологии растений и агробиотехнологии</t>
  </si>
  <si>
    <t>Кафедра генетики, растениеводства и защиты растений</t>
  </si>
  <si>
    <t>Кафедра клинической ветеринарии</t>
  </si>
  <si>
    <t>Кафедра ландшафтной архитектуры и дизайна</t>
  </si>
  <si>
    <t>Кафедра морфологии животных и ветеринарно-санитарной экспертизы</t>
  </si>
  <si>
    <t>Кафедра почвоведения, земледелия и земельного  кадастра</t>
  </si>
  <si>
    <t>Кафедра стандартизации, метрологии и технологий производства продукции животноводства</t>
  </si>
  <si>
    <t>Кафедра управления и экономики агробизнеса</t>
  </si>
  <si>
    <t>Высшая школа промышленной политики и предпринимательства</t>
  </si>
  <si>
    <t>Базовая кафедра инновационного менеджмента и внешнеэкономической деятельности в промышленности</t>
  </si>
  <si>
    <t>Кафедра комплаенса и контроллинга</t>
  </si>
  <si>
    <t>Кафедра математического моделирования и информационных технологий</t>
  </si>
  <si>
    <t>Кафедра прикладной экономики</t>
  </si>
  <si>
    <t>Кафедра управления цифровым предприятием в топливно-энергетическом комплексе</t>
  </si>
  <si>
    <t>Базовая кафедра "Машиностроительные технологии"</t>
  </si>
  <si>
    <t>Базовая кафедра "Специальные материалы и электромеханические конструкции"</t>
  </si>
  <si>
    <t>Базовая кафедра "Энергетическое машиностроение"</t>
  </si>
  <si>
    <t>Базовая кафедра «Нанотехнологии и микросистемная техника»</t>
  </si>
  <si>
    <t>Вечерне-заочное отделение инженерной академии</t>
  </si>
  <si>
    <t>Департамент архитектуры</t>
  </si>
  <si>
    <t>Департамент архитектуры и строительства</t>
  </si>
  <si>
    <t>Департамент инженерной графики и компьютерного моделирования</t>
  </si>
  <si>
    <t>Департамент инновационного менеджмента в отраслях промышленности</t>
  </si>
  <si>
    <t>Департамент машиностроения и приборостроения</t>
  </si>
  <si>
    <t>Департамент механики и процессов управления</t>
  </si>
  <si>
    <t>Департамент недропользования и нефтегазового дела</t>
  </si>
  <si>
    <t>Департамент строительства</t>
  </si>
  <si>
    <t>Департамент транспорта</t>
  </si>
  <si>
    <t>Кафедра архитектуры и градостроительства</t>
  </si>
  <si>
    <t>Кафедра геодезии и маркшейдерского дела</t>
  </si>
  <si>
    <t>Кафедра гидравликии и гидротехнических сооружений</t>
  </si>
  <si>
    <t>Кафедра инженерного бизнеса и управления предприятием</t>
  </si>
  <si>
    <t>Кафедра кибернетики и мехатроники</t>
  </si>
  <si>
    <t>Кафедра месторождений полезных ископаемых и их разведки им. В.М.Крейтера</t>
  </si>
  <si>
    <t>Кафедра начертательной геометрии и черчения</t>
  </si>
  <si>
    <t>Кафедра нефтепромысловой геологии, горного и нефтегазового дела</t>
  </si>
  <si>
    <t>Кафедра проектирования и строительства промышленных и гражданских сооружений</t>
  </si>
  <si>
    <t>Кафедра прочности материалов и конструкций</t>
  </si>
  <si>
    <t>Кафедра строительных конструкций и сооружений</t>
  </si>
  <si>
    <t>Кафедра теплотехники и тепловых двигателей</t>
  </si>
  <si>
    <t>Кафедра технологии машиностроения, металлорежущих станков и инструментов</t>
  </si>
  <si>
    <t>Кафедра эксплуатации автотранспортных средств ИнжФ</t>
  </si>
  <si>
    <t>Институт биохимической технологии и нанотехнологии</t>
  </si>
  <si>
    <t>Вечерне-заочное отделение ИВЭБиТД</t>
  </si>
  <si>
    <t>Кафедра таможенного дела</t>
  </si>
  <si>
    <t>Институт гостиничного бизнеса и туризма</t>
  </si>
  <si>
    <t>Кафедра социальной педагогики</t>
  </si>
  <si>
    <t>Кафедра теории и практики иностранных языков</t>
  </si>
  <si>
    <t>Институт космических технологий</t>
  </si>
  <si>
    <t>Кафедра математического моделирования в космических системах</t>
  </si>
  <si>
    <t>Кафедра механика космического полета</t>
  </si>
  <si>
    <t>Кафедра организации космической деятельности</t>
  </si>
  <si>
    <t>Кафедра стратегического управления в топливно-энергетическом комплексе</t>
  </si>
  <si>
    <t>Кафедра технологического менеджмента</t>
  </si>
  <si>
    <t>Кафедра управления конкурентоспособностью аэрокосмических предприятий</t>
  </si>
  <si>
    <t>Кафедра физико-математических методов проектирования сложных технических систем ракетно-космической техники</t>
  </si>
  <si>
    <t>Кафедра экономики космической деятельности</t>
  </si>
  <si>
    <t>Кафедра рекламы и бизнес-коммуникаций</t>
  </si>
  <si>
    <t>Институт повышения квалификации и переподготовки кадров</t>
  </si>
  <si>
    <t>Кафедра прикладной психологии и психотерапии</t>
  </si>
  <si>
    <t>Кафедра специального образования</t>
  </si>
  <si>
    <t>Вечерне-заочное отделение ИРЯ</t>
  </si>
  <si>
    <t>Кафедра истории и социально-экономических дисциплин</t>
  </si>
  <si>
    <t>Кафедра математики и информатики</t>
  </si>
  <si>
    <t>Кафедра общеобразовательных дисциплин</t>
  </si>
  <si>
    <t>Кафедра прикладной информатики и интеллектуальных систем в гуманитарной сфере</t>
  </si>
  <si>
    <t>Кафедра пропедевтики внутренних болезней</t>
  </si>
  <si>
    <t>Кафедра русского языка 1</t>
  </si>
  <si>
    <t>Кафедра русского языка 2</t>
  </si>
  <si>
    <t>Кафедра русского языка 3</t>
  </si>
  <si>
    <t>Кафедра русского языка 4</t>
  </si>
  <si>
    <t>Кафедра русского языка 5</t>
  </si>
  <si>
    <t>Кафедра русского языка и лингвокультурологии</t>
  </si>
  <si>
    <t>Кафедра русского языка и межкультурной коммуникации</t>
  </si>
  <si>
    <t>Кафедра химии и биологии</t>
  </si>
  <si>
    <t>Вечерне-заочное отделение экологического факультета</t>
  </si>
  <si>
    <t>Департамент рационального природопользования</t>
  </si>
  <si>
    <t>Департамент экологии человека и биоэлементологии</t>
  </si>
  <si>
    <t>Департамент экологической безопасности и менеджмента качества продукции</t>
  </si>
  <si>
    <t>Кафедра геоэкологии</t>
  </si>
  <si>
    <t>Кафедра прикладной экологии</t>
  </si>
  <si>
    <t>Кафедра системной экологии</t>
  </si>
  <si>
    <t>Кафедра судебной экологии с курсом экологии человека</t>
  </si>
  <si>
    <t>Кафедра экологии и управления водными ресурсами</t>
  </si>
  <si>
    <t>Кафедра экологии человека</t>
  </si>
  <si>
    <t>Кафедра экологического мониторинга и прогнозирования</t>
  </si>
  <si>
    <t>Аккредитационно-симуляционный центр</t>
  </si>
  <si>
    <t>Вечерне-заочное отделение медицинского института</t>
  </si>
  <si>
    <t>Кафедра акушерства и гинекологии с курсом перинатологии</t>
  </si>
  <si>
    <t>Кафедра анатомии человека</t>
  </si>
  <si>
    <t>Кафедра анестезиологии и реаниматологии</t>
  </si>
  <si>
    <t>Кафедра анестезиологии и реаниматологии с курсом медицинской реабилитации</t>
  </si>
  <si>
    <t>Кафедра биологии и общей генетики</t>
  </si>
  <si>
    <t>Кафедра биохимии имени академика Т.Т. Березова</t>
  </si>
  <si>
    <t>Кафедра внутренних болезней с курсом кардиологии и функциональной диагностики имени академика В.С. Моисеева</t>
  </si>
  <si>
    <t>Кафедра гистологии, цитологии и эмбриологии</t>
  </si>
  <si>
    <t>Кафедра глазных болезней</t>
  </si>
  <si>
    <t>Кафедра госпитальной терапии с курсами эндокринологии, гематологии и клинической лабораторной диагностики</t>
  </si>
  <si>
    <t>Кафедра госпитальной хирургии с курсом детской хирургии</t>
  </si>
  <si>
    <t>Кафедра дерматовенерологии, аллергологии и косметологии</t>
  </si>
  <si>
    <t>Кафедра доказательной медицины</t>
  </si>
  <si>
    <t>Кафедра иммунологии</t>
  </si>
  <si>
    <t>Кафедра иммунологии и аллергологии</t>
  </si>
  <si>
    <t>Кафедра инфекционных болезней с курсами эпидемиологии и фтизиатрии</t>
  </si>
  <si>
    <t>Кафедра истории медицины</t>
  </si>
  <si>
    <t>Кафедра кожных и венерических болезней</t>
  </si>
  <si>
    <t>Кафедра медицинской информатики и телемедицины</t>
  </si>
  <si>
    <t>Кафедра медицинской элементологии</t>
  </si>
  <si>
    <t>Кафедра медицины катастроф</t>
  </si>
  <si>
    <t>Кафедра микробиологии имени В.С. Киктенко</t>
  </si>
  <si>
    <t>Кафедра нервных болезней и нейрохирургии имени профессора Ю.С. Мартынова</t>
  </si>
  <si>
    <t>Кафедра нормальной физиологии</t>
  </si>
  <si>
    <t>Кафедра общей врачебной практики</t>
  </si>
  <si>
    <t>Кафедра общей и клинической стоматологии</t>
  </si>
  <si>
    <t>Кафедра общей и клинической фармакологии</t>
  </si>
  <si>
    <t>Кафедра общей патологии и патологической физиологии имени В.А. Фролова</t>
  </si>
  <si>
    <t>Кафедра общей фармацевтической и биомедицинской технологии</t>
  </si>
  <si>
    <t>Кафедра общественного здоровья, здравоохранения и гигиены</t>
  </si>
  <si>
    <t>Кафедра онкологии и рентгенорадиологии имени академика В.П. Харченко</t>
  </si>
  <si>
    <t>Кафедра оперативной хирургии и клинической анатомии имени И.Д. Кирпатовского</t>
  </si>
  <si>
    <t>Кафедра ортопедической стоматологии</t>
  </si>
  <si>
    <t>Кафедра оториноларингологии</t>
  </si>
  <si>
    <t>Кафедра патологической анатомии</t>
  </si>
  <si>
    <t>Кафедра педиатрии</t>
  </si>
  <si>
    <t>Кафедра пропедевтики стоматологических заболеваний</t>
  </si>
  <si>
    <t>Кафедра психиатрии и медицинской психологии</t>
  </si>
  <si>
    <t>Кафедра стоматологии детского возраста и ортодонтии</t>
  </si>
  <si>
    <t>Кафедра судебной медицины</t>
  </si>
  <si>
    <t>Кафедра терапевтической стоматологии</t>
  </si>
  <si>
    <t>Кафедра травматологии и ортопедии</t>
  </si>
  <si>
    <t>Кафедра управления и экономики фармации</t>
  </si>
  <si>
    <t>Кафедра управления сестринской деятельностью</t>
  </si>
  <si>
    <t>Кафедра урологии и оперативной нефрологии с курсом онкоурологии</t>
  </si>
  <si>
    <t>Кафедра факультетской терапии</t>
  </si>
  <si>
    <t>Кафедра факультетской хирургии</t>
  </si>
  <si>
    <t>Кафедра фармацевтической и токсикологической химии</t>
  </si>
  <si>
    <t>Кафедра челюстно-лицевой хирургии и хирургической стоматологии</t>
  </si>
  <si>
    <t>Курс истории медицины</t>
  </si>
  <si>
    <t>Курс медицинской реабилитации</t>
  </si>
  <si>
    <t>Международный институт стратегического развития отраслевых экономик</t>
  </si>
  <si>
    <t>Научно-образовательный центр коллективного пользования</t>
  </si>
  <si>
    <t>Кафедра фармацевтической химии и фармакогнозии</t>
  </si>
  <si>
    <t>УНИБЦ</t>
  </si>
  <si>
    <t>Учебно-научный информационный библиотечный центр</t>
  </si>
  <si>
    <t>Кафедра гравитации и космологии</t>
  </si>
  <si>
    <t>Кафедра физики</t>
  </si>
  <si>
    <t>Кафедра информационных технологий в непрерывном образовании</t>
  </si>
  <si>
    <t>Кафедра сравнительной образовательной политики</t>
  </si>
  <si>
    <t>Вечерне-заочное отделение ФГСН</t>
  </si>
  <si>
    <t>Кафедра африканистики и арабистики</t>
  </si>
  <si>
    <t>Кафедра всеобщей истории</t>
  </si>
  <si>
    <t>Кафедра государственного и муниципального управления</t>
  </si>
  <si>
    <t>Кафедра истории России</t>
  </si>
  <si>
    <t>Кафедра истории философии</t>
  </si>
  <si>
    <t>Кафедра онтологии и теории познания</t>
  </si>
  <si>
    <t>Кафедра политического анализа и управления</t>
  </si>
  <si>
    <t>Кафедра социальной философии</t>
  </si>
  <si>
    <t>Кафедра социологии</t>
  </si>
  <si>
    <t>Кафедра сравнительной политологии</t>
  </si>
  <si>
    <t>Кафедра теории и истории культуры</t>
  </si>
  <si>
    <t>Кафедра теории и истории международных отношений</t>
  </si>
  <si>
    <t>Кафедра этики</t>
  </si>
  <si>
    <t>Кафедра акушерства, гинекологии и репродуктивной медицины</t>
  </si>
  <si>
    <t>Кафедра биофизических методов в медицине</t>
  </si>
  <si>
    <t>Кафедра внутренних болезней, кардиологии и клинической фармакологии</t>
  </si>
  <si>
    <t>Кафедра восстановительного лечения (курортологии и физиотерапии)</t>
  </si>
  <si>
    <t>Кафедра геронтологии, физической и реабилитационной медицины</t>
  </si>
  <si>
    <t>Кафедра гомеопатии ФПК МР</t>
  </si>
  <si>
    <t>Кафедра дерматовенерологии и косметологии</t>
  </si>
  <si>
    <t>Кафедра дерматовенерологии с курсом косметологии</t>
  </si>
  <si>
    <t>Кафедра диетологии и клинической нутрициологии</t>
  </si>
  <si>
    <t>Кафедра кардиологии, рентгенэндоваскулярных и гибридных методов диагностики и лечения</t>
  </si>
  <si>
    <t>Кафедра клинической андрологии</t>
  </si>
  <si>
    <t>Кафедра клинической и социальной гериатрии</t>
  </si>
  <si>
    <t>Кафедра клинической лабораторной диагностики</t>
  </si>
  <si>
    <t>Кафедра клинической лимфологии и эндоэкологии ФПК МР</t>
  </si>
  <si>
    <t>Кафедра клинической маммологии, лучевой диагностики и лучевой терапии</t>
  </si>
  <si>
    <t>Кафедра клинической реабилитации</t>
  </si>
  <si>
    <t>Кафедра клинической физиологии и нелекарственных методов терапии</t>
  </si>
  <si>
    <t>Кафедра кожных и венерических болезней с курсом косметологии</t>
  </si>
  <si>
    <t>Кафедра медицинской реабилитации и физиотерапии</t>
  </si>
  <si>
    <t>Кафедра менеджмента и маркетинга в фармации</t>
  </si>
  <si>
    <t>Кафедра онкологии и гематологии</t>
  </si>
  <si>
    <t>Кафедра организации здравоохранения, лекарственного обеспечения, медицинских технологий и гигиены</t>
  </si>
  <si>
    <t>Кафедра ортопедической стоматологии с курсом зубных техников</t>
  </si>
  <si>
    <t>Кафедра остеопатии, мануальной терапии и гнатологии</t>
  </si>
  <si>
    <t>Кафедра оториноларингологии ФПК МР</t>
  </si>
  <si>
    <t>Кафедра офтальмологии</t>
  </si>
  <si>
    <t>Кафедра пластической хирургии</t>
  </si>
  <si>
    <t>Кафедра превентивной медицины</t>
  </si>
  <si>
    <t>Кафедра профилактической медицины</t>
  </si>
  <si>
    <t>Кафедра психиатрии, наркологии и психотерапии</t>
  </si>
  <si>
    <t>Кафедра психиатрии, психотерапии и психосоматической патологии</t>
  </si>
  <si>
    <t>Кафедра психотерапии и медико-социальной реабилитации в наркологии</t>
  </si>
  <si>
    <t>Кафедра психотерапии и медико-социальной реабилитации в наркологии ФПК МР</t>
  </si>
  <si>
    <t>Кафедра сердечно-сосудистой хирургии</t>
  </si>
  <si>
    <t>Кафедра сестринское дело</t>
  </si>
  <si>
    <t>Кафедра стоматологии и челюстно-лицевой хирургии</t>
  </si>
  <si>
    <t>Кафедра терапевтической стоматологии и парадонтологии ФПК МР</t>
  </si>
  <si>
    <t>Кафедра терапии</t>
  </si>
  <si>
    <t>Кафедра технологии получения лекарств и организации фармацевтического дела</t>
  </si>
  <si>
    <t>Кафедра травматологии, ортопедии и артрологии</t>
  </si>
  <si>
    <t>Кафедра ультразвуковой диагностики и хирургии</t>
  </si>
  <si>
    <t>Кафедра урологии, онкологии и радиологии</t>
  </si>
  <si>
    <t>Кафедра физиотерапии</t>
  </si>
  <si>
    <t>Кафедра физических методов лечения с курсом клинической лимфологии и эндоэкологии</t>
  </si>
  <si>
    <t>Кафедра фитотерапия ФПК МР</t>
  </si>
  <si>
    <t>Кафедра функциональной и лучевой диагностики</t>
  </si>
  <si>
    <t>Кафедра хирургии и онкологии</t>
  </si>
  <si>
    <t>Кафедра эндокринологии с курсом холистической медицины</t>
  </si>
  <si>
    <t>Кафедра эндоскопии, эндоскопической и лазерной хирургии</t>
  </si>
  <si>
    <t>Кафедра эндоскопической урологии и ультразвуковой диагностики</t>
  </si>
  <si>
    <t>Кафедра эстетической медицины</t>
  </si>
  <si>
    <t>Вечерне-заочное отделение факультета ФМиЕН</t>
  </si>
  <si>
    <t>Кафедра информационных технологий</t>
  </si>
  <si>
    <t>Кафедра математического анализа и теории функций</t>
  </si>
  <si>
    <t>Кафедра нелинейного анализа и оптимизации</t>
  </si>
  <si>
    <t>Кафедра неорганической химии</t>
  </si>
  <si>
    <t>Кафедра общей химии</t>
  </si>
  <si>
    <t>Кафедра органической химии</t>
  </si>
  <si>
    <t>Кафедра прикладной информатики и теории вероятностей</t>
  </si>
  <si>
    <t>Кафедра прикладной математики</t>
  </si>
  <si>
    <t>Кафедра прикладной физики</t>
  </si>
  <si>
    <t>Кафедра Теоретической физики и механики</t>
  </si>
  <si>
    <t>Кафедра физической и коллоидной химии</t>
  </si>
  <si>
    <t>Математический институт имени академика С.М. Никольского</t>
  </si>
  <si>
    <t>Научно-образовательный институт физических исследований и технологий</t>
  </si>
  <si>
    <t>Вечерне-заочное отделение филологического факультета</t>
  </si>
  <si>
    <t>Кафедра компьютерных технологий</t>
  </si>
  <si>
    <t>Кафедра массовых коммуникаций</t>
  </si>
  <si>
    <t>Кафедра общего и русского языкознания</t>
  </si>
  <si>
    <t>Кафедра психологии и педагогики</t>
  </si>
  <si>
    <t>Кафедра русского языка и методики его преподавания</t>
  </si>
  <si>
    <t>Кафедра русской и зарубежной литературы</t>
  </si>
  <si>
    <t>Кафедра социальной и дифференциальной психологии</t>
  </si>
  <si>
    <t>Кафедра теории и истории журналистики</t>
  </si>
  <si>
    <t>Курс современных технологий СМИ и МК</t>
  </si>
  <si>
    <t>ФОК</t>
  </si>
  <si>
    <t>Кафедра физвоспитания и спорта</t>
  </si>
  <si>
    <t>Цифровая кафедра</t>
  </si>
  <si>
    <t>Вечерне-заочное отделение экономического факультета</t>
  </si>
  <si>
    <t>Кафедра бухгалтерского учета, аудита и статистики</t>
  </si>
  <si>
    <t>Кафедра ибероамериканских исследований</t>
  </si>
  <si>
    <t>Кафедра макроэкономического регулирования и планирования</t>
  </si>
  <si>
    <t>Кафедра маркетинга</t>
  </si>
  <si>
    <t>Кафедра международных экономических отношений</t>
  </si>
  <si>
    <t>Кафедра менеджмента</t>
  </si>
  <si>
    <t>Кафедра национальной экономики</t>
  </si>
  <si>
    <t>Кафедра политической экономии имени В.Ф. Станиса</t>
  </si>
  <si>
    <t>Кафедра региональной экономики и географии</t>
  </si>
  <si>
    <t>Кафедра финансы и кредит</t>
  </si>
  <si>
    <t>Кафедра экономики предприятия и предпринимательства</t>
  </si>
  <si>
    <t>Кафедра экономико-математического моделирования</t>
  </si>
  <si>
    <t>Вечерне-заочное отделение юридического института</t>
  </si>
  <si>
    <t>Кафедра административного и финансового права</t>
  </si>
  <si>
    <t>Кафедра гражданского права и процесса и международного частного права</t>
  </si>
  <si>
    <t>Кафедра земельного и экологического права</t>
  </si>
  <si>
    <t>Кафедра истории права и государства</t>
  </si>
  <si>
    <t>Кафедра конкурентного права</t>
  </si>
  <si>
    <t>Кафедра конституционного и муниципального права</t>
  </si>
  <si>
    <t>Кафедра конституционного права и конституционного судопроизводства</t>
  </si>
  <si>
    <t>Кафедра международного права</t>
  </si>
  <si>
    <t>Кафедра муниципального права</t>
  </si>
  <si>
    <t>Кафедра публичной политики и истории государства и права</t>
  </si>
  <si>
    <t>Кафедра судебной власти, гражданского общества и правоохранительной деятельности</t>
  </si>
  <si>
    <t>Кафедра судебно-экспертной деятельности</t>
  </si>
  <si>
    <t>Кафедра теории и истории государства и права</t>
  </si>
  <si>
    <t>Кафедра теории права и государства</t>
  </si>
  <si>
    <t>Кафедра уголовного права, уголовного процесса и криминалистики</t>
  </si>
  <si>
    <t>Научно-образовательный центр "Правовые исследования"</t>
  </si>
  <si>
    <t>С</t>
  </si>
  <si>
    <t>П</t>
  </si>
  <si>
    <t>Х</t>
  </si>
  <si>
    <t>И</t>
  </si>
  <si>
    <t>Ж</t>
  </si>
  <si>
    <t>Л</t>
  </si>
  <si>
    <t>Я</t>
  </si>
  <si>
    <t>Ш</t>
  </si>
  <si>
    <t>Р</t>
  </si>
  <si>
    <t>О</t>
  </si>
  <si>
    <t>М</t>
  </si>
  <si>
    <t>Научно-образовательный институт современных языков, межкультурной коммуникации и миграций</t>
  </si>
  <si>
    <t>А</t>
  </si>
  <si>
    <t>У</t>
  </si>
  <si>
    <t>Е</t>
  </si>
  <si>
    <t>Г</t>
  </si>
  <si>
    <t>З</t>
  </si>
  <si>
    <t>К</t>
  </si>
  <si>
    <t>Н</t>
  </si>
  <si>
    <t>Ф</t>
  </si>
  <si>
    <t>Ю</t>
  </si>
  <si>
    <t>Нормы времени для расчета объема учебной работы ППС на 2021-2022 уч. год</t>
  </si>
  <si>
    <t>№ п/п</t>
  </si>
  <si>
    <t>Вид работы</t>
  </si>
  <si>
    <t>Единица объёма работы</t>
  </si>
  <si>
    <t>Норма времени (час.)</t>
  </si>
  <si>
    <t>Значение</t>
  </si>
  <si>
    <t>Коды видов учебных работ</t>
  </si>
  <si>
    <t>Имя</t>
  </si>
  <si>
    <t>Примечание</t>
  </si>
  <si>
    <t>Проведение лекционных занятий (всем категориям обучающихся)</t>
  </si>
  <si>
    <t>1 поток</t>
  </si>
  <si>
    <t>За 1 акад. час по учебному плану</t>
  </si>
  <si>
    <t>Проведение практических занятий / семинаров (всем категориям обучающихся)</t>
  </si>
  <si>
    <t>1 ак. группа</t>
  </si>
  <si>
    <t>ПЗ</t>
  </si>
  <si>
    <t>За 1 акад. час по учебному плану на группу 24-30 чел.</t>
  </si>
  <si>
    <t>Проведение лабораторных работ (в т.ч. практических занятий в компьютерных классах) и клинических занятий.</t>
  </si>
  <si>
    <t>1 подгруппа</t>
  </si>
  <si>
    <t>ЛР</t>
  </si>
  <si>
    <t>За 1 акад. час по учебному плану на подгруппу не менее 12 чел.</t>
  </si>
  <si>
    <t>Проведение занятий по иностранным языкам</t>
  </si>
  <si>
    <t>ия</t>
  </si>
  <si>
    <t>ПрИн</t>
  </si>
  <si>
    <t xml:space="preserve">За 1 акад. час по учебному плану на подгруппу не менее 12 чел. Для программ синхронного перевода - не менее 6 чел. </t>
  </si>
  <si>
    <t>Проведение занятий по русскому языку для иностранных обучающихся</t>
  </si>
  <si>
    <t>ПрРЯ</t>
  </si>
  <si>
    <t>Проведение лекционных занятий с использованием ТУИС</t>
  </si>
  <si>
    <t>ТУИС</t>
  </si>
  <si>
    <t>За 1 акад. час по учебному плану (при наличии актуальных видеоматериалов)</t>
  </si>
  <si>
    <t>Чтение лекций в дистанционном формате (всем категориям обучающихся)</t>
  </si>
  <si>
    <t>ЛДа</t>
  </si>
  <si>
    <t>За 1 акад. час по учебному плану (с использовании презентационных материалов)</t>
  </si>
  <si>
    <t>Проведение лекционных занятий по цифровым образовательным программам</t>
  </si>
  <si>
    <t>ЛЦП</t>
  </si>
  <si>
    <t>Лекционные занятия по цифровым образовательным программам являются оцифрованными, ввиду чего не учитываются в учебной нагрузке</t>
  </si>
  <si>
    <t>Проведение семинаров и всех видов практических занятий по цифровым образовательным программам</t>
  </si>
  <si>
    <t>СЦП</t>
  </si>
  <si>
    <t>За 1 акад. час по учебному плану.</t>
  </si>
  <si>
    <t>Проведение текущих консультаций по учебным дисциплинам для обучающихся очной формы обучения всех уровней подготовки</t>
  </si>
  <si>
    <t>ТКЛД</t>
  </si>
  <si>
    <t>От общего числа лекционных часов на изучение каждой дисциплины по учебному плану</t>
  </si>
  <si>
    <t>Проведение текущих консультаций по учебным дисциплинам для обучающихся очно-заочной формы обучения всех уровней подготовки</t>
  </si>
  <si>
    <t>ТКЛВ</t>
  </si>
  <si>
    <t>Проведение текущих консультаций по учебным дисциплинам для обучающихся заочной формы обучения всех уровней подготовки</t>
  </si>
  <si>
    <t>ТКЛЗ</t>
  </si>
  <si>
    <t>Руководство, консультации, рецензирование и приём защиты курсовой работы</t>
  </si>
  <si>
    <r>
      <rPr>
        <sz val="11"/>
        <rFont val="Times New Roman"/>
        <family val="1"/>
        <charset val="204"/>
      </rPr>
      <t>1 обуч</t>
    </r>
    <r>
      <rPr>
        <sz val="12"/>
        <rFont val="Times New Roman"/>
        <family val="1"/>
        <charset val="204"/>
      </rPr>
      <t>.</t>
    </r>
  </si>
  <si>
    <t>ВПКР</t>
  </si>
  <si>
    <t>Включая консультации в объеме 15% от нормы времени</t>
  </si>
  <si>
    <t>Руководство, консультации, рецензирование и прием защиты курсового проекта</t>
  </si>
  <si>
    <t>ВПКП</t>
  </si>
  <si>
    <t>Включая 15% времени на консультирование. Не более 2 проектов в семестр.</t>
  </si>
  <si>
    <t>Руководство, консультирование, рецензирование и прием отчетов по оформлению истории болезни по клиническим дисциплинам (для ООП ВО по УГС 31.00.00.)</t>
  </si>
  <si>
    <t>ВПИБ</t>
  </si>
  <si>
    <t>Организация и проведение текущего контроля успеваемости обучающихся по дисциплинам учебного плана</t>
  </si>
  <si>
    <t>ТКиРА</t>
  </si>
  <si>
    <t>На каждую дисциплину в семестре (для семестровых дисциплин)</t>
  </si>
  <si>
    <t>Проверка и прием контрольных работ для подготовительного факультета ИРЯ</t>
  </si>
  <si>
    <t>КРФРЯ</t>
  </si>
  <si>
    <t>На каждую контрольную работу</t>
  </si>
  <si>
    <t>18.1</t>
  </si>
  <si>
    <t>Организация и проведение выпускного экзамена по русскому языку как иностранному для обучающихся ФРЯ и ОД</t>
  </si>
  <si>
    <t>1 яз. группа</t>
  </si>
  <si>
    <t>ПЭ</t>
  </si>
  <si>
    <t>ПЭФРЯ</t>
  </si>
  <si>
    <t>На письменную часть</t>
  </si>
  <si>
    <t>18.2</t>
  </si>
  <si>
    <t>УЭ</t>
  </si>
  <si>
    <t>УЭФРЯ</t>
  </si>
  <si>
    <t>На устную часть</t>
  </si>
  <si>
    <t>Проведение промежуточной аттестации по дисциплинам учебного плана в соответствии с БРС университета</t>
  </si>
  <si>
    <t>ПАБРС</t>
  </si>
  <si>
    <t>На каждую дисциплину в семестр</t>
  </si>
  <si>
    <t>Рецензирование реферата обучающегося по ОП ВО аспирантуры перед сдачей ГЭК</t>
  </si>
  <si>
    <t>РР</t>
  </si>
  <si>
    <t>РефАсп</t>
  </si>
  <si>
    <t>Научному руководителю аспиранта</t>
  </si>
  <si>
    <t>Рецензирование реферата обучающегося по ОП ВО аспирантуры или программе подготовки научных и научно-педагогических кадров в аспирантуре по дисциплине история и философия науки</t>
  </si>
  <si>
    <t>РРФ</t>
  </si>
  <si>
    <t>РефФил</t>
  </si>
  <si>
    <t>Кафедре ведущей дисциплину</t>
  </si>
  <si>
    <t>Документальное оформление результатов промежуточной аттестации по каждой дисциплине учебного плана в соответствии с БРС Университета</t>
  </si>
  <si>
    <t>ОфВед</t>
  </si>
  <si>
    <t>Оформление аттестационных ведомостей и зачётных книжек</t>
  </si>
  <si>
    <t>Руководство учебной практикой с проверкой отчётов и аттестацией для бакалавриата, специалитета и магистратуры.
Руководство клинической практикой с проверкой отчетов и аттестацией ординаторов.</t>
  </si>
  <si>
    <t>РУП</t>
  </si>
  <si>
    <t>За 1,5 ЗЕ объёма практики по учебному плану.</t>
  </si>
  <si>
    <t>Руководство учебной практикой с проверкой отчётов и аттестацией по специальности «Лечебное дело»</t>
  </si>
  <si>
    <t>УПМ</t>
  </si>
  <si>
    <t>РУПЛеч</t>
  </si>
  <si>
    <t>Руководство производственной и специальной практикой, педагогической практикой в школах г. Москвы с проверкой отчётов и проведением аттестации в соответствии с БРС Университета для всех уровней высшего образования</t>
  </si>
  <si>
    <t>ПП</t>
  </si>
  <si>
    <t>РПП</t>
  </si>
  <si>
    <t>Руководство выездными производственными, специальными и педагогическими практиками на БУП, практикой обучающихся медицинского института, преддипломной практикой и всеми видами научной практики с проверкой отчетов, и проведением аттестации в соответствии с БРС Университета для всех уровней высшего образования</t>
  </si>
  <si>
    <t>ВПр</t>
  </si>
  <si>
    <r>
      <rPr>
        <sz val="11"/>
        <rFont val="Times New Roman"/>
        <family val="1"/>
        <charset val="204"/>
      </rPr>
      <t>Руководство всеми видами практик, в том числе НИР, с проверкой отчётов и аттестацией обучающихся по программам</t>
    </r>
    <r>
      <rPr>
        <b/>
        <sz val="11"/>
        <rFont val="Times New Roman"/>
        <family val="1"/>
        <charset val="204"/>
      </rPr>
      <t xml:space="preserve"> цифровых магистратур</t>
    </r>
  </si>
  <si>
    <t>ЦП</t>
  </si>
  <si>
    <t>На каждую практику в семестре</t>
  </si>
  <si>
    <r>
      <rPr>
        <sz val="11"/>
        <rFont val="Times New Roman"/>
        <family val="1"/>
        <charset val="204"/>
      </rPr>
      <t xml:space="preserve">Руководство научно-исследовательской работой обучающихся </t>
    </r>
    <r>
      <rPr>
        <b/>
        <sz val="11"/>
        <rFont val="Times New Roman"/>
        <family val="1"/>
        <charset val="204"/>
      </rPr>
      <t>РФ</t>
    </r>
    <r>
      <rPr>
        <sz val="11"/>
        <rFont val="Times New Roman"/>
        <family val="1"/>
        <charset val="204"/>
      </rPr>
      <t xml:space="preserve"> в </t>
    </r>
    <r>
      <rPr>
        <b/>
        <sz val="11"/>
        <rFont val="Times New Roman"/>
        <family val="1"/>
        <charset val="204"/>
      </rPr>
      <t>магистратуре</t>
    </r>
    <r>
      <rPr>
        <sz val="11"/>
        <rFont val="Times New Roman"/>
        <family val="1"/>
        <charset val="204"/>
      </rPr>
      <t xml:space="preserve"> (НИРМ), включая научно-исследовательский семинар</t>
    </r>
  </si>
  <si>
    <t>НР</t>
  </si>
  <si>
    <t>НИРМ</t>
  </si>
  <si>
    <r>
      <rPr>
        <sz val="9"/>
        <rFont val="Times New Roman"/>
        <family val="1"/>
        <charset val="204"/>
      </rPr>
      <t xml:space="preserve">За 1,5 ЗЕ объёма НИРМ по учебному плану </t>
    </r>
    <r>
      <rPr>
        <b/>
        <sz val="9"/>
        <rFont val="Times New Roman"/>
        <family val="1"/>
        <charset val="204"/>
      </rPr>
      <t>первого года обучения</t>
    </r>
  </si>
  <si>
    <r>
      <rPr>
        <sz val="11"/>
        <rFont val="Times New Roman"/>
        <family val="1"/>
        <charset val="204"/>
      </rPr>
      <t xml:space="preserve">Руководство научно-исследовательской работой </t>
    </r>
    <r>
      <rPr>
        <b/>
        <sz val="11"/>
        <rFont val="Times New Roman"/>
        <family val="1"/>
        <charset val="204"/>
      </rPr>
      <t>иностранных</t>
    </r>
    <r>
      <rPr>
        <sz val="11"/>
        <rFont val="Times New Roman"/>
        <family val="1"/>
        <charset val="204"/>
      </rPr>
      <t xml:space="preserve"> обучающихся в </t>
    </r>
    <r>
      <rPr>
        <b/>
        <sz val="11"/>
        <rFont val="Times New Roman"/>
        <family val="1"/>
        <charset val="204"/>
      </rPr>
      <t>магистратуре</t>
    </r>
    <r>
      <rPr>
        <sz val="11"/>
        <rFont val="Times New Roman"/>
        <family val="1"/>
        <charset val="204"/>
      </rPr>
      <t xml:space="preserve"> (НИРМ), включая научно-исследовательский семинар</t>
    </r>
  </si>
  <si>
    <t>НИРМИн</t>
  </si>
  <si>
    <r>
      <rPr>
        <sz val="11"/>
        <rFont val="Times New Roman"/>
        <family val="1"/>
        <charset val="204"/>
      </rPr>
      <t xml:space="preserve">Руководство педагогической практикой на кафедре, за которой закреплен </t>
    </r>
    <r>
      <rPr>
        <b/>
        <sz val="11"/>
        <rFont val="Times New Roman"/>
        <family val="1"/>
        <charset val="204"/>
      </rPr>
      <t>аспирант</t>
    </r>
    <r>
      <rPr>
        <sz val="11"/>
        <rFont val="Times New Roman"/>
        <family val="1"/>
        <charset val="204"/>
      </rPr>
      <t>, обучающийся по ОП ВО или программе подготовки научных и научно-педагогических кадров</t>
    </r>
  </si>
  <si>
    <r>
      <rPr>
        <sz val="11"/>
        <rFont val="Times New Roman"/>
        <family val="1"/>
        <charset val="204"/>
      </rPr>
      <t xml:space="preserve">Руководство научными исследованиями </t>
    </r>
    <r>
      <rPr>
        <b/>
        <sz val="11"/>
        <rFont val="Times New Roman"/>
        <family val="1"/>
        <charset val="204"/>
      </rPr>
      <t>аспирантов РФ</t>
    </r>
    <r>
      <rPr>
        <sz val="11"/>
        <rFont val="Times New Roman"/>
        <family val="1"/>
        <charset val="204"/>
      </rPr>
      <t xml:space="preserve">, обучающихся по </t>
    </r>
    <r>
      <rPr>
        <b/>
        <sz val="11"/>
        <rFont val="Times New Roman"/>
        <family val="1"/>
        <charset val="204"/>
      </rPr>
      <t>ОП ВО</t>
    </r>
  </si>
  <si>
    <t>НИРА</t>
  </si>
  <si>
    <t>За 1,5 ЗЕ объёма НИ по учебному плану</t>
  </si>
  <si>
    <r>
      <rPr>
        <sz val="11"/>
        <rFont val="Times New Roman"/>
        <family val="1"/>
        <charset val="204"/>
      </rPr>
      <t xml:space="preserve">Руководство научными исследованиями </t>
    </r>
    <r>
      <rPr>
        <b/>
        <sz val="11"/>
        <rFont val="Times New Roman"/>
        <family val="1"/>
        <charset val="204"/>
      </rPr>
      <t>иностранных аспирантов</t>
    </r>
    <r>
      <rPr>
        <sz val="11"/>
        <rFont val="Times New Roman"/>
        <family val="1"/>
        <charset val="204"/>
      </rPr>
      <t xml:space="preserve">, обучающихся по </t>
    </r>
    <r>
      <rPr>
        <b/>
        <sz val="11"/>
        <rFont val="Times New Roman"/>
        <family val="1"/>
        <charset val="204"/>
      </rPr>
      <t>ОП ВО</t>
    </r>
  </si>
  <si>
    <t>НИРАИ</t>
  </si>
  <si>
    <r>
      <rPr>
        <sz val="11"/>
        <rFont val="Times New Roman"/>
        <family val="1"/>
        <charset val="204"/>
      </rPr>
      <t xml:space="preserve">Руководство и консультирование выпускных квалификационных работ обучающихся </t>
    </r>
    <r>
      <rPr>
        <b/>
        <sz val="11"/>
        <rFont val="Times New Roman"/>
        <family val="1"/>
        <charset val="204"/>
      </rPr>
      <t>РФ</t>
    </r>
    <r>
      <rPr>
        <sz val="11"/>
        <rFont val="Times New Roman"/>
        <family val="1"/>
        <charset val="204"/>
      </rPr>
      <t xml:space="preserve"> по ОП </t>
    </r>
    <r>
      <rPr>
        <b/>
        <sz val="11"/>
        <rFont val="Times New Roman"/>
        <family val="1"/>
        <charset val="204"/>
      </rPr>
      <t>бакалавриата</t>
    </r>
  </si>
  <si>
    <t>РБ</t>
  </si>
  <si>
    <r>
      <rPr>
        <sz val="11"/>
        <rFont val="Times New Roman"/>
        <family val="1"/>
        <charset val="204"/>
      </rPr>
      <t xml:space="preserve">Руководство и консультирование выпускных квалификационных работ </t>
    </r>
    <r>
      <rPr>
        <b/>
        <sz val="11"/>
        <rFont val="Times New Roman"/>
        <family val="1"/>
        <charset val="204"/>
      </rPr>
      <t>иностранных</t>
    </r>
    <r>
      <rPr>
        <sz val="11"/>
        <rFont val="Times New Roman"/>
        <family val="1"/>
        <charset val="204"/>
      </rPr>
      <t xml:space="preserve"> обучающихся по ОП </t>
    </r>
    <r>
      <rPr>
        <b/>
        <sz val="11"/>
        <rFont val="Times New Roman"/>
        <family val="1"/>
        <charset val="204"/>
      </rPr>
      <t>бакалавриата</t>
    </r>
  </si>
  <si>
    <t>РБИ</t>
  </si>
  <si>
    <r>
      <rPr>
        <sz val="11"/>
        <rFont val="Times New Roman"/>
        <family val="1"/>
        <charset val="204"/>
      </rPr>
      <t xml:space="preserve">Руководство и консультирование выпускных квалификационных работ обучающихся </t>
    </r>
    <r>
      <rPr>
        <b/>
        <sz val="11"/>
        <rFont val="Times New Roman"/>
        <family val="1"/>
        <charset val="204"/>
      </rPr>
      <t>РФ</t>
    </r>
    <r>
      <rPr>
        <sz val="11"/>
        <rFont val="Times New Roman"/>
        <family val="1"/>
        <charset val="204"/>
      </rPr>
      <t xml:space="preserve"> по ОП </t>
    </r>
    <r>
      <rPr>
        <b/>
        <sz val="11"/>
        <rFont val="Times New Roman"/>
        <family val="1"/>
        <charset val="204"/>
      </rPr>
      <t>специалитета</t>
    </r>
    <r>
      <rPr>
        <sz val="11"/>
        <rFont val="Times New Roman"/>
        <family val="1"/>
        <charset val="204"/>
      </rPr>
      <t xml:space="preserve">, </t>
    </r>
    <r>
      <rPr>
        <b/>
        <sz val="11"/>
        <rFont val="Times New Roman"/>
        <family val="1"/>
        <charset val="204"/>
      </rPr>
      <t>магистратуры</t>
    </r>
  </si>
  <si>
    <t>РСМ</t>
  </si>
  <si>
    <r>
      <rPr>
        <sz val="11"/>
        <rFont val="Times New Roman"/>
        <family val="1"/>
        <charset val="204"/>
      </rPr>
      <t xml:space="preserve">Руководство и консультирование выпускных квалификационных работ </t>
    </r>
    <r>
      <rPr>
        <b/>
        <sz val="11"/>
        <rFont val="Times New Roman"/>
        <family val="1"/>
        <charset val="204"/>
      </rPr>
      <t>иностранных</t>
    </r>
    <r>
      <rPr>
        <sz val="11"/>
        <rFont val="Times New Roman"/>
        <family val="1"/>
        <charset val="204"/>
      </rPr>
      <t xml:space="preserve"> обучающихся по ОП </t>
    </r>
    <r>
      <rPr>
        <b/>
        <sz val="11"/>
        <rFont val="Times New Roman"/>
        <family val="1"/>
        <charset val="204"/>
      </rPr>
      <t xml:space="preserve">специалитета, магистратуры  </t>
    </r>
  </si>
  <si>
    <t>РСМИ</t>
  </si>
  <si>
    <r>
      <rPr>
        <sz val="11"/>
        <rFont val="Times New Roman"/>
        <family val="1"/>
        <charset val="204"/>
      </rPr>
      <t xml:space="preserve">Руководство и консультирование научно-квалификационных работ </t>
    </r>
    <r>
      <rPr>
        <b/>
        <sz val="11"/>
        <rFont val="Times New Roman"/>
        <family val="1"/>
        <charset val="204"/>
      </rPr>
      <t>аспирантов РФ</t>
    </r>
    <r>
      <rPr>
        <sz val="11"/>
        <rFont val="Times New Roman"/>
        <family val="1"/>
        <charset val="204"/>
      </rPr>
      <t xml:space="preserve">, обучающихся по </t>
    </r>
    <r>
      <rPr>
        <b/>
        <sz val="11"/>
        <rFont val="Times New Roman"/>
        <family val="1"/>
        <charset val="204"/>
      </rPr>
      <t>ОП ВО</t>
    </r>
  </si>
  <si>
    <t>РНКР</t>
  </si>
  <si>
    <r>
      <rPr>
        <sz val="11"/>
        <rFont val="Times New Roman"/>
        <family val="1"/>
        <charset val="204"/>
      </rPr>
      <t xml:space="preserve">Руководство и консультирование научно-квалификационных работ </t>
    </r>
    <r>
      <rPr>
        <b/>
        <sz val="11"/>
        <rFont val="Times New Roman"/>
        <family val="1"/>
        <charset val="204"/>
      </rPr>
      <t>иностранных аспирантов</t>
    </r>
    <r>
      <rPr>
        <sz val="11"/>
        <rFont val="Times New Roman"/>
        <family val="1"/>
        <charset val="204"/>
      </rPr>
      <t>, обучающихся по</t>
    </r>
    <r>
      <rPr>
        <b/>
        <sz val="11"/>
        <rFont val="Times New Roman"/>
        <family val="1"/>
        <charset val="204"/>
      </rPr>
      <t xml:space="preserve"> ОП ВО</t>
    </r>
  </si>
  <si>
    <t>РНКРИн</t>
  </si>
  <si>
    <t>Консультации и рецензирование выпускной квалификационной работы, выполняемой на иностранном языке</t>
  </si>
  <si>
    <t>РДИ</t>
  </si>
  <si>
    <t>Консультанту из числа ППС каф. Иностранных языков</t>
  </si>
  <si>
    <r>
      <rPr>
        <sz val="11"/>
        <rFont val="Times New Roman"/>
        <family val="1"/>
        <charset val="204"/>
      </rPr>
      <t xml:space="preserve">Рецензирование выпускных квалификационных работ </t>
    </r>
    <r>
      <rPr>
        <b/>
        <sz val="11"/>
        <rFont val="Times New Roman"/>
        <family val="1"/>
        <charset val="204"/>
      </rPr>
      <t>бакалавров</t>
    </r>
  </si>
  <si>
    <t>РРБ</t>
  </si>
  <si>
    <t>Одна рецензия на одну работу</t>
  </si>
  <si>
    <r>
      <rPr>
        <sz val="11"/>
        <rFont val="Times New Roman"/>
        <family val="1"/>
        <charset val="204"/>
      </rPr>
      <t xml:space="preserve">Рецензирование выпускных квалификационных работ </t>
    </r>
    <r>
      <rPr>
        <b/>
        <sz val="11"/>
        <rFont val="Times New Roman"/>
        <family val="1"/>
        <charset val="204"/>
      </rPr>
      <t>специалистов, магистров</t>
    </r>
  </si>
  <si>
    <t>РРСМ</t>
  </si>
  <si>
    <r>
      <rPr>
        <sz val="11"/>
        <rFont val="Times New Roman"/>
        <family val="1"/>
        <charset val="204"/>
      </rPr>
      <t xml:space="preserve">Рецензирование научно-квалификационных работ </t>
    </r>
    <r>
      <rPr>
        <b/>
        <sz val="11"/>
        <rFont val="Times New Roman"/>
        <family val="1"/>
        <charset val="204"/>
      </rPr>
      <t>аспирантов</t>
    </r>
    <r>
      <rPr>
        <sz val="11"/>
        <rFont val="Times New Roman"/>
        <family val="1"/>
        <charset val="204"/>
      </rPr>
      <t xml:space="preserve">, обучающихся по </t>
    </r>
    <r>
      <rPr>
        <b/>
        <sz val="11"/>
        <rFont val="Times New Roman"/>
        <family val="1"/>
        <charset val="204"/>
      </rPr>
      <t>ОП ВО</t>
    </r>
  </si>
  <si>
    <t>РРА</t>
  </si>
  <si>
    <t>Проведение тестовой части Государственого итогового экзамена</t>
  </si>
  <si>
    <t>ТГИЭ</t>
  </si>
  <si>
    <t>Выпускающей кафедре</t>
  </si>
  <si>
    <t>44.1</t>
  </si>
  <si>
    <t>Участие в работе ГЭК в качестве председателя</t>
  </si>
  <si>
    <t>В очной форме</t>
  </si>
  <si>
    <t>44.2</t>
  </si>
  <si>
    <t>Участие в работе ГЭК в качестве председателя (в дистанционном формате)</t>
  </si>
  <si>
    <t>ПГд</t>
  </si>
  <si>
    <t>С использованием  ДОТ</t>
  </si>
  <si>
    <t>45.1</t>
  </si>
  <si>
    <t>Участие в работе ГЭК в качестве члена комиссии</t>
  </si>
  <si>
    <r>
      <rPr>
        <b/>
        <sz val="9"/>
        <rFont val="Times New Roman"/>
        <family val="1"/>
        <charset val="204"/>
      </rPr>
      <t xml:space="preserve">В очной форме.
</t>
    </r>
    <r>
      <rPr>
        <sz val="9"/>
        <rFont val="Times New Roman"/>
        <family val="1"/>
        <charset val="204"/>
      </rPr>
      <t>Количество членов комиссии не более:
3 - для приема ДЭ
6 - для приема МДЭ
8 - для защиты ВКР или НКР</t>
    </r>
  </si>
  <si>
    <t>45.2</t>
  </si>
  <si>
    <t>Участие в работе ГЭК в качестве члена комиссии (в дистанционном формате)</t>
  </si>
  <si>
    <t>ЧГд</t>
  </si>
  <si>
    <r>
      <rPr>
        <b/>
        <sz val="9"/>
        <rFont val="Times New Roman"/>
        <family val="1"/>
        <charset val="204"/>
      </rPr>
      <t xml:space="preserve">С использованием ДОТ.
</t>
    </r>
    <r>
      <rPr>
        <sz val="9"/>
        <rFont val="Times New Roman"/>
        <family val="1"/>
        <charset val="204"/>
      </rPr>
      <t>Количество членов комиссии не более:
3 - для приема ДЭ
6 - для приема МДЭ
8 - для защиты ВКР или НКР</t>
    </r>
  </si>
  <si>
    <t>Участие в работе ГЭК в качестве секретаря</t>
  </si>
  <si>
    <r>
      <rPr>
        <sz val="11"/>
        <rFont val="Times New Roman"/>
        <family val="1"/>
        <charset val="204"/>
      </rPr>
      <t xml:space="preserve">Проведение кандидатских экзаменов (история и философия науки, иностранный язык, специальность), в т.ч. экстерном, </t>
    </r>
    <r>
      <rPr>
        <b/>
        <sz val="11"/>
        <rFont val="Times New Roman"/>
        <family val="1"/>
        <charset val="204"/>
      </rPr>
      <t>аспирантам</t>
    </r>
    <r>
      <rPr>
        <sz val="11"/>
        <rFont val="Times New Roman"/>
        <family val="1"/>
        <charset val="204"/>
      </rPr>
      <t>, обучающимся по ОП ВО или программе подготовки научных и научно-педагогических кадров</t>
    </r>
  </si>
  <si>
    <t>ЧК</t>
  </si>
  <si>
    <t>КдЭк</t>
  </si>
  <si>
    <t>Каждому из 3-х членов комиссии</t>
  </si>
  <si>
    <r>
      <rPr>
        <sz val="11"/>
        <rFont val="Times New Roman"/>
        <family val="1"/>
        <charset val="204"/>
      </rPr>
      <t xml:space="preserve">Руководство </t>
    </r>
    <r>
      <rPr>
        <b/>
        <sz val="11"/>
        <rFont val="Times New Roman"/>
        <family val="1"/>
        <charset val="204"/>
      </rPr>
      <t>аспирантами РФ</t>
    </r>
    <r>
      <rPr>
        <sz val="11"/>
        <rFont val="Times New Roman"/>
        <family val="1"/>
        <charset val="204"/>
      </rPr>
      <t xml:space="preserve">, обучающимися по программе </t>
    </r>
    <r>
      <rPr>
        <b/>
        <sz val="11"/>
        <rFont val="Times New Roman"/>
        <family val="1"/>
        <charset val="204"/>
      </rPr>
      <t>подготовки научных и научно-педагогических кадров</t>
    </r>
  </si>
  <si>
    <t>1 обуч.</t>
  </si>
  <si>
    <t>РАФГТ</t>
  </si>
  <si>
    <t>РукРФа</t>
  </si>
  <si>
    <t>За один год обучения</t>
  </si>
  <si>
    <r>
      <rPr>
        <sz val="11"/>
        <rFont val="Times New Roman"/>
        <family val="1"/>
        <charset val="204"/>
      </rPr>
      <t xml:space="preserve">Руководство </t>
    </r>
    <r>
      <rPr>
        <b/>
        <sz val="11"/>
        <rFont val="Times New Roman"/>
        <family val="1"/>
        <charset val="204"/>
      </rPr>
      <t>иностранными аспирантами</t>
    </r>
    <r>
      <rPr>
        <sz val="11"/>
        <rFont val="Times New Roman"/>
        <family val="1"/>
        <charset val="204"/>
      </rPr>
      <t xml:space="preserve">, обучающимися по программе </t>
    </r>
    <r>
      <rPr>
        <b/>
        <sz val="11"/>
        <rFont val="Times New Roman"/>
        <family val="1"/>
        <charset val="204"/>
      </rPr>
      <t>подготовки научных и научно-педагогических кадров</t>
    </r>
  </si>
  <si>
    <t>РукИна</t>
  </si>
  <si>
    <t>Руководство прикрепленными лицами</t>
  </si>
  <si>
    <t>1 прикрепл. лицо</t>
  </si>
  <si>
    <t>РПЛ</t>
  </si>
  <si>
    <t>РукПЛ</t>
  </si>
  <si>
    <t>Организация и сопровождение Первичной аккредитации по всем медицинским специальностям</t>
  </si>
  <si>
    <t>ПАкр</t>
  </si>
  <si>
    <t>На ЦСО</t>
  </si>
  <si>
    <t>Д</t>
  </si>
  <si>
    <t>дневная (очная)</t>
  </si>
  <si>
    <t>вечерняя (очно-заочная)</t>
  </si>
  <si>
    <t>заочная</t>
  </si>
  <si>
    <t>бакалавриат</t>
  </si>
  <si>
    <t>специалитет</t>
  </si>
  <si>
    <t>магистратура</t>
  </si>
  <si>
    <t>аспирантура</t>
  </si>
  <si>
    <t>ординатура</t>
  </si>
  <si>
    <t>Должность</t>
  </si>
  <si>
    <t>профессор</t>
  </si>
  <si>
    <t>доцент</t>
  </si>
  <si>
    <t>ст. преподаватель</t>
  </si>
  <si>
    <t>преп.</t>
  </si>
  <si>
    <t>преподаватель</t>
  </si>
  <si>
    <t>ассистент</t>
  </si>
  <si>
    <t>инстр.ФК</t>
  </si>
  <si>
    <t>инструктор по физической культуре</t>
  </si>
  <si>
    <t>Условия привлечения</t>
  </si>
  <si>
    <t>штатный</t>
  </si>
  <si>
    <t>внешний совместитель</t>
  </si>
  <si>
    <t>внутренний совместитель</t>
  </si>
  <si>
    <t>аспир.</t>
  </si>
  <si>
    <t>аспирант</t>
  </si>
  <si>
    <t>почас.</t>
  </si>
  <si>
    <t>договор почасовой оплаты</t>
  </si>
  <si>
    <t>иностр.</t>
  </si>
  <si>
    <t>иностранный ППС</t>
  </si>
  <si>
    <t>педагогДО</t>
  </si>
  <si>
    <t>педагог дополнительного образования</t>
  </si>
  <si>
    <t>практ.</t>
  </si>
  <si>
    <t>привлекаемый специалист практик</t>
  </si>
  <si>
    <t>ТК</t>
  </si>
  <si>
    <t>текущий контроль и рубежная аттестация</t>
  </si>
  <si>
    <t>зачет</t>
  </si>
  <si>
    <t>экзамен</t>
  </si>
  <si>
    <t>выпускная квалификационная работа</t>
  </si>
  <si>
    <t>междисциплинарный экзамен</t>
  </si>
  <si>
    <t>ДЭ</t>
  </si>
  <si>
    <t>дисциплинарный экзамен</t>
  </si>
  <si>
    <t>КЭ</t>
  </si>
  <si>
    <r>
      <rPr>
        <sz val="12"/>
        <rFont val="Calibri"/>
        <family val="2"/>
        <charset val="204"/>
      </rPr>
      <t xml:space="preserve">Организация и сопровождение Первичной аккредитации </t>
    </r>
    <r>
      <rPr>
        <b/>
        <sz val="12"/>
        <rFont val="Calibri"/>
        <family val="2"/>
        <charset val="204"/>
      </rPr>
      <t>по всем медицинским специальностям</t>
    </r>
  </si>
  <si>
    <t>Чтение лекций</t>
  </si>
  <si>
    <t>Проведение лабораторных работ и клинических занятий</t>
  </si>
  <si>
    <t>Проведение практических занятий, семинаров</t>
  </si>
  <si>
    <t>сп</t>
  </si>
  <si>
    <t>Проведение групповых занятий по синхронному переводу</t>
  </si>
  <si>
    <t>Проведение групповых занятий по иностранному языку (русскому как иностранному)</t>
  </si>
  <si>
    <t>фк</t>
  </si>
  <si>
    <t>Проведение групповых занятий по физической культуре</t>
  </si>
  <si>
    <t>клн</t>
  </si>
  <si>
    <t>Проведение клинических занятий (медики и ветеринары)</t>
  </si>
  <si>
    <t>Проведение контактных занятий в ТУИС</t>
  </si>
  <si>
    <t>Проведение выпускного экзамена по РЯ как иностранному для обучающихся ФРЯ и ОД (письменно)</t>
  </si>
  <si>
    <t>Проведение выпускного экзамена по РЯ как иностранному для обучающихся ФРЯ и ОД (устно)</t>
  </si>
  <si>
    <t xml:space="preserve">Рецензирование реферата обучающегося в аспирантуре </t>
  </si>
  <si>
    <t>Рецензирование реферата обучающегося в аспирантуре по философии</t>
  </si>
  <si>
    <t>Проведение кандидатских экзаменов (член комиссии)</t>
  </si>
  <si>
    <t>Руководство учебной практикой, руководство клинической практикой ординаторов</t>
  </si>
  <si>
    <t>Руководство учебной практикой "Лечебное дело".</t>
  </si>
  <si>
    <t>Руководство производственной практикой</t>
  </si>
  <si>
    <t>Руководство всеми видами практик, в том числе НИР, по программам цифровых магистратур</t>
  </si>
  <si>
    <t>Руководство педагогической практикой аспирантов (научный руководитель аспиранта)</t>
  </si>
  <si>
    <t>КПА</t>
  </si>
  <si>
    <t>Консультирование педагогической практики аспирантов (кафедра педагогики)</t>
  </si>
  <si>
    <t>Руководство выездными производственными, преддипломными и научно-исследовательскими практиками.</t>
  </si>
  <si>
    <t>Руководство НИР в магистратуре</t>
  </si>
  <si>
    <t>Руководство НИ в аспирантуре</t>
  </si>
  <si>
    <t>Руководство и консультирование ВКР по ОП бакалавриата, специалитета, магистратуры и НКР в аспирантуре</t>
  </si>
  <si>
    <t>Консультации и рецензирование ВКР, выполняемых на иностранном языке</t>
  </si>
  <si>
    <t>Рецензирование ВКР бакалавров, специалистов, магистров / НКР аспирантов</t>
  </si>
  <si>
    <t>Блок ООП</t>
  </si>
  <si>
    <t>Теоретическое обучение</t>
  </si>
  <si>
    <t>Практики</t>
  </si>
  <si>
    <t>ГИА</t>
  </si>
  <si>
    <t>ФТД</t>
  </si>
  <si>
    <t>Факультативы</t>
  </si>
  <si>
    <t>Компонента теоретического обучения</t>
  </si>
  <si>
    <t>Базовая дисциплина</t>
  </si>
  <si>
    <t>Вариативная дисциплина, обязательная для изучения всеми студентами ООП</t>
  </si>
  <si>
    <t>Дисциплина по выбору студентов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</si>
</sst>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0"/>
      <name val="Arial Cyr"/>
      <charset val="204"/>
    </font>
    <font>
      <sz val="10"/>
      <name val="Arial"/>
      <family val="2"/>
      <charset val="204"/>
    </font>
    <font>
      <sz val="9"/>
      <color rgb="FF000000"/>
      <name val="Tahoma"/>
      <family val="2"/>
      <charset val="204"/>
    </font>
    <font>
      <sz val="10"/>
      <name val="Arial Cyr"/>
      <family val="2"/>
      <charset val="204"/>
    </font>
    <font>
      <sz val="11"/>
      <color theme="1"/>
      <name val="Calibri"/>
      <family val="2"/>
      <charset val="204"/>
    </font>
    <font>
      <sz val="9"/>
      <name val="Calibri"/>
      <family val="2"/>
      <charset val="204"/>
    </font>
    <font>
      <sz val="10"/>
      <name val="Calibri"/>
      <family val="2"/>
      <charset val="204"/>
    </font>
    <font>
      <b/>
      <sz val="11"/>
      <color rgb="FFC00000"/>
      <name val="Calibri"/>
      <family val="2"/>
      <charset val="204"/>
    </font>
    <font>
      <b/>
      <sz val="11"/>
      <name val="Calibri"/>
      <family val="2"/>
      <charset val="204"/>
    </font>
    <font>
      <b/>
      <sz val="12"/>
      <color rgb="FFFF0000"/>
      <name val="Calibri"/>
      <family val="2"/>
      <charset val="204"/>
    </font>
    <font>
      <b/>
      <i/>
      <sz val="12"/>
      <color rgb="FFFF0000"/>
      <name val="Calibri"/>
      <family val="2"/>
      <charset val="204"/>
    </font>
    <font>
      <sz val="11"/>
      <color rgb="FF0070C0"/>
      <name val="Calibri"/>
      <family val="2"/>
      <charset val="204"/>
    </font>
    <font>
      <sz val="11"/>
      <name val="Calibri"/>
      <family val="2"/>
      <charset val="204"/>
    </font>
    <font>
      <b/>
      <sz val="9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C00000"/>
      <name val="Calibri"/>
      <family val="2"/>
      <charset val="204"/>
    </font>
    <font>
      <sz val="9"/>
      <color theme="3"/>
      <name val="Calibri"/>
      <family val="2"/>
      <charset val="204"/>
    </font>
    <font>
      <b/>
      <sz val="10"/>
      <name val="Calibri"/>
      <family val="2"/>
      <charset val="204"/>
    </font>
    <font>
      <sz val="10"/>
      <color rgb="FFC00000"/>
      <name val="Calibri"/>
      <family val="2"/>
      <charset val="204"/>
    </font>
    <font>
      <b/>
      <sz val="10"/>
      <color rgb="FFFF4000"/>
      <name val="Calibri"/>
      <family val="2"/>
      <charset val="204"/>
    </font>
    <font>
      <sz val="10"/>
      <name val="Arial"/>
      <family val="2"/>
    </font>
    <font>
      <b/>
      <sz val="11"/>
      <color rgb="FF000000"/>
      <name val="Tahoma"/>
      <family val="2"/>
      <charset val="204"/>
    </font>
    <font>
      <sz val="10"/>
      <name val="Times New Roman"/>
      <family val="1"/>
      <charset val="204"/>
    </font>
    <font>
      <i/>
      <sz val="10"/>
      <color theme="0" tint="-0.14999847407452621"/>
      <name val="Times New Roman"/>
      <family val="1"/>
      <charset val="204"/>
    </font>
    <font>
      <sz val="10"/>
      <color theme="0" tint="-0.14999847407452621"/>
      <name val="Times New Roman"/>
      <family val="1"/>
      <charset val="204"/>
    </font>
    <font>
      <i/>
      <sz val="8"/>
      <color theme="0" tint="-0.14999847407452621"/>
      <name val="Calibri"/>
      <family val="2"/>
      <charset val="204"/>
    </font>
    <font>
      <b/>
      <sz val="10"/>
      <name val="Times New Roman"/>
      <family val="1"/>
      <charset val="204"/>
    </font>
    <font>
      <b/>
      <i/>
      <sz val="11"/>
      <color theme="0" tint="-0.14999847407452621"/>
      <name val="Calibri"/>
      <family val="2"/>
      <charset val="204"/>
    </font>
    <font>
      <i/>
      <sz val="11"/>
      <color theme="0" tint="-0.14999847407452621"/>
      <name val="Calibri"/>
      <family val="2"/>
      <charset val="204"/>
    </font>
    <font>
      <sz val="10"/>
      <color rgb="FF00B050"/>
      <name val="Arial Cyr"/>
      <charset val="204"/>
    </font>
    <font>
      <b/>
      <i/>
      <sz val="11"/>
      <name val="Calibri"/>
      <family val="2"/>
      <charset val="204"/>
    </font>
    <font>
      <b/>
      <sz val="13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sz val="12"/>
      <name val="Times New Roman"/>
      <family val="1"/>
      <charset val="204"/>
    </font>
    <font>
      <b/>
      <sz val="9"/>
      <name val="Times New Roman"/>
      <family val="1"/>
      <charset val="204"/>
    </font>
    <font>
      <sz val="12"/>
      <name val="Calibri"/>
      <family val="2"/>
      <charset val="204"/>
    </font>
    <font>
      <b/>
      <sz val="12"/>
      <name val="Calibri"/>
      <family val="2"/>
      <charset val="204"/>
    </font>
    <font>
      <b/>
      <sz val="12"/>
      <color rgb="FFC00000"/>
      <name val="Calibri"/>
      <family val="2"/>
      <charset val="204"/>
    </font>
    <font>
      <b/>
      <sz val="12"/>
      <color rgb="FF00B050"/>
      <name val="Calibri"/>
      <family val="2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10"/>
      <color rgb="FFFF0000"/>
      <name val="Calibri"/>
      <family val="2"/>
      <charset val="204"/>
    </font>
  </fonts>
  <fills count="30">
    <fill>
      <patternFill patternType="none"/>
    </fill>
    <fill>
      <patternFill patternType="gray125"/>
    </fill>
    <fill>
      <patternFill patternType="solid">
        <fgColor rgb="FFFFFFCC"/>
        <bgColor rgb="FFFFFFCF"/>
      </patternFill>
    </fill>
    <fill>
      <patternFill patternType="solid">
        <fgColor rgb="FFE5FFCC"/>
        <bgColor rgb="FFDDFFDD"/>
      </patternFill>
    </fill>
    <fill>
      <patternFill patternType="solid">
        <fgColor rgb="FFFFFFE5"/>
        <bgColor rgb="FFFFFFCF"/>
      </patternFill>
    </fill>
    <fill>
      <patternFill patternType="solid">
        <fgColor theme="8" tint="0.79989013336588644"/>
        <bgColor rgb="FFDBEEF3"/>
      </patternFill>
    </fill>
    <fill>
      <patternFill patternType="solid">
        <fgColor theme="5" tint="0.79989013336588644"/>
        <bgColor rgb="FFFDEADA"/>
      </patternFill>
    </fill>
    <fill>
      <patternFill patternType="solid">
        <fgColor rgb="FFCCFFCC"/>
        <bgColor rgb="FFDDFFDD"/>
      </patternFill>
    </fill>
    <fill>
      <patternFill patternType="solid">
        <fgColor rgb="FFFFFF7F"/>
        <bgColor rgb="FFFFFF99"/>
      </patternFill>
    </fill>
    <fill>
      <patternFill patternType="solid">
        <fgColor rgb="FFDBEEF3"/>
        <bgColor rgb="FFDBEEF4"/>
      </patternFill>
    </fill>
    <fill>
      <patternFill patternType="solid">
        <fgColor theme="6" tint="0.79989013336588644"/>
        <bgColor rgb="FFFDEADA"/>
      </patternFill>
    </fill>
    <fill>
      <patternFill patternType="solid">
        <fgColor rgb="FFFFCC99"/>
        <bgColor rgb="FFFAC090"/>
      </patternFill>
    </fill>
    <fill>
      <patternFill patternType="solid">
        <fgColor rgb="FFFFFF99"/>
        <bgColor rgb="FFFFFF7F"/>
      </patternFill>
    </fill>
    <fill>
      <patternFill patternType="solid">
        <fgColor rgb="FFDDFFDD"/>
        <bgColor rgb="FFE5FFE5"/>
      </patternFill>
    </fill>
    <fill>
      <patternFill patternType="solid">
        <fgColor theme="9" tint="0.79989013336588644"/>
        <bgColor rgb="FFEBF1DE"/>
      </patternFill>
    </fill>
    <fill>
      <patternFill patternType="solid">
        <fgColor theme="0"/>
        <bgColor rgb="FFFFFFE5"/>
      </patternFill>
    </fill>
    <fill>
      <patternFill patternType="solid">
        <fgColor rgb="FFE5FFE5"/>
        <bgColor rgb="FFDDFFDD"/>
      </patternFill>
    </fill>
    <fill>
      <patternFill patternType="solid">
        <fgColor rgb="FFFFFFCF"/>
        <bgColor rgb="FFFFFFCC"/>
      </patternFill>
    </fill>
    <fill>
      <patternFill patternType="solid">
        <fgColor rgb="FF0070C0"/>
        <bgColor rgb="FF008080"/>
      </patternFill>
    </fill>
    <fill>
      <patternFill patternType="solid">
        <fgColor rgb="FF7030A0"/>
        <bgColor rgb="FF993366"/>
      </patternFill>
    </fill>
    <fill>
      <patternFill patternType="solid">
        <fgColor rgb="FFFFC000"/>
        <bgColor rgb="FFFAC090"/>
      </patternFill>
    </fill>
    <fill>
      <patternFill patternType="solid">
        <fgColor rgb="FFFFDF7F"/>
        <bgColor rgb="FFFFCC99"/>
      </patternFill>
    </fill>
    <fill>
      <patternFill patternType="solid">
        <fgColor theme="9" tint="0.39988402966399123"/>
        <bgColor rgb="FFFFCC99"/>
      </patternFill>
    </fill>
    <fill>
      <patternFill patternType="solid">
        <fgColor theme="6" tint="0.59987182226020086"/>
        <bgColor rgb="FFDDD9C3"/>
      </patternFill>
    </fill>
    <fill>
      <patternFill patternType="solid">
        <fgColor theme="9" tint="0.59987182226020086"/>
        <bgColor rgb="FFFFCC99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rgb="FFFFC000"/>
        <bgColor rgb="FFDDFFDD"/>
      </patternFill>
    </fill>
    <fill>
      <patternFill patternType="solid">
        <fgColor theme="5" tint="0.39997558519241921"/>
        <bgColor rgb="FFDDFFDD"/>
      </patternFill>
    </fill>
    <fill>
      <patternFill patternType="solid">
        <fgColor rgb="FFFF0000"/>
        <bgColor rgb="FFDDFFDD"/>
      </patternFill>
    </fill>
    <fill>
      <patternFill patternType="solid">
        <fgColor rgb="FFFF0000"/>
        <bgColor rgb="FFEBF1DE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1">
    <xf numFmtId="0" fontId="0" fillId="0" borderId="0"/>
    <xf numFmtId="9" fontId="43" fillId="0" borderId="0" applyBorder="0" applyProtection="0"/>
    <xf numFmtId="0" fontId="1" fillId="0" borderId="0"/>
    <xf numFmtId="0" fontId="2" fillId="0" borderId="0"/>
    <xf numFmtId="0" fontId="4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43" fillId="0" borderId="0"/>
    <xf numFmtId="0" fontId="4" fillId="0" borderId="0"/>
  </cellStyleXfs>
  <cellXfs count="155">
    <xf numFmtId="0" fontId="0" fillId="0" borderId="0" xfId="0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4" fontId="7" fillId="2" borderId="2" xfId="0" applyNumberFormat="1" applyFont="1" applyFill="1" applyBorder="1" applyAlignment="1" applyProtection="1">
      <alignment horizontal="center" vertical="center"/>
      <protection hidden="1"/>
    </xf>
    <xf numFmtId="4" fontId="8" fillId="2" borderId="4" xfId="0" applyNumberFormat="1" applyFont="1" applyFill="1" applyBorder="1" applyAlignment="1" applyProtection="1">
      <alignment horizontal="center" vertical="center"/>
      <protection hidden="1"/>
    </xf>
    <xf numFmtId="4" fontId="7" fillId="2" borderId="4" xfId="0" applyNumberFormat="1" applyFont="1" applyFill="1" applyBorder="1" applyAlignment="1" applyProtection="1">
      <alignment horizontal="center" vertical="center"/>
      <protection hidden="1"/>
    </xf>
    <xf numFmtId="4" fontId="11" fillId="2" borderId="4" xfId="0" applyNumberFormat="1" applyFont="1" applyFill="1" applyBorder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/>
    </xf>
    <xf numFmtId="10" fontId="12" fillId="0" borderId="0" xfId="1" applyNumberFormat="1" applyFont="1" applyBorder="1" applyAlignment="1" applyProtection="1">
      <alignment horizontal="center" vertical="center"/>
      <protection hidden="1"/>
    </xf>
    <xf numFmtId="0" fontId="12" fillId="3" borderId="4" xfId="0" applyFont="1" applyFill="1" applyBorder="1" applyAlignment="1">
      <alignment horizontal="center" vertical="center" wrapText="1"/>
    </xf>
    <xf numFmtId="0" fontId="12" fillId="0" borderId="0" xfId="0" applyFont="1" applyAlignment="1" applyProtection="1">
      <alignment horizontal="center" vertical="center" textRotation="90" wrapText="1"/>
      <protection hidden="1"/>
    </xf>
    <xf numFmtId="0" fontId="12" fillId="0" borderId="0" xfId="0" applyFont="1" applyAlignment="1">
      <alignment horizontal="center" vertical="center" textRotation="90" wrapText="1"/>
    </xf>
    <xf numFmtId="0" fontId="14" fillId="3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textRotation="90"/>
    </xf>
    <xf numFmtId="0" fontId="12" fillId="8" borderId="4" xfId="0" applyFont="1" applyFill="1" applyBorder="1" applyAlignment="1">
      <alignment horizontal="center" vertical="center" textRotation="90" wrapText="1"/>
    </xf>
    <xf numFmtId="0" fontId="12" fillId="9" borderId="4" xfId="0" applyFont="1" applyFill="1" applyBorder="1" applyAlignment="1">
      <alignment horizontal="center" vertical="center" textRotation="90"/>
    </xf>
    <xf numFmtId="0" fontId="14" fillId="9" borderId="4" xfId="0" applyFont="1" applyFill="1" applyBorder="1" applyAlignment="1">
      <alignment horizontal="center" vertical="center" textRotation="90"/>
    </xf>
    <xf numFmtId="0" fontId="14" fillId="9" borderId="4" xfId="0" applyFont="1" applyFill="1" applyBorder="1" applyAlignment="1">
      <alignment horizontal="center" vertical="center" textRotation="90" wrapText="1"/>
    </xf>
    <xf numFmtId="0" fontId="12" fillId="4" borderId="4" xfId="0" applyFont="1" applyFill="1" applyBorder="1" applyAlignment="1">
      <alignment horizontal="center" vertical="center" textRotation="90"/>
    </xf>
    <xf numFmtId="0" fontId="14" fillId="4" borderId="4" xfId="0" applyFont="1" applyFill="1" applyBorder="1" applyAlignment="1">
      <alignment horizontal="center" vertical="center" textRotation="90"/>
    </xf>
    <xf numFmtId="0" fontId="17" fillId="4" borderId="4" xfId="0" applyFont="1" applyFill="1" applyBorder="1" applyAlignment="1">
      <alignment horizontal="center" vertical="center" textRotation="90"/>
    </xf>
    <xf numFmtId="0" fontId="12" fillId="0" borderId="0" xfId="0" applyFont="1" applyAlignment="1" applyProtection="1">
      <alignment horizontal="center" vertical="center"/>
      <protection hidden="1"/>
    </xf>
    <xf numFmtId="0" fontId="13" fillId="11" borderId="4" xfId="0" applyFont="1" applyFill="1" applyBorder="1" applyAlignment="1">
      <alignment horizontal="center" vertical="top"/>
    </xf>
    <xf numFmtId="0" fontId="18" fillId="11" borderId="4" xfId="0" applyFont="1" applyFill="1" applyBorder="1" applyAlignment="1">
      <alignment horizontal="center" vertical="top"/>
    </xf>
    <xf numFmtId="49" fontId="18" fillId="11" borderId="4" xfId="0" applyNumberFormat="1" applyFont="1" applyFill="1" applyBorder="1" applyAlignment="1">
      <alignment horizontal="center" vertical="top"/>
    </xf>
    <xf numFmtId="0" fontId="18" fillId="11" borderId="4" xfId="0" applyFont="1" applyFill="1" applyBorder="1" applyAlignment="1">
      <alignment horizontal="center" vertical="top" wrapText="1"/>
    </xf>
    <xf numFmtId="0" fontId="6" fillId="0" borderId="0" xfId="0" applyFont="1" applyAlignment="1" applyProtection="1">
      <alignment horizontal="center" vertical="top"/>
      <protection hidden="1"/>
    </xf>
    <xf numFmtId="0" fontId="18" fillId="11" borderId="4" xfId="0" applyFont="1" applyFill="1" applyBorder="1" applyAlignment="1" applyProtection="1">
      <alignment horizontal="center" vertical="top"/>
      <protection hidden="1"/>
    </xf>
    <xf numFmtId="0" fontId="6" fillId="0" borderId="0" xfId="0" applyFont="1" applyAlignment="1">
      <alignment horizontal="center" vertical="top"/>
    </xf>
    <xf numFmtId="0" fontId="13" fillId="12" borderId="4" xfId="0" applyFont="1" applyFill="1" applyBorder="1" applyAlignment="1">
      <alignment horizontal="center" vertical="center"/>
    </xf>
    <xf numFmtId="0" fontId="18" fillId="13" borderId="4" xfId="0" applyFont="1" applyFill="1" applyBorder="1" applyAlignment="1" applyProtection="1">
      <alignment horizontal="center" vertical="center"/>
      <protection locked="0"/>
    </xf>
    <xf numFmtId="0" fontId="18" fillId="12" borderId="4" xfId="0" applyFont="1" applyFill="1" applyBorder="1" applyAlignment="1" applyProtection="1">
      <alignment horizontal="left" vertical="top" wrapText="1"/>
      <protection hidden="1"/>
    </xf>
    <xf numFmtId="0" fontId="18" fillId="12" borderId="4" xfId="0" applyFont="1" applyFill="1" applyBorder="1" applyAlignment="1" applyProtection="1">
      <alignment horizontal="center" vertical="center"/>
      <protection hidden="1"/>
    </xf>
    <xf numFmtId="0" fontId="18" fillId="12" borderId="4" xfId="0" applyFont="1" applyFill="1" applyBorder="1" applyAlignment="1" applyProtection="1">
      <alignment horizontal="left" vertical="center" wrapText="1"/>
      <protection hidden="1"/>
    </xf>
    <xf numFmtId="49" fontId="18" fillId="14" borderId="4" xfId="0" applyNumberFormat="1" applyFont="1" applyFill="1" applyBorder="1" applyAlignment="1" applyProtection="1">
      <alignment horizontal="center" vertical="center"/>
      <protection locked="0"/>
    </xf>
    <xf numFmtId="49" fontId="18" fillId="15" borderId="4" xfId="0" applyNumberFormat="1" applyFont="1" applyFill="1" applyBorder="1" applyAlignment="1" applyProtection="1">
      <alignment horizontal="center" vertical="center"/>
      <protection locked="0"/>
    </xf>
    <xf numFmtId="0" fontId="18" fillId="13" borderId="4" xfId="0" applyFont="1" applyFill="1" applyBorder="1" applyAlignment="1" applyProtection="1">
      <alignment horizontal="left" vertical="center" wrapText="1"/>
      <protection locked="0"/>
    </xf>
    <xf numFmtId="0" fontId="18" fillId="16" borderId="4" xfId="0" applyFont="1" applyFill="1" applyBorder="1" applyAlignment="1" applyProtection="1">
      <alignment horizontal="center" vertical="center"/>
      <protection locked="0"/>
    </xf>
    <xf numFmtId="0" fontId="18" fillId="14" borderId="4" xfId="0" applyFont="1" applyFill="1" applyBorder="1" applyAlignment="1" applyProtection="1">
      <alignment horizontal="center" vertical="center"/>
      <protection locked="0"/>
    </xf>
    <xf numFmtId="0" fontId="18" fillId="16" borderId="5" xfId="0" applyFont="1" applyFill="1" applyBorder="1" applyAlignment="1" applyProtection="1">
      <alignment horizontal="center" vertical="center"/>
      <protection locked="0"/>
    </xf>
    <xf numFmtId="0" fontId="18" fillId="12" borderId="4" xfId="0" applyFont="1" applyFill="1" applyBorder="1" applyAlignment="1">
      <alignment horizontal="center" vertical="center"/>
    </xf>
    <xf numFmtId="49" fontId="18" fillId="16" borderId="4" xfId="0" applyNumberFormat="1" applyFont="1" applyFill="1" applyBorder="1" applyAlignment="1" applyProtection="1">
      <alignment horizontal="center" vertical="center"/>
      <protection locked="0"/>
    </xf>
    <xf numFmtId="0" fontId="19" fillId="2" borderId="4" xfId="0" applyFont="1" applyFill="1" applyBorder="1" applyAlignment="1">
      <alignment horizontal="center" vertical="center"/>
    </xf>
    <xf numFmtId="2" fontId="6" fillId="2" borderId="4" xfId="0" applyNumberFormat="1" applyFont="1" applyFill="1" applyBorder="1" applyAlignment="1">
      <alignment horizontal="center" vertical="center"/>
    </xf>
    <xf numFmtId="49" fontId="12" fillId="0" borderId="4" xfId="2" applyNumberFormat="1" applyFont="1" applyBorder="1" applyAlignment="1" applyProtection="1">
      <alignment horizontal="left" vertical="center" wrapText="1"/>
      <protection locked="0"/>
    </xf>
    <xf numFmtId="4" fontId="18" fillId="0" borderId="4" xfId="0" applyNumberFormat="1" applyFont="1" applyBorder="1" applyAlignment="1" applyProtection="1">
      <alignment horizontal="left" vertical="center"/>
      <protection locked="0"/>
    </xf>
    <xf numFmtId="4" fontId="19" fillId="17" borderId="4" xfId="0" applyNumberFormat="1" applyFont="1" applyFill="1" applyBorder="1" applyAlignment="1" applyProtection="1">
      <alignment horizontal="center" vertical="center"/>
      <protection hidden="1"/>
    </xf>
    <xf numFmtId="4" fontId="18" fillId="17" borderId="4" xfId="0" applyNumberFormat="1" applyFont="1" applyFill="1" applyBorder="1" applyAlignment="1" applyProtection="1">
      <alignment horizontal="center" vertical="center"/>
      <protection hidden="1"/>
    </xf>
    <xf numFmtId="4" fontId="6" fillId="0" borderId="0" xfId="0" applyNumberFormat="1" applyFont="1" applyAlignment="1" applyProtection="1">
      <alignment horizontal="center" vertical="center"/>
      <protection hidden="1"/>
    </xf>
    <xf numFmtId="4" fontId="6" fillId="2" borderId="4" xfId="0" applyNumberFormat="1" applyFont="1" applyFill="1" applyBorder="1" applyAlignment="1" applyProtection="1">
      <alignment horizontal="center" vertical="center"/>
      <protection hidden="1"/>
    </xf>
    <xf numFmtId="4" fontId="6" fillId="7" borderId="4" xfId="0" applyNumberFormat="1" applyFont="1" applyFill="1" applyBorder="1" applyAlignment="1" applyProtection="1">
      <alignment horizontal="center" vertical="center"/>
      <protection hidden="1"/>
    </xf>
    <xf numFmtId="4" fontId="18" fillId="15" borderId="4" xfId="0" applyNumberFormat="1" applyFont="1" applyFill="1" applyBorder="1" applyAlignment="1" applyProtection="1">
      <alignment horizontal="left"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0" borderId="4" xfId="0" applyFont="1" applyBorder="1" applyAlignment="1" applyProtection="1">
      <alignment horizontal="left" vertical="center"/>
      <protection locked="0"/>
    </xf>
    <xf numFmtId="4" fontId="18" fillId="0" borderId="0" xfId="0" applyNumberFormat="1" applyFont="1" applyAlignment="1" applyProtection="1">
      <alignment horizontal="left" vertical="center"/>
      <protection locked="0"/>
    </xf>
    <xf numFmtId="4" fontId="18" fillId="18" borderId="4" xfId="0" applyNumberFormat="1" applyFont="1" applyFill="1" applyBorder="1" applyAlignment="1" applyProtection="1">
      <alignment horizontal="left" vertical="center"/>
      <protection locked="0"/>
    </xf>
    <xf numFmtId="0" fontId="20" fillId="16" borderId="4" xfId="0" applyFont="1" applyFill="1" applyBorder="1" applyAlignment="1" applyProtection="1">
      <alignment horizontal="center" vertical="center"/>
      <protection locked="0"/>
    </xf>
    <xf numFmtId="4" fontId="18" fillId="19" borderId="4" xfId="0" applyNumberFormat="1" applyFont="1" applyFill="1" applyBorder="1" applyAlignment="1" applyProtection="1">
      <alignment horizontal="left" vertical="center"/>
      <protection locked="0"/>
    </xf>
    <xf numFmtId="0" fontId="18" fillId="20" borderId="4" xfId="0" applyFont="1" applyFill="1" applyBorder="1" applyAlignment="1" applyProtection="1">
      <alignment horizontal="left" vertical="center" wrapText="1"/>
      <protection locked="0"/>
    </xf>
    <xf numFmtId="0" fontId="18" fillId="21" borderId="4" xfId="0" applyFont="1" applyFill="1" applyBorder="1" applyAlignment="1" applyProtection="1">
      <alignment horizontal="center" vertical="center"/>
      <protection locked="0"/>
    </xf>
    <xf numFmtId="0" fontId="8" fillId="22" borderId="4" xfId="0" applyFont="1" applyFill="1" applyBorder="1" applyAlignment="1">
      <alignment horizontal="left" vertical="center"/>
    </xf>
    <xf numFmtId="4" fontId="12" fillId="2" borderId="6" xfId="0" applyNumberFormat="1" applyFont="1" applyFill="1" applyBorder="1" applyAlignment="1" applyProtection="1">
      <alignment horizontal="center" vertical="center"/>
      <protection hidden="1"/>
    </xf>
    <xf numFmtId="4" fontId="12" fillId="2" borderId="7" xfId="0" applyNumberFormat="1" applyFont="1" applyFill="1" applyBorder="1" applyAlignment="1" applyProtection="1">
      <alignment horizontal="center" vertical="center"/>
      <protection hidden="1"/>
    </xf>
    <xf numFmtId="4" fontId="8" fillId="2" borderId="8" xfId="0" applyNumberFormat="1" applyFont="1" applyFill="1" applyBorder="1" applyAlignment="1" applyProtection="1">
      <alignment horizontal="center" vertical="center"/>
      <protection hidden="1"/>
    </xf>
    <xf numFmtId="4" fontId="7" fillId="2" borderId="9" xfId="0" applyNumberFormat="1" applyFont="1" applyFill="1" applyBorder="1" applyAlignment="1" applyProtection="1">
      <alignment horizontal="center" vertical="center"/>
      <protection hidden="1"/>
    </xf>
    <xf numFmtId="4" fontId="8" fillId="2" borderId="6" xfId="0" applyNumberFormat="1" applyFont="1" applyFill="1" applyBorder="1" applyAlignment="1" applyProtection="1">
      <alignment horizontal="center" vertical="center"/>
      <protection hidden="1"/>
    </xf>
    <xf numFmtId="4" fontId="8" fillId="2" borderId="7" xfId="0" applyNumberFormat="1" applyFont="1" applyFill="1" applyBorder="1" applyAlignment="1" applyProtection="1">
      <alignment horizontal="center" vertical="center"/>
      <protection hidden="1"/>
    </xf>
    <xf numFmtId="4" fontId="8" fillId="7" borderId="7" xfId="0" applyNumberFormat="1" applyFont="1" applyFill="1" applyBorder="1" applyAlignment="1" applyProtection="1">
      <alignment horizontal="center" vertical="center"/>
      <protection hidden="1"/>
    </xf>
    <xf numFmtId="4" fontId="8" fillId="7" borderId="8" xfId="0" applyNumberFormat="1" applyFont="1" applyFill="1" applyBorder="1" applyAlignment="1" applyProtection="1">
      <alignment horizontal="center" vertical="center"/>
      <protection hidden="1"/>
    </xf>
    <xf numFmtId="4" fontId="6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24" fillId="0" borderId="0" xfId="0" applyFont="1" applyAlignment="1">
      <alignment horizontal="center" vertical="center" wrapText="1"/>
    </xf>
    <xf numFmtId="0" fontId="25" fillId="0" borderId="0" xfId="0" applyFont="1" applyAlignment="1">
      <alignment horizontal="left" vertical="center"/>
    </xf>
    <xf numFmtId="0" fontId="23" fillId="0" borderId="0" xfId="0" applyFont="1"/>
    <xf numFmtId="0" fontId="8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7" fillId="0" borderId="0" xfId="0" applyFont="1"/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28" fillId="0" borderId="4" xfId="0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left" vertical="center"/>
    </xf>
    <xf numFmtId="49" fontId="12" fillId="0" borderId="4" xfId="0" applyNumberFormat="1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4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left" vertical="center" wrapText="1"/>
    </xf>
    <xf numFmtId="0" fontId="30" fillId="0" borderId="0" xfId="0" applyFont="1"/>
    <xf numFmtId="0" fontId="8" fillId="0" borderId="4" xfId="0" applyFont="1" applyBorder="1" applyAlignment="1">
      <alignment horizontal="left" vertical="center"/>
    </xf>
    <xf numFmtId="3" fontId="23" fillId="0" borderId="0" xfId="0" applyNumberFormat="1" applyFont="1"/>
    <xf numFmtId="0" fontId="12" fillId="0" borderId="0" xfId="0" applyFont="1" applyAlignment="1">
      <alignment horizontal="left"/>
    </xf>
    <xf numFmtId="0" fontId="12" fillId="0" borderId="0" xfId="0" applyFont="1"/>
    <xf numFmtId="49" fontId="31" fillId="0" borderId="11" xfId="2" applyNumberFormat="1" applyFont="1" applyBorder="1" applyAlignment="1">
      <alignment horizontal="center" vertical="center" wrapText="1"/>
    </xf>
    <xf numFmtId="49" fontId="12" fillId="0" borderId="4" xfId="2" applyNumberFormat="1" applyFont="1" applyBorder="1" applyAlignment="1">
      <alignment horizontal="left" vertical="center" wrapText="1"/>
    </xf>
    <xf numFmtId="0" fontId="2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27" fillId="14" borderId="4" xfId="0" applyFont="1" applyFill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34" fillId="5" borderId="4" xfId="0" applyFont="1" applyFill="1" applyBorder="1" applyAlignment="1">
      <alignment horizontal="center" vertical="center"/>
    </xf>
    <xf numFmtId="0" fontId="34" fillId="0" borderId="4" xfId="0" applyFont="1" applyBorder="1" applyAlignment="1">
      <alignment vertical="center" wrapText="1"/>
    </xf>
    <xf numFmtId="0" fontId="34" fillId="0" borderId="4" xfId="0" applyFont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0" fontId="35" fillId="7" borderId="4" xfId="0" applyFont="1" applyFill="1" applyBorder="1" applyAlignment="1">
      <alignment horizontal="center" vertical="center" wrapText="1"/>
    </xf>
    <xf numFmtId="0" fontId="36" fillId="0" borderId="4" xfId="0" applyFont="1" applyBorder="1" applyAlignment="1">
      <alignment vertical="center" wrapText="1"/>
    </xf>
    <xf numFmtId="0" fontId="34" fillId="6" borderId="4" xfId="0" applyFont="1" applyFill="1" applyBorder="1" applyAlignment="1">
      <alignment horizontal="center" vertical="center"/>
    </xf>
    <xf numFmtId="49" fontId="34" fillId="6" borderId="4" xfId="0" applyNumberFormat="1" applyFont="1" applyFill="1" applyBorder="1" applyAlignment="1">
      <alignment horizontal="center" vertical="center"/>
    </xf>
    <xf numFmtId="0" fontId="34" fillId="23" borderId="4" xfId="0" applyFont="1" applyFill="1" applyBorder="1" applyAlignment="1">
      <alignment horizontal="center" vertical="center"/>
    </xf>
    <xf numFmtId="0" fontId="34" fillId="24" borderId="4" xfId="0" applyFont="1" applyFill="1" applyBorder="1" applyAlignment="1">
      <alignment horizontal="center" vertical="center"/>
    </xf>
    <xf numFmtId="0" fontId="38" fillId="0" borderId="4" xfId="0" applyFont="1" applyBorder="1" applyAlignment="1">
      <alignment vertical="center" wrapText="1"/>
    </xf>
    <xf numFmtId="0" fontId="34" fillId="25" borderId="4" xfId="0" applyFont="1" applyFill="1" applyBorder="1" applyAlignment="1">
      <alignment horizontal="center" vertical="center"/>
    </xf>
    <xf numFmtId="0" fontId="39" fillId="0" borderId="0" xfId="0" applyFont="1"/>
    <xf numFmtId="0" fontId="40" fillId="14" borderId="4" xfId="0" applyFont="1" applyFill="1" applyBorder="1" applyAlignment="1">
      <alignment horizontal="center" vertical="center"/>
    </xf>
    <xf numFmtId="0" fontId="39" fillId="0" borderId="4" xfId="0" applyFont="1" applyBorder="1"/>
    <xf numFmtId="0" fontId="41" fillId="14" borderId="4" xfId="0" applyFont="1" applyFill="1" applyBorder="1" applyAlignment="1">
      <alignment horizontal="center" vertical="center"/>
    </xf>
    <xf numFmtId="0" fontId="42" fillId="14" borderId="4" xfId="0" applyFont="1" applyFill="1" applyBorder="1" applyAlignment="1">
      <alignment horizontal="center" vertical="center"/>
    </xf>
    <xf numFmtId="0" fontId="20" fillId="26" borderId="4" xfId="0" applyFont="1" applyFill="1" applyBorder="1" applyAlignment="1" applyProtection="1">
      <alignment horizontal="center" vertical="center"/>
      <protection locked="0"/>
    </xf>
    <xf numFmtId="0" fontId="18" fillId="26" borderId="4" xfId="0" applyFont="1" applyFill="1" applyBorder="1" applyAlignment="1" applyProtection="1">
      <alignment horizontal="center" vertical="center"/>
      <protection locked="0"/>
    </xf>
    <xf numFmtId="0" fontId="18" fillId="27" borderId="4" xfId="0" applyFont="1" applyFill="1" applyBorder="1" applyAlignment="1" applyProtection="1">
      <alignment horizontal="center" vertical="center"/>
      <protection locked="0"/>
    </xf>
    <xf numFmtId="0" fontId="45" fillId="12" borderId="4" xfId="0" applyFont="1" applyFill="1" applyBorder="1" applyAlignment="1">
      <alignment horizontal="center" vertical="center"/>
    </xf>
    <xf numFmtId="0" fontId="45" fillId="16" borderId="4" xfId="0" applyFont="1" applyFill="1" applyBorder="1" applyAlignment="1" applyProtection="1">
      <alignment horizontal="center" vertical="center"/>
      <protection locked="0"/>
    </xf>
    <xf numFmtId="0" fontId="45" fillId="26" borderId="4" xfId="0" applyFont="1" applyFill="1" applyBorder="1" applyAlignment="1" applyProtection="1">
      <alignment horizontal="center" vertical="center"/>
      <protection locked="0"/>
    </xf>
    <xf numFmtId="0" fontId="45" fillId="14" borderId="4" xfId="0" applyFont="1" applyFill="1" applyBorder="1" applyAlignment="1" applyProtection="1">
      <alignment horizontal="center" vertical="center"/>
      <protection locked="0"/>
    </xf>
    <xf numFmtId="0" fontId="18" fillId="28" borderId="4" xfId="0" applyFont="1" applyFill="1" applyBorder="1" applyAlignment="1" applyProtection="1">
      <alignment horizontal="center" vertical="center"/>
      <protection locked="0"/>
    </xf>
    <xf numFmtId="0" fontId="18" fillId="29" borderId="4" xfId="0" applyFont="1" applyFill="1" applyBorder="1" applyAlignment="1" applyProtection="1">
      <alignment horizontal="center" vertical="center"/>
      <protection locked="0"/>
    </xf>
    <xf numFmtId="4" fontId="7" fillId="2" borderId="1" xfId="0" applyNumberFormat="1" applyFont="1" applyFill="1" applyBorder="1" applyAlignment="1" applyProtection="1">
      <alignment horizontal="center" vertical="center"/>
      <protection hidden="1"/>
    </xf>
    <xf numFmtId="0" fontId="8" fillId="0" borderId="2" xfId="0" applyFont="1" applyBorder="1" applyAlignment="1">
      <alignment horizontal="right" vertical="center"/>
    </xf>
    <xf numFmtId="0" fontId="9" fillId="2" borderId="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8" fillId="4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1" fontId="8" fillId="6" borderId="4" xfId="0" applyNumberFormat="1" applyFont="1" applyFill="1" applyBorder="1" applyAlignment="1" applyProtection="1">
      <alignment horizontal="center" vertical="center"/>
      <protection hidden="1"/>
    </xf>
    <xf numFmtId="0" fontId="8" fillId="6" borderId="4" xfId="0" applyFont="1" applyFill="1" applyBorder="1" applyAlignment="1" applyProtection="1">
      <alignment horizontal="center" vertical="center" textRotation="90"/>
      <protection hidden="1"/>
    </xf>
    <xf numFmtId="0" fontId="8" fillId="2" borderId="4" xfId="0" applyFont="1" applyFill="1" applyBorder="1" applyAlignment="1" applyProtection="1">
      <alignment horizontal="center" vertical="center" wrapText="1"/>
      <protection hidden="1"/>
    </xf>
    <xf numFmtId="0" fontId="8" fillId="7" borderId="4" xfId="0" applyFont="1" applyFill="1" applyBorder="1" applyAlignment="1" applyProtection="1">
      <alignment horizontal="center" vertical="center" wrapText="1"/>
      <protection hidden="1"/>
    </xf>
    <xf numFmtId="0" fontId="13" fillId="3" borderId="4" xfId="0" applyFont="1" applyFill="1" applyBorder="1" applyAlignment="1">
      <alignment horizontal="center" vertical="center" textRotation="90" wrapText="1"/>
    </xf>
    <xf numFmtId="0" fontId="12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textRotation="90" wrapText="1"/>
    </xf>
    <xf numFmtId="0" fontId="14" fillId="8" borderId="4" xfId="0" applyFont="1" applyFill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textRotation="90" wrapText="1"/>
    </xf>
    <xf numFmtId="0" fontId="12" fillId="9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textRotation="90" wrapText="1"/>
    </xf>
    <xf numFmtId="0" fontId="4" fillId="10" borderId="4" xfId="0" applyFont="1" applyFill="1" applyBorder="1" applyAlignment="1" applyProtection="1">
      <alignment horizontal="center" vertical="center" textRotation="90" wrapText="1"/>
      <protection hidden="1"/>
    </xf>
    <xf numFmtId="0" fontId="12" fillId="6" borderId="4" xfId="0" applyFont="1" applyFill="1" applyBorder="1" applyAlignment="1" applyProtection="1">
      <alignment horizontal="center" vertical="center" textRotation="90" wrapText="1"/>
      <protection hidden="1"/>
    </xf>
    <xf numFmtId="0" fontId="16" fillId="6" borderId="4" xfId="0" applyFont="1" applyFill="1" applyBorder="1" applyAlignment="1" applyProtection="1">
      <alignment horizontal="center" vertical="center" textRotation="90" wrapText="1"/>
      <protection hidden="1"/>
    </xf>
    <xf numFmtId="0" fontId="8" fillId="2" borderId="4" xfId="0" applyFont="1" applyFill="1" applyBorder="1" applyAlignment="1" applyProtection="1">
      <alignment horizontal="center" vertical="center" textRotation="90" wrapText="1"/>
      <protection hidden="1"/>
    </xf>
    <xf numFmtId="0" fontId="8" fillId="7" borderId="4" xfId="0" applyFont="1" applyFill="1" applyBorder="1" applyAlignment="1" applyProtection="1">
      <alignment horizontal="center" vertical="center" textRotation="90" wrapText="1"/>
      <protection hidden="1"/>
    </xf>
    <xf numFmtId="0" fontId="32" fillId="0" borderId="0" xfId="0" applyFont="1" applyAlignment="1">
      <alignment horizontal="center" vertical="center"/>
    </xf>
    <xf numFmtId="0" fontId="40" fillId="6" borderId="4" xfId="0" applyFont="1" applyFill="1" applyBorder="1" applyAlignment="1">
      <alignment horizontal="center" vertical="center"/>
    </xf>
  </cellXfs>
  <cellStyles count="11">
    <cellStyle name="Обычный" xfId="0" builtinId="0"/>
    <cellStyle name="Обычный 2" xfId="2" xr:uid="{00000000-0005-0000-0000-000001000000}"/>
    <cellStyle name="Обычный 2 2" xfId="3" xr:uid="{00000000-0005-0000-0000-000002000000}"/>
    <cellStyle name="Обычный 2 3" xfId="4" xr:uid="{00000000-0005-0000-0000-000003000000}"/>
    <cellStyle name="Обычный 2 3 2" xfId="5" xr:uid="{00000000-0005-0000-0000-000004000000}"/>
    <cellStyle name="Обычный 3" xfId="6" xr:uid="{00000000-0005-0000-0000-000005000000}"/>
    <cellStyle name="Обычный 3 3" xfId="7" xr:uid="{00000000-0005-0000-0000-000006000000}"/>
    <cellStyle name="Обычный 4" xfId="8" xr:uid="{00000000-0005-0000-0000-000007000000}"/>
    <cellStyle name="Обычный 5" xfId="9" xr:uid="{00000000-0005-0000-0000-000008000000}"/>
    <cellStyle name="Обычный 6" xfId="10" xr:uid="{00000000-0005-0000-0000-000009000000}"/>
    <cellStyle name="Процентный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7F"/>
      <rgbColor rgb="FFFF00FF"/>
      <rgbColor rgb="FFFFFFE5"/>
      <rgbColor rgb="FFC00000"/>
      <rgbColor rgb="FF008000"/>
      <rgbColor rgb="FF000080"/>
      <rgbColor rgb="FFFFFFCF"/>
      <rgbColor rgb="FF800080"/>
      <rgbColor rgb="FF008080"/>
      <rgbColor rgb="FFDDD9C3"/>
      <rgbColor rgb="FFE5FFE5"/>
      <rgbColor rgb="FFDBEEF3"/>
      <rgbColor rgb="FF7030A0"/>
      <rgbColor rgb="FFFFFFCC"/>
      <rgbColor rgb="FFDDFFDD"/>
      <rgbColor rgb="FF660066"/>
      <rgbColor rgb="FFFCD5B5"/>
      <rgbColor rgb="FF0070C0"/>
      <rgbColor rgb="FFD9D9D9"/>
      <rgbColor rgb="FF000080"/>
      <rgbColor rgb="FFFF00FF"/>
      <rgbColor rgb="FFFFDF7F"/>
      <rgbColor rgb="FF00FFFF"/>
      <rgbColor rgb="FF800080"/>
      <rgbColor rgb="FF800000"/>
      <rgbColor rgb="FF008080"/>
      <rgbColor rgb="FF0000FF"/>
      <rgbColor rgb="FF00CCFF"/>
      <rgbColor rgb="FFDBEEF4"/>
      <rgbColor rgb="FFCCFFCC"/>
      <rgbColor rgb="FFFFFF99"/>
      <rgbColor rgb="FFD7E4BD"/>
      <rgbColor rgb="FFFAC090"/>
      <rgbColor rgb="FFF2DCDB"/>
      <rgbColor rgb="FFFFCC99"/>
      <rgbColor rgb="FF3366FF"/>
      <rgbColor rgb="FFE5FFCC"/>
      <rgbColor rgb="FF92D050"/>
      <rgbColor rgb="FFFFC000"/>
      <rgbColor rgb="FFFDEADA"/>
      <rgbColor rgb="FFFF4000"/>
      <rgbColor rgb="FF666699"/>
      <rgbColor rgb="FFEBF1DE"/>
      <rgbColor rgb="FF003366"/>
      <rgbColor rgb="FF00B050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..\..\Z:\&#1059;&#1054;&#1055;\&#1056;&#1072;&#1089;&#1095;&#1077;&#1090;%20&#1091;&#1095;&#1077;&#1073;&#1085;&#1086;&#1081;%20&#1085;&#1072;&#1075;&#1088;&#1091;&#1079;&#1082;&#1080;%20&#1082;&#1072;&#1092;&#1077;&#1076;&#1088;&#1099;\2023\0.%20&#1052;&#1072;&#1081;%202023%20(&#1087;&#1083;&#1072;&#1085;)\&#1060;&#1043;&#1057;&#1053;\&#1056;&#1059;&#1053;%20&#1055;&#1055;&#1057;_23-24%20(C&#1086;&#1094;&#1080;&#1072;&#1083;&#1100;&#1085;&#1086;&#1081;%20&#1092;&#1080;&#1083;&#1086;&#1089;&#1086;&#1092;&#1080;&#108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УН сводная"/>
      <sheetName val="ООП"/>
      <sheetName val="Список кафедр"/>
      <sheetName val="Нормы УР"/>
      <sheetName val="Списки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BN548"/>
  <sheetViews>
    <sheetView showZeros="0" tabSelected="1" zoomScale="68" zoomScaleNormal="68" workbookViewId="0">
      <pane ySplit="5" topLeftCell="A6" activePane="bottomLeft" state="frozen"/>
      <selection pane="bottomLeft" activeCell="AB524" sqref="AB524:AB534"/>
    </sheetView>
  </sheetViews>
  <sheetFormatPr defaultColWidth="9.109375" defaultRowHeight="12.75" customHeight="1" x14ac:dyDescent="0.25"/>
  <cols>
    <col min="1" max="2" width="5.6640625" style="1" customWidth="1"/>
    <col min="3" max="4" width="20.6640625" style="2" customWidth="1"/>
    <col min="5" max="5" width="13.44140625" style="2" customWidth="1"/>
    <col min="6" max="6" width="48.88671875" style="3" customWidth="1"/>
    <col min="7" max="10" width="4.6640625" style="2" customWidth="1"/>
    <col min="11" max="11" width="30.6640625" style="4" customWidth="1"/>
    <col min="12" max="12" width="4.6640625" style="2" customWidth="1"/>
    <col min="13" max="13" width="5.33203125" style="2" customWidth="1"/>
    <col min="14" max="14" width="8.6640625" style="2" customWidth="1"/>
    <col min="15" max="17" width="4.6640625" style="2" customWidth="1"/>
    <col min="18" max="18" width="5.6640625" style="2" customWidth="1"/>
    <col min="19" max="23" width="4.6640625" style="2" customWidth="1"/>
    <col min="24" max="24" width="10.6640625" style="2" customWidth="1"/>
    <col min="25" max="25" width="10.44140625" style="2" customWidth="1"/>
    <col min="26" max="30" width="5.6640625" style="2" customWidth="1"/>
    <col min="31" max="31" width="4.6640625" style="2" customWidth="1"/>
    <col min="32" max="32" width="5.44140625" style="2" customWidth="1"/>
    <col min="33" max="33" width="8" style="2" customWidth="1"/>
    <col min="34" max="34" width="22.33203125" style="2" customWidth="1"/>
    <col min="35" max="35" width="9.109375" style="2"/>
    <col min="36" max="36" width="9.88671875" style="2" customWidth="1"/>
    <col min="37" max="37" width="18.109375" style="4" customWidth="1"/>
    <col min="38" max="38" width="9.44140625" style="2" customWidth="1"/>
    <col min="39" max="54" width="9.109375" style="2"/>
    <col min="55" max="55" width="20.109375" style="2" customWidth="1"/>
    <col min="56" max="57" width="9.109375" style="2"/>
    <col min="58" max="58" width="10.6640625" style="2" customWidth="1"/>
    <col min="59" max="59" width="5.88671875" style="2" customWidth="1"/>
    <col min="60" max="65" width="9.109375" style="2"/>
    <col min="66" max="66" width="10.109375" style="2" customWidth="1"/>
    <col min="67" max="16384" width="9.109375" style="2"/>
  </cols>
  <sheetData>
    <row r="1" spans="1:65" s="9" customFormat="1" ht="15.6" x14ac:dyDescent="0.25">
      <c r="A1" s="129">
        <f>BF1</f>
        <v>19806.631666666661</v>
      </c>
      <c r="B1" s="129"/>
      <c r="C1" s="129"/>
      <c r="D1" s="5"/>
      <c r="E1" s="130" t="s">
        <v>0</v>
      </c>
      <c r="F1" s="130"/>
      <c r="G1" s="131" t="s">
        <v>1</v>
      </c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131"/>
      <c r="AL1" s="131"/>
      <c r="AM1" s="6">
        <f t="shared" ref="AM1:BF1" si="0">AM548</f>
        <v>2369</v>
      </c>
      <c r="AN1" s="6">
        <f t="shared" si="0"/>
        <v>2514.4166666666665</v>
      </c>
      <c r="AO1" s="6">
        <f t="shared" si="0"/>
        <v>4194</v>
      </c>
      <c r="AP1" s="6">
        <f t="shared" si="0"/>
        <v>1702.1400000000008</v>
      </c>
      <c r="AQ1" s="6">
        <f t="shared" si="0"/>
        <v>2465</v>
      </c>
      <c r="AR1" s="6">
        <f t="shared" si="0"/>
        <v>224.79166666666663</v>
      </c>
      <c r="AS1" s="6">
        <f t="shared" si="0"/>
        <v>242.95000000000044</v>
      </c>
      <c r="AT1" s="6">
        <f t="shared" si="0"/>
        <v>0</v>
      </c>
      <c r="AU1" s="6">
        <f t="shared" si="0"/>
        <v>0</v>
      </c>
      <c r="AV1" s="6">
        <f t="shared" si="0"/>
        <v>330</v>
      </c>
      <c r="AW1" s="6">
        <f t="shared" si="0"/>
        <v>1286</v>
      </c>
      <c r="AX1" s="6">
        <f t="shared" si="0"/>
        <v>588</v>
      </c>
      <c r="AY1" s="6">
        <f t="shared" si="0"/>
        <v>0</v>
      </c>
      <c r="AZ1" s="6">
        <f t="shared" si="0"/>
        <v>0</v>
      </c>
      <c r="BA1" s="6">
        <f t="shared" si="0"/>
        <v>0</v>
      </c>
      <c r="BB1" s="6">
        <f t="shared" si="0"/>
        <v>1125</v>
      </c>
      <c r="BC1" s="6">
        <f t="shared" si="0"/>
        <v>2446</v>
      </c>
      <c r="BD1" s="6">
        <f t="shared" si="0"/>
        <v>258</v>
      </c>
      <c r="BE1" s="6">
        <f t="shared" si="0"/>
        <v>61.333333333333336</v>
      </c>
      <c r="BF1" s="7">
        <f t="shared" si="0"/>
        <v>19806.631666666661</v>
      </c>
      <c r="BG1" s="8"/>
      <c r="BH1" s="6">
        <f t="shared" ref="BH1:BM1" si="1">BH548</f>
        <v>6047</v>
      </c>
      <c r="BI1" s="6">
        <f t="shared" si="1"/>
        <v>205.5</v>
      </c>
      <c r="BJ1" s="6">
        <f t="shared" si="1"/>
        <v>4043.9933333333347</v>
      </c>
      <c r="BK1" s="6">
        <f t="shared" si="1"/>
        <v>3030.4166666666665</v>
      </c>
      <c r="BL1" s="6">
        <f t="shared" si="1"/>
        <v>95</v>
      </c>
      <c r="BM1" s="6">
        <f t="shared" si="1"/>
        <v>6685.2216666666636</v>
      </c>
    </row>
    <row r="2" spans="1:65" s="9" customFormat="1" ht="19.5" customHeight="1" x14ac:dyDescent="0.25">
      <c r="A2" s="132" t="s">
        <v>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3" t="s">
        <v>3</v>
      </c>
      <c r="Y2" s="133"/>
      <c r="Z2" s="133"/>
      <c r="AA2" s="133"/>
      <c r="AB2" s="133"/>
      <c r="AC2" s="133"/>
      <c r="AD2" s="133"/>
      <c r="AE2" s="133"/>
      <c r="AF2" s="133"/>
      <c r="AG2" s="133"/>
      <c r="AH2" s="134" t="s">
        <v>4</v>
      </c>
      <c r="AI2" s="134"/>
      <c r="AJ2" s="134"/>
      <c r="AK2" s="134"/>
      <c r="AL2" s="134"/>
      <c r="AM2" s="135" t="s">
        <v>5</v>
      </c>
      <c r="AN2" s="135"/>
      <c r="AO2" s="135"/>
      <c r="AP2" s="135"/>
      <c r="AQ2" s="135"/>
      <c r="AR2" s="135"/>
      <c r="AS2" s="135"/>
      <c r="AT2" s="135"/>
      <c r="AU2" s="135"/>
      <c r="AV2" s="135"/>
      <c r="AW2" s="135"/>
      <c r="AX2" s="135"/>
      <c r="AY2" s="135"/>
      <c r="AZ2" s="135"/>
      <c r="BA2" s="135"/>
      <c r="BB2" s="135"/>
      <c r="BC2" s="135"/>
      <c r="BD2" s="135"/>
      <c r="BE2" s="135"/>
      <c r="BF2" s="136" t="s">
        <v>6</v>
      </c>
      <c r="BG2" s="10"/>
      <c r="BH2" s="137" t="s">
        <v>7</v>
      </c>
      <c r="BI2" s="137"/>
      <c r="BJ2" s="137"/>
      <c r="BK2" s="138" t="s">
        <v>8</v>
      </c>
      <c r="BL2" s="138"/>
      <c r="BM2" s="138"/>
    </row>
    <row r="3" spans="1:65" s="13" customFormat="1" ht="33.75" customHeight="1" x14ac:dyDescent="0.25">
      <c r="A3" s="139" t="s">
        <v>9</v>
      </c>
      <c r="B3" s="139" t="s">
        <v>10</v>
      </c>
      <c r="C3" s="140" t="s">
        <v>11</v>
      </c>
      <c r="D3" s="140"/>
      <c r="E3" s="140"/>
      <c r="F3" s="140"/>
      <c r="G3" s="140" t="s">
        <v>12</v>
      </c>
      <c r="H3" s="140"/>
      <c r="I3" s="140"/>
      <c r="J3" s="140"/>
      <c r="K3" s="140"/>
      <c r="L3" s="141" t="s">
        <v>13</v>
      </c>
      <c r="M3" s="141" t="s">
        <v>14</v>
      </c>
      <c r="N3" s="141" t="s">
        <v>15</v>
      </c>
      <c r="O3" s="142" t="s">
        <v>16</v>
      </c>
      <c r="P3" s="142"/>
      <c r="Q3" s="142"/>
      <c r="R3" s="141" t="s">
        <v>17</v>
      </c>
      <c r="S3" s="143" t="s">
        <v>18</v>
      </c>
      <c r="T3" s="143" t="s">
        <v>19</v>
      </c>
      <c r="U3" s="143" t="s">
        <v>20</v>
      </c>
      <c r="V3" s="143" t="s">
        <v>21</v>
      </c>
      <c r="W3" s="143" t="s">
        <v>22</v>
      </c>
      <c r="X3" s="144" t="s">
        <v>23</v>
      </c>
      <c r="Y3" s="144"/>
      <c r="Z3" s="144"/>
      <c r="AA3" s="144"/>
      <c r="AB3" s="145" t="s">
        <v>24</v>
      </c>
      <c r="AC3" s="145"/>
      <c r="AD3" s="145"/>
      <c r="AE3" s="146"/>
      <c r="AF3" s="146"/>
      <c r="AG3" s="146"/>
      <c r="AH3" s="147" t="s">
        <v>25</v>
      </c>
      <c r="AI3" s="147" t="s">
        <v>26</v>
      </c>
      <c r="AJ3" s="147" t="s">
        <v>27</v>
      </c>
      <c r="AK3" s="147" t="s">
        <v>28</v>
      </c>
      <c r="AL3" s="147" t="s">
        <v>29</v>
      </c>
      <c r="AM3" s="148" t="s">
        <v>30</v>
      </c>
      <c r="AN3" s="148" t="s">
        <v>31</v>
      </c>
      <c r="AO3" s="148" t="s">
        <v>32</v>
      </c>
      <c r="AP3" s="149" t="s">
        <v>33</v>
      </c>
      <c r="AQ3" s="149" t="s">
        <v>34</v>
      </c>
      <c r="AR3" s="149" t="s">
        <v>35</v>
      </c>
      <c r="AS3" s="149" t="s">
        <v>36</v>
      </c>
      <c r="AT3" s="149" t="s">
        <v>37</v>
      </c>
      <c r="AU3" s="149" t="s">
        <v>38</v>
      </c>
      <c r="AV3" s="149" t="s">
        <v>39</v>
      </c>
      <c r="AW3" s="149" t="s">
        <v>40</v>
      </c>
      <c r="AX3" s="149" t="s">
        <v>41</v>
      </c>
      <c r="AY3" s="149" t="s">
        <v>42</v>
      </c>
      <c r="AZ3" s="149" t="s">
        <v>43</v>
      </c>
      <c r="BA3" s="150" t="s">
        <v>44</v>
      </c>
      <c r="BB3" s="150" t="s">
        <v>45</v>
      </c>
      <c r="BC3" s="149" t="s">
        <v>46</v>
      </c>
      <c r="BD3" s="149" t="s">
        <v>47</v>
      </c>
      <c r="BE3" s="149" t="s">
        <v>48</v>
      </c>
      <c r="BF3" s="136"/>
      <c r="BG3" s="12"/>
      <c r="BH3" s="151" t="s">
        <v>49</v>
      </c>
      <c r="BI3" s="151" t="s">
        <v>50</v>
      </c>
      <c r="BJ3" s="151" t="s">
        <v>51</v>
      </c>
      <c r="BK3" s="152" t="s">
        <v>49</v>
      </c>
      <c r="BL3" s="152" t="s">
        <v>50</v>
      </c>
      <c r="BM3" s="152" t="s">
        <v>51</v>
      </c>
    </row>
    <row r="4" spans="1:65" s="9" customFormat="1" ht="75.599999999999994" x14ac:dyDescent="0.25">
      <c r="A4" s="139"/>
      <c r="B4" s="139"/>
      <c r="C4" s="14" t="s">
        <v>52</v>
      </c>
      <c r="D4" s="11" t="s">
        <v>53</v>
      </c>
      <c r="E4" s="11" t="s">
        <v>54</v>
      </c>
      <c r="F4" s="11" t="s">
        <v>55</v>
      </c>
      <c r="G4" s="15" t="s">
        <v>56</v>
      </c>
      <c r="H4" s="15" t="s">
        <v>57</v>
      </c>
      <c r="I4" s="15" t="s">
        <v>58</v>
      </c>
      <c r="J4" s="15" t="s">
        <v>59</v>
      </c>
      <c r="K4" s="14" t="s">
        <v>60</v>
      </c>
      <c r="L4" s="141"/>
      <c r="M4" s="141"/>
      <c r="N4" s="141"/>
      <c r="O4" s="16" t="s">
        <v>61</v>
      </c>
      <c r="P4" s="16" t="s">
        <v>62</v>
      </c>
      <c r="Q4" s="16" t="s">
        <v>63</v>
      </c>
      <c r="R4" s="141"/>
      <c r="S4" s="143"/>
      <c r="T4" s="143"/>
      <c r="U4" s="143"/>
      <c r="V4" s="143"/>
      <c r="W4" s="143"/>
      <c r="X4" s="17" t="s">
        <v>64</v>
      </c>
      <c r="Y4" s="18" t="s">
        <v>65</v>
      </c>
      <c r="Z4" s="18" t="s">
        <v>66</v>
      </c>
      <c r="AA4" s="19" t="s">
        <v>67</v>
      </c>
      <c r="AB4" s="20" t="s">
        <v>68</v>
      </c>
      <c r="AC4" s="21" t="s">
        <v>69</v>
      </c>
      <c r="AD4" s="21" t="s">
        <v>70</v>
      </c>
      <c r="AE4" s="22" t="s">
        <v>71</v>
      </c>
      <c r="AF4" s="22" t="s">
        <v>72</v>
      </c>
      <c r="AG4" s="22" t="s">
        <v>73</v>
      </c>
      <c r="AH4" s="147"/>
      <c r="AI4" s="147"/>
      <c r="AJ4" s="147"/>
      <c r="AK4" s="147"/>
      <c r="AL4" s="147"/>
      <c r="AM4" s="148"/>
      <c r="AN4" s="148"/>
      <c r="AO4" s="148"/>
      <c r="AP4" s="149"/>
      <c r="AQ4" s="149"/>
      <c r="AR4" s="149"/>
      <c r="AS4" s="149"/>
      <c r="AT4" s="149"/>
      <c r="AU4" s="149"/>
      <c r="AV4" s="149"/>
      <c r="AW4" s="149"/>
      <c r="AX4" s="149"/>
      <c r="AY4" s="149"/>
      <c r="AZ4" s="149"/>
      <c r="BA4" s="150"/>
      <c r="BB4" s="150"/>
      <c r="BC4" s="149"/>
      <c r="BD4" s="149"/>
      <c r="BE4" s="149"/>
      <c r="BF4" s="136"/>
      <c r="BG4" s="23"/>
      <c r="BH4" s="151"/>
      <c r="BI4" s="151"/>
      <c r="BJ4" s="151"/>
      <c r="BK4" s="152"/>
      <c r="BL4" s="152"/>
      <c r="BM4" s="152"/>
    </row>
    <row r="5" spans="1:65" s="30" customFormat="1" ht="34.5" customHeight="1" x14ac:dyDescent="0.25">
      <c r="A5" s="24">
        <v>1</v>
      </c>
      <c r="B5" s="24">
        <v>2</v>
      </c>
      <c r="C5" s="25">
        <v>3</v>
      </c>
      <c r="D5" s="26" t="s">
        <v>74</v>
      </c>
      <c r="E5" s="25">
        <v>4</v>
      </c>
      <c r="F5" s="27">
        <v>5</v>
      </c>
      <c r="G5" s="25">
        <v>6</v>
      </c>
      <c r="H5" s="25">
        <v>7</v>
      </c>
      <c r="I5" s="25">
        <v>8</v>
      </c>
      <c r="J5" s="25">
        <v>9</v>
      </c>
      <c r="K5" s="25">
        <v>10</v>
      </c>
      <c r="L5" s="25">
        <v>11</v>
      </c>
      <c r="M5" s="25">
        <v>12</v>
      </c>
      <c r="N5" s="25">
        <v>13</v>
      </c>
      <c r="O5" s="25">
        <v>14</v>
      </c>
      <c r="P5" s="25">
        <v>15</v>
      </c>
      <c r="Q5" s="25">
        <v>16</v>
      </c>
      <c r="R5" s="25">
        <v>17</v>
      </c>
      <c r="S5" s="25">
        <v>18</v>
      </c>
      <c r="T5" s="25">
        <v>19</v>
      </c>
      <c r="U5" s="25">
        <v>20</v>
      </c>
      <c r="V5" s="25">
        <v>21</v>
      </c>
      <c r="W5" s="25">
        <v>22</v>
      </c>
      <c r="X5" s="25">
        <v>23</v>
      </c>
      <c r="Y5" s="25">
        <v>24</v>
      </c>
      <c r="Z5" s="25">
        <v>25</v>
      </c>
      <c r="AA5" s="25">
        <v>26</v>
      </c>
      <c r="AB5" s="25">
        <v>27</v>
      </c>
      <c r="AC5" s="25">
        <v>28</v>
      </c>
      <c r="AD5" s="25">
        <v>29</v>
      </c>
      <c r="AE5" s="25"/>
      <c r="AF5" s="25"/>
      <c r="AG5" s="25"/>
      <c r="AH5" s="25">
        <v>30</v>
      </c>
      <c r="AI5" s="25">
        <v>31</v>
      </c>
      <c r="AJ5" s="25">
        <v>32</v>
      </c>
      <c r="AK5" s="25">
        <v>33</v>
      </c>
      <c r="AL5" s="25">
        <v>34</v>
      </c>
      <c r="AM5" s="25">
        <v>35</v>
      </c>
      <c r="AN5" s="25">
        <v>36</v>
      </c>
      <c r="AO5" s="25">
        <v>37</v>
      </c>
      <c r="AP5" s="25">
        <v>38</v>
      </c>
      <c r="AQ5" s="25">
        <v>39</v>
      </c>
      <c r="AR5" s="25">
        <v>40</v>
      </c>
      <c r="AS5" s="25">
        <v>41</v>
      </c>
      <c r="AT5" s="25">
        <v>42</v>
      </c>
      <c r="AU5" s="25">
        <v>43</v>
      </c>
      <c r="AV5" s="25">
        <v>44</v>
      </c>
      <c r="AW5" s="25">
        <v>45</v>
      </c>
      <c r="AX5" s="25">
        <v>46</v>
      </c>
      <c r="AY5" s="25">
        <v>47</v>
      </c>
      <c r="AZ5" s="25">
        <v>48</v>
      </c>
      <c r="BA5" s="25">
        <v>49</v>
      </c>
      <c r="BB5" s="25">
        <v>50</v>
      </c>
      <c r="BC5" s="25">
        <v>51</v>
      </c>
      <c r="BD5" s="25">
        <v>52</v>
      </c>
      <c r="BE5" s="25">
        <v>53</v>
      </c>
      <c r="BF5" s="25">
        <v>54</v>
      </c>
      <c r="BG5" s="28"/>
      <c r="BH5" s="29">
        <v>55</v>
      </c>
      <c r="BI5" s="29">
        <v>56</v>
      </c>
      <c r="BJ5" s="29">
        <v>57</v>
      </c>
      <c r="BK5" s="29">
        <v>58</v>
      </c>
      <c r="BL5" s="29">
        <v>59</v>
      </c>
      <c r="BM5" s="29">
        <v>60</v>
      </c>
    </row>
    <row r="6" spans="1:65" ht="30" customHeight="1" x14ac:dyDescent="0.25">
      <c r="A6" s="31" t="str">
        <f t="shared" ref="A6:A69" si="2">IF(C6&gt;0, VLOOKUP(C6,Код_ООП,11,FALSE()),0)</f>
        <v>Д</v>
      </c>
      <c r="B6" s="31" t="str">
        <f t="shared" ref="B6:B69" si="3">IF(C6&gt;0, VLOOKUP(C6,Код_ООП,12,FALSE()),0)</f>
        <v>Б</v>
      </c>
      <c r="C6" s="32" t="s">
        <v>75</v>
      </c>
      <c r="D6" s="33" t="str">
        <f t="shared" ref="D6:D69" si="4">IF(C6&gt;0,VLOOKUP(LEFT(C6,1),ОУП,2,FALSE()),0)</f>
        <v>Факультет физико-математических и естественных наук</v>
      </c>
      <c r="E6" s="34" t="str">
        <f t="shared" ref="E6:E69" si="5">IF(C6&gt;0, VLOOKUP(C6,Код_ООП,2,FALSE()),0)</f>
        <v>'09.03.03</v>
      </c>
      <c r="F6" s="35" t="str">
        <f t="shared" ref="F6:F69" si="6">IF(C6&gt;0, VLOOKUP(C6,Код_ООП,13,FALSE()),0)</f>
        <v>Прикладная информатика</v>
      </c>
      <c r="G6" s="36" t="s">
        <v>76</v>
      </c>
      <c r="H6" s="36" t="s">
        <v>77</v>
      </c>
      <c r="I6" s="37"/>
      <c r="J6" s="37"/>
      <c r="K6" s="38" t="s">
        <v>78</v>
      </c>
      <c r="L6" s="39">
        <v>1</v>
      </c>
      <c r="M6" s="39">
        <v>18</v>
      </c>
      <c r="N6" s="40" t="s">
        <v>79</v>
      </c>
      <c r="O6" s="39">
        <v>2</v>
      </c>
      <c r="P6" s="39"/>
      <c r="Q6" s="39"/>
      <c r="R6" s="40" t="s">
        <v>80</v>
      </c>
      <c r="S6" s="41"/>
      <c r="T6" s="41"/>
      <c r="U6" s="41"/>
      <c r="V6" s="41"/>
      <c r="W6" s="41"/>
      <c r="X6" s="42" t="str">
        <f t="shared" ref="X6:X69" si="7">MID(C6,1,5)</f>
        <v>НПИбд</v>
      </c>
      <c r="Y6" s="43" t="s">
        <v>92</v>
      </c>
      <c r="Z6" s="39">
        <v>6</v>
      </c>
      <c r="AA6" s="127">
        <f>AB6/24</f>
        <v>2.9166666666666665</v>
      </c>
      <c r="AB6" s="42">
        <f t="shared" ref="AB6:AB69" si="8">AC6+AD6</f>
        <v>70</v>
      </c>
      <c r="AC6" s="39">
        <v>55</v>
      </c>
      <c r="AD6" s="39">
        <v>15</v>
      </c>
      <c r="AE6" s="44">
        <f t="shared" ref="AE6:AE69" si="9">IF(N6="сп",6,IF(N6="клн",8,IF(OR(N6="лаб",N6="ия"),12,IF(OR(N6="пр",N6="ТЕСТ"),IF(OR(B6="Б",B6="С"),24,12),IF(N6="лек",AB6,1)))))</f>
        <v>70</v>
      </c>
      <c r="AF6" s="45">
        <f t="shared" ref="AF6:AF69" si="10">IF(AG6&gt;1,1,AG6)</f>
        <v>1</v>
      </c>
      <c r="AG6" s="45">
        <f t="shared" ref="AG6:AG69" si="11">AB6/AE6</f>
        <v>1</v>
      </c>
      <c r="AH6" s="46" t="s">
        <v>82</v>
      </c>
      <c r="AI6" s="40" t="s">
        <v>83</v>
      </c>
      <c r="AJ6" s="40" t="s">
        <v>84</v>
      </c>
      <c r="AK6" s="47" t="s">
        <v>85</v>
      </c>
      <c r="AL6" s="40"/>
      <c r="AM6" s="48">
        <f t="shared" ref="AM6:AM69" si="12">IF(AB6&gt;0,IF(OR(N6="лек",N6="ТУИС"),O6*M6,0),0)</f>
        <v>36</v>
      </c>
      <c r="AN6" s="48">
        <f t="shared" ref="AN6:AN69" si="13">IF(OR(N6="пр",N6="ия",N6="сп"),Q6*AF6*M6,0)</f>
        <v>0</v>
      </c>
      <c r="AO6" s="48">
        <f t="shared" ref="AO6:AO69" si="14">IF(OR(N6="лаб",N6="клн"),P6*AF6*M6,0)</f>
        <v>0</v>
      </c>
      <c r="AP6" s="48">
        <f t="shared" ref="AP6:AP69" si="15">(IF((AND(OR(L6=1,L6=2,L6=3,L6=4,L6=5,L6=6,L6=7,L6=8,L6=9,L6=10,L6=11,L6=12),OR(R6="Зач",R6="Экз"))),ТКиРА*AB6,0)+IF(SUM(O6:Q6)&lt;&gt;0,IF(R6="ТК",ТКиРА*AB6,0),0))*(IF(G6="ФТД",0,1))</f>
        <v>23.1</v>
      </c>
      <c r="AQ6" s="48">
        <f t="shared" ref="AQ6:AQ69" si="16">IF(SUM(P6:Q6)&lt;&gt;0,IF(R6="Зач",ПАБРС*AB6,0),0)+IF(O6&lt;&gt;0,IF(R6="Экз",ПАБРС*AB6,0),0)</f>
        <v>35</v>
      </c>
      <c r="AR6" s="48">
        <f t="shared" ref="AR6:AR69" si="17">(IF(AQ6&lt;&gt;0,ОфВед*(IF(OR(N6="лек",N6="лаб"),AA6,AF6)),0))*(IF(G6="ФТД",0,1))</f>
        <v>2.9166666666666665</v>
      </c>
      <c r="AS6" s="48">
        <f t="shared" ref="AS6:AS69" si="18">(IF(A6="Д",ТКЛД,IF(A6="В",ТКЛВ,IF(A6="З",ТКЛЗ,0))))*(IF(G6="ФТД",0,IF(B6="ЦМ",O6*M6,AM6)))*AA6</f>
        <v>5.25</v>
      </c>
      <c r="AT6" s="48">
        <f t="shared" ref="AT6:AT69" si="19">IF(S6="К",AB6*ВПКР,IF(S6="М",AB6*ВПИБ,0))</f>
        <v>0</v>
      </c>
      <c r="AU6" s="48">
        <f t="shared" ref="AU6:AU69" si="20">IF(OR(N6="лаб",N6="пр"),IF(T6="К",AB6*ВПКП,0),0)</f>
        <v>0</v>
      </c>
      <c r="AV6" s="48">
        <f t="shared" ref="AV6:AV69" si="21">IF(N6="УП",U6/1.5*AB6*РУП,IF(N6="УПМ",U6/1.5*AB6*РУПЛеч,0))</f>
        <v>0</v>
      </c>
      <c r="AW6" s="48">
        <f>IF(N6="ПП",РПП*AB6*(V6/1.5),IF(N6="ВП",ВПр*AB6*(V6/1.5),IF(N6="РПА",РПА*AB6*(V6/1.5),IF(N6="КПА",кпа*AB6*(V6/1.5),0))))</f>
        <v>0</v>
      </c>
      <c r="AX6" s="48">
        <f t="shared" ref="AX6:AX69" si="22">IF(N6="НР",(AC6*НИРМ+AD6*НИРМИн)*(W6/1.5),IF(N6="НИ",(AC6*НИРА+AD6*НИРАИ)*(W6/1.5),0))</f>
        <v>0</v>
      </c>
      <c r="AY6" s="48">
        <f t="shared" ref="AY6:AY69" si="23">IF(AND(N6="ЦП",B6="ЦМ"),AB6*ЦП,0)</f>
        <v>0</v>
      </c>
      <c r="AZ6" s="48">
        <f t="shared" ref="AZ6:AZ69" si="24">IF(B6="А",IF(N6="РР",AB6*РефАсп,IF(N6="РРФ",AB6*РефФил,0)),0)</f>
        <v>0</v>
      </c>
      <c r="BA6" s="48">
        <f t="shared" ref="BA6:BA69" si="25">IF(AND(R6="КЭ",N6="ЧК"),AB6*КдЭк,0)</f>
        <v>0</v>
      </c>
      <c r="BB6" s="48">
        <f t="shared" ref="BB6:BB69" si="26">IF(AND(N6="НКД",B6="Д"),AB6*НКД,0)+IF(AND(N6="РПЛ",B6="А"),AB6*РукПЛ,0)+IF(AND(N6="РСтж",B6="А"),AC6*РукСт+AD6*РукИСт,0)+IF(N6="ФГТ",AC6*РукРФа+AD6*РукИна,0)</f>
        <v>0</v>
      </c>
      <c r="BC6" s="48">
        <f t="shared" ref="BC6:BC69" si="27">IF(N6="РК",IF(OR(B6="С",B6="М",B6="ЦМ"),(AC6*РСМ+AD6*РСМИ),0),0)+IF(N6="РК",IF(B6="Б",(AC6*РБ+AD6*РБИ),0),0)+IF(N6="РК",IF(B6="А",(AC6*РНКР+AD6*РНКРИн),0),0)+IF(AND(R6="ПАкр"),AB6*0.3)</f>
        <v>0</v>
      </c>
      <c r="BD6" s="48">
        <f t="shared" ref="BD6:BD69" si="28">IF(N6="РДП",IF(B6="А",AB6*РРА,IF(OR(B6="С",B6="М",B6="ЦМ"),AB6*РРСМ,IF(B6="Б",AB6*РРБ,0))),IF(N6="РДИ",AB6*РДП,0))</f>
        <v>0</v>
      </c>
      <c r="BE6" s="48">
        <f t="shared" ref="BE6:BE69" si="29">IF(N6="ЧГ",AB6*ЧГ,IF(N6="ПГ",AB6*ПГ,IF(N6="ТЕСТ",ТГИЭ*AF6,IF(N6="СГ",AB6*СГ,0))))</f>
        <v>0</v>
      </c>
      <c r="BF6" s="49">
        <f t="shared" ref="BF6:BF69" si="30">SUM(AM6:BE6)</f>
        <v>102.26666666666667</v>
      </c>
      <c r="BG6" s="50"/>
      <c r="BH6" s="51">
        <f t="shared" ref="BH6:BH69" si="31">IF(OR(L6="1;1",L6="1;2",L6=1,L6="3;1",L6="3;2",L6=3,L6="5;1",L6="5;2",L6=5,L6="7;1",L6="7;2",L6=7,L6="9;1",L6="9;2",L6=9,L6=11),SUM(AM6:AO6),0)</f>
        <v>36</v>
      </c>
      <c r="BI6" s="51">
        <f t="shared" ref="BI6:BI69" si="32">IF(BH6&lt;&gt;0,SUM(O6:Q6)/2,0)</f>
        <v>1</v>
      </c>
      <c r="BJ6" s="51">
        <f t="shared" ref="BJ6:BJ69" si="33">IF(OR(L6="1;1",L6="1;2",L6=1,L6="3;1",L6="3;2",L6=3,L6="5;1",L6="5;2",L6=5,L6="7;1",L6="7;2",L6=7,L6="9;1",L6="9;2",L6=9,L6=11),SUM(AP6:BE6),0)</f>
        <v>66.266666666666666</v>
      </c>
      <c r="BK6" s="52">
        <f t="shared" ref="BK6:BK69" si="34">IF(OR(L6="2;3",L6="2;4",L6=2,L6="4;3",L6="4;4",L6=4,L6="6;3",L6="6;4",L6=6,L6="8;3",L6="8;4",L6=8,L6="10;3",L6="10;4",L6=10,L6=12),SUM(AM6:AO6),0)</f>
        <v>0</v>
      </c>
      <c r="BL6" s="52">
        <f t="shared" ref="BL6:BL69" si="35">IF(BK6&lt;&gt;0,SUM(O6:Q6)/2,0)</f>
        <v>0</v>
      </c>
      <c r="BM6" s="52">
        <f t="shared" ref="BM6:BM69" si="36">IF(OR(L6="2;3",L6="2;4",L6=2,L6="4;3",L6="4;4",L6=4,L6="6;3",L6="6;4",L6=6,L6="8;3",L6="8;4",L6=8,L6="10;3",L6="10;4",L6=10,L6=12),SUM(AP6:BE6),0)</f>
        <v>0</v>
      </c>
    </row>
    <row r="7" spans="1:65" ht="30" customHeight="1" x14ac:dyDescent="0.25">
      <c r="A7" s="31" t="str">
        <f t="shared" si="2"/>
        <v>Д</v>
      </c>
      <c r="B7" s="31" t="str">
        <f t="shared" si="3"/>
        <v>Б</v>
      </c>
      <c r="C7" s="32" t="s">
        <v>75</v>
      </c>
      <c r="D7" s="33" t="str">
        <f t="shared" si="4"/>
        <v>Факультет физико-математических и естественных наук</v>
      </c>
      <c r="E7" s="34" t="str">
        <f t="shared" si="5"/>
        <v>'09.03.03</v>
      </c>
      <c r="F7" s="35" t="str">
        <f t="shared" si="6"/>
        <v>Прикладная информатика</v>
      </c>
      <c r="G7" s="36" t="s">
        <v>76</v>
      </c>
      <c r="H7" s="36" t="s">
        <v>77</v>
      </c>
      <c r="I7" s="37"/>
      <c r="J7" s="37"/>
      <c r="K7" s="38" t="s">
        <v>78</v>
      </c>
      <c r="L7" s="39">
        <v>1</v>
      </c>
      <c r="M7" s="39">
        <v>18</v>
      </c>
      <c r="N7" s="40" t="s">
        <v>86</v>
      </c>
      <c r="O7" s="39"/>
      <c r="P7" s="39"/>
      <c r="Q7" s="39">
        <v>2</v>
      </c>
      <c r="R7" s="40"/>
      <c r="S7" s="41"/>
      <c r="T7" s="41"/>
      <c r="U7" s="41"/>
      <c r="V7" s="41"/>
      <c r="W7" s="41"/>
      <c r="X7" s="42" t="str">
        <f t="shared" si="7"/>
        <v>НПИбд</v>
      </c>
      <c r="Y7" s="43" t="s">
        <v>87</v>
      </c>
      <c r="Z7" s="39">
        <v>2</v>
      </c>
      <c r="AA7" s="39">
        <v>1</v>
      </c>
      <c r="AB7" s="42">
        <f t="shared" si="8"/>
        <v>24</v>
      </c>
      <c r="AC7" s="39">
        <v>19</v>
      </c>
      <c r="AD7" s="39">
        <v>5</v>
      </c>
      <c r="AE7" s="44">
        <f t="shared" si="9"/>
        <v>24</v>
      </c>
      <c r="AF7" s="45">
        <f t="shared" si="10"/>
        <v>1</v>
      </c>
      <c r="AG7" s="45">
        <f t="shared" si="11"/>
        <v>1</v>
      </c>
      <c r="AH7" s="46" t="s">
        <v>82</v>
      </c>
      <c r="AI7" s="40" t="s">
        <v>83</v>
      </c>
      <c r="AJ7" s="40" t="s">
        <v>84</v>
      </c>
      <c r="AK7" s="47" t="s">
        <v>85</v>
      </c>
      <c r="AL7" s="40"/>
      <c r="AM7" s="48">
        <f t="shared" si="12"/>
        <v>0</v>
      </c>
      <c r="AN7" s="48">
        <f t="shared" si="13"/>
        <v>36</v>
      </c>
      <c r="AO7" s="48">
        <f t="shared" si="14"/>
        <v>0</v>
      </c>
      <c r="AP7" s="48">
        <f t="shared" si="15"/>
        <v>0</v>
      </c>
      <c r="AQ7" s="48">
        <f t="shared" si="16"/>
        <v>0</v>
      </c>
      <c r="AR7" s="48">
        <f t="shared" si="17"/>
        <v>0</v>
      </c>
      <c r="AS7" s="48">
        <f t="shared" si="18"/>
        <v>0</v>
      </c>
      <c r="AT7" s="48">
        <f t="shared" si="19"/>
        <v>0</v>
      </c>
      <c r="AU7" s="48">
        <f t="shared" si="20"/>
        <v>0</v>
      </c>
      <c r="AV7" s="48">
        <f t="shared" si="21"/>
        <v>0</v>
      </c>
      <c r="AW7" s="48">
        <f>IF(N7="ПП",РПП*AB7*(V7/1.5),IF(N7="ВП",ВПр*AB7*(V7/1.5),IF(N7="РПА",РПА*AB7*(V7/1.5),IF(N7="КПА",кпа*AB7*(V7/1.5),0))))</f>
        <v>0</v>
      </c>
      <c r="AX7" s="48">
        <f t="shared" si="22"/>
        <v>0</v>
      </c>
      <c r="AY7" s="48">
        <f t="shared" si="23"/>
        <v>0</v>
      </c>
      <c r="AZ7" s="48">
        <f t="shared" si="24"/>
        <v>0</v>
      </c>
      <c r="BA7" s="48">
        <f t="shared" si="25"/>
        <v>0</v>
      </c>
      <c r="BB7" s="48">
        <f t="shared" si="26"/>
        <v>0</v>
      </c>
      <c r="BC7" s="48">
        <f t="shared" si="27"/>
        <v>0</v>
      </c>
      <c r="BD7" s="48">
        <f t="shared" si="28"/>
        <v>0</v>
      </c>
      <c r="BE7" s="48">
        <f t="shared" si="29"/>
        <v>0</v>
      </c>
      <c r="BF7" s="49">
        <f t="shared" si="30"/>
        <v>36</v>
      </c>
      <c r="BG7" s="50"/>
      <c r="BH7" s="51">
        <f t="shared" si="31"/>
        <v>36</v>
      </c>
      <c r="BI7" s="51">
        <f t="shared" si="32"/>
        <v>1</v>
      </c>
      <c r="BJ7" s="51">
        <f t="shared" si="33"/>
        <v>0</v>
      </c>
      <c r="BK7" s="52">
        <f t="shared" si="34"/>
        <v>0</v>
      </c>
      <c r="BL7" s="52">
        <f t="shared" si="35"/>
        <v>0</v>
      </c>
      <c r="BM7" s="52">
        <f t="shared" si="36"/>
        <v>0</v>
      </c>
    </row>
    <row r="8" spans="1:65" ht="30" customHeight="1" x14ac:dyDescent="0.25">
      <c r="A8" s="31" t="str">
        <f t="shared" si="2"/>
        <v>Д</v>
      </c>
      <c r="B8" s="31" t="str">
        <f t="shared" si="3"/>
        <v>Б</v>
      </c>
      <c r="C8" s="32" t="s">
        <v>75</v>
      </c>
      <c r="D8" s="33" t="str">
        <f t="shared" si="4"/>
        <v>Факультет физико-математических и естественных наук</v>
      </c>
      <c r="E8" s="34" t="str">
        <f t="shared" si="5"/>
        <v>'09.03.03</v>
      </c>
      <c r="F8" s="35" t="str">
        <f t="shared" si="6"/>
        <v>Прикладная информатика</v>
      </c>
      <c r="G8" s="36" t="s">
        <v>76</v>
      </c>
      <c r="H8" s="36" t="s">
        <v>77</v>
      </c>
      <c r="I8" s="37"/>
      <c r="J8" s="37"/>
      <c r="K8" s="38" t="s">
        <v>78</v>
      </c>
      <c r="L8" s="39">
        <v>1</v>
      </c>
      <c r="M8" s="39">
        <v>18</v>
      </c>
      <c r="N8" s="40" t="s">
        <v>86</v>
      </c>
      <c r="O8" s="39"/>
      <c r="P8" s="39"/>
      <c r="Q8" s="39">
        <v>2</v>
      </c>
      <c r="R8" s="40"/>
      <c r="S8" s="41"/>
      <c r="T8" s="41"/>
      <c r="U8" s="41"/>
      <c r="V8" s="41"/>
      <c r="W8" s="41"/>
      <c r="X8" s="42" t="str">
        <f t="shared" si="7"/>
        <v>НПИбд</v>
      </c>
      <c r="Y8" s="43" t="s">
        <v>88</v>
      </c>
      <c r="Z8" s="39">
        <v>2</v>
      </c>
      <c r="AA8" s="39">
        <v>1</v>
      </c>
      <c r="AB8" s="42">
        <f t="shared" si="8"/>
        <v>23</v>
      </c>
      <c r="AC8" s="39">
        <v>18</v>
      </c>
      <c r="AD8" s="39">
        <v>5</v>
      </c>
      <c r="AE8" s="44">
        <f t="shared" si="9"/>
        <v>24</v>
      </c>
      <c r="AF8" s="45">
        <f t="shared" si="10"/>
        <v>0.95833333333333337</v>
      </c>
      <c r="AG8" s="45">
        <f t="shared" si="11"/>
        <v>0.95833333333333337</v>
      </c>
      <c r="AH8" s="46" t="s">
        <v>82</v>
      </c>
      <c r="AI8" s="40" t="s">
        <v>83</v>
      </c>
      <c r="AJ8" s="40" t="s">
        <v>84</v>
      </c>
      <c r="AK8" s="47" t="s">
        <v>85</v>
      </c>
      <c r="AL8" s="40"/>
      <c r="AM8" s="48">
        <f t="shared" si="12"/>
        <v>0</v>
      </c>
      <c r="AN8" s="48">
        <f t="shared" si="13"/>
        <v>34.5</v>
      </c>
      <c r="AO8" s="48">
        <f t="shared" si="14"/>
        <v>0</v>
      </c>
      <c r="AP8" s="48">
        <f t="shared" si="15"/>
        <v>0</v>
      </c>
      <c r="AQ8" s="48">
        <f t="shared" si="16"/>
        <v>0</v>
      </c>
      <c r="AR8" s="48">
        <f t="shared" si="17"/>
        <v>0</v>
      </c>
      <c r="AS8" s="48">
        <f t="shared" si="18"/>
        <v>0</v>
      </c>
      <c r="AT8" s="48">
        <f t="shared" si="19"/>
        <v>0</v>
      </c>
      <c r="AU8" s="48">
        <f t="shared" si="20"/>
        <v>0</v>
      </c>
      <c r="AV8" s="48">
        <f t="shared" si="21"/>
        <v>0</v>
      </c>
      <c r="AW8" s="48">
        <f>IF(N8="ПП",РПП*AB8*(V8/1.5),IF(N8="ВП",ВПр*AB8*(V8/1.5),IF(N8="РПА",РПА*AB8*(V8/1.5),IF(N8="КПА",кпа*AB8*(V8/1.5),0))))</f>
        <v>0</v>
      </c>
      <c r="AX8" s="48">
        <f t="shared" si="22"/>
        <v>0</v>
      </c>
      <c r="AY8" s="48">
        <f t="shared" si="23"/>
        <v>0</v>
      </c>
      <c r="AZ8" s="48">
        <f t="shared" si="24"/>
        <v>0</v>
      </c>
      <c r="BA8" s="48">
        <f t="shared" si="25"/>
        <v>0</v>
      </c>
      <c r="BB8" s="48">
        <f t="shared" si="26"/>
        <v>0</v>
      </c>
      <c r="BC8" s="48">
        <f t="shared" si="27"/>
        <v>0</v>
      </c>
      <c r="BD8" s="48">
        <f t="shared" si="28"/>
        <v>0</v>
      </c>
      <c r="BE8" s="48">
        <f t="shared" si="29"/>
        <v>0</v>
      </c>
      <c r="BF8" s="49">
        <f t="shared" si="30"/>
        <v>34.5</v>
      </c>
      <c r="BG8" s="50"/>
      <c r="BH8" s="51">
        <f t="shared" si="31"/>
        <v>34.5</v>
      </c>
      <c r="BI8" s="51">
        <f t="shared" si="32"/>
        <v>1</v>
      </c>
      <c r="BJ8" s="51">
        <f t="shared" si="33"/>
        <v>0</v>
      </c>
      <c r="BK8" s="52">
        <f t="shared" si="34"/>
        <v>0</v>
      </c>
      <c r="BL8" s="52">
        <f t="shared" si="35"/>
        <v>0</v>
      </c>
      <c r="BM8" s="52">
        <f t="shared" si="36"/>
        <v>0</v>
      </c>
    </row>
    <row r="9" spans="1:65" ht="30" customHeight="1" x14ac:dyDescent="0.25">
      <c r="A9" s="31" t="str">
        <f t="shared" si="2"/>
        <v>Д</v>
      </c>
      <c r="B9" s="31" t="str">
        <f t="shared" si="3"/>
        <v>Б</v>
      </c>
      <c r="C9" s="32" t="s">
        <v>75</v>
      </c>
      <c r="D9" s="33" t="str">
        <f t="shared" si="4"/>
        <v>Факультет физико-математических и естественных наук</v>
      </c>
      <c r="E9" s="34" t="str">
        <f t="shared" si="5"/>
        <v>'09.03.03</v>
      </c>
      <c r="F9" s="35" t="str">
        <f t="shared" si="6"/>
        <v>Прикладная информатика</v>
      </c>
      <c r="G9" s="36" t="s">
        <v>76</v>
      </c>
      <c r="H9" s="36" t="s">
        <v>77</v>
      </c>
      <c r="I9" s="37"/>
      <c r="J9" s="37"/>
      <c r="K9" s="38" t="s">
        <v>78</v>
      </c>
      <c r="L9" s="39">
        <v>1</v>
      </c>
      <c r="M9" s="39">
        <v>18</v>
      </c>
      <c r="N9" s="40" t="s">
        <v>86</v>
      </c>
      <c r="O9" s="39"/>
      <c r="P9" s="39"/>
      <c r="Q9" s="39">
        <v>2</v>
      </c>
      <c r="R9" s="40"/>
      <c r="S9" s="41"/>
      <c r="T9" s="41"/>
      <c r="U9" s="41"/>
      <c r="V9" s="41"/>
      <c r="W9" s="41"/>
      <c r="X9" s="42" t="str">
        <f t="shared" si="7"/>
        <v>НПИбд</v>
      </c>
      <c r="Y9" s="43" t="s">
        <v>89</v>
      </c>
      <c r="Z9" s="39">
        <v>2</v>
      </c>
      <c r="AA9" s="39">
        <v>1</v>
      </c>
      <c r="AB9" s="42">
        <f t="shared" si="8"/>
        <v>23</v>
      </c>
      <c r="AC9" s="39">
        <v>18</v>
      </c>
      <c r="AD9" s="39">
        <v>5</v>
      </c>
      <c r="AE9" s="44">
        <f t="shared" si="9"/>
        <v>24</v>
      </c>
      <c r="AF9" s="45">
        <f t="shared" si="10"/>
        <v>0.95833333333333337</v>
      </c>
      <c r="AG9" s="45">
        <f t="shared" si="11"/>
        <v>0.95833333333333337</v>
      </c>
      <c r="AH9" s="46" t="s">
        <v>82</v>
      </c>
      <c r="AI9" s="40" t="s">
        <v>83</v>
      </c>
      <c r="AJ9" s="40" t="s">
        <v>84</v>
      </c>
      <c r="AK9" s="47" t="s">
        <v>85</v>
      </c>
      <c r="AL9" s="40"/>
      <c r="AM9" s="48">
        <f t="shared" si="12"/>
        <v>0</v>
      </c>
      <c r="AN9" s="48">
        <f t="shared" si="13"/>
        <v>34.5</v>
      </c>
      <c r="AO9" s="48">
        <f t="shared" si="14"/>
        <v>0</v>
      </c>
      <c r="AP9" s="48">
        <f t="shared" si="15"/>
        <v>0</v>
      </c>
      <c r="AQ9" s="48">
        <f t="shared" si="16"/>
        <v>0</v>
      </c>
      <c r="AR9" s="48">
        <f t="shared" si="17"/>
        <v>0</v>
      </c>
      <c r="AS9" s="48">
        <f t="shared" si="18"/>
        <v>0</v>
      </c>
      <c r="AT9" s="48">
        <f t="shared" si="19"/>
        <v>0</v>
      </c>
      <c r="AU9" s="48">
        <f t="shared" si="20"/>
        <v>0</v>
      </c>
      <c r="AV9" s="48">
        <f t="shared" si="21"/>
        <v>0</v>
      </c>
      <c r="AW9" s="48">
        <f>IF(N9="ПП",РПП*AB9*(V9/1.5),IF(N9="ВП",ВПр*AB9*(V9/1.5),IF(N9="РПА",РПА*AB9*(V9/1.5),IF(N9="КПА",кпа*AB9*(V9/1.5),0))))</f>
        <v>0</v>
      </c>
      <c r="AX9" s="48">
        <f t="shared" si="22"/>
        <v>0</v>
      </c>
      <c r="AY9" s="48">
        <f t="shared" si="23"/>
        <v>0</v>
      </c>
      <c r="AZ9" s="48">
        <f t="shared" si="24"/>
        <v>0</v>
      </c>
      <c r="BA9" s="48">
        <f t="shared" si="25"/>
        <v>0</v>
      </c>
      <c r="BB9" s="48">
        <f t="shared" si="26"/>
        <v>0</v>
      </c>
      <c r="BC9" s="48">
        <f t="shared" si="27"/>
        <v>0</v>
      </c>
      <c r="BD9" s="48">
        <f t="shared" si="28"/>
        <v>0</v>
      </c>
      <c r="BE9" s="48">
        <f t="shared" si="29"/>
        <v>0</v>
      </c>
      <c r="BF9" s="49">
        <f t="shared" si="30"/>
        <v>34.5</v>
      </c>
      <c r="BG9" s="50"/>
      <c r="BH9" s="51">
        <f t="shared" si="31"/>
        <v>34.5</v>
      </c>
      <c r="BI9" s="51">
        <f t="shared" si="32"/>
        <v>1</v>
      </c>
      <c r="BJ9" s="51">
        <f t="shared" si="33"/>
        <v>0</v>
      </c>
      <c r="BK9" s="52">
        <f t="shared" si="34"/>
        <v>0</v>
      </c>
      <c r="BL9" s="52">
        <f t="shared" si="35"/>
        <v>0</v>
      </c>
      <c r="BM9" s="52">
        <f t="shared" si="36"/>
        <v>0</v>
      </c>
    </row>
    <row r="10" spans="1:65" ht="30" customHeight="1" x14ac:dyDescent="0.25">
      <c r="A10" s="31" t="str">
        <f t="shared" si="2"/>
        <v>Д</v>
      </c>
      <c r="B10" s="31" t="str">
        <f t="shared" si="3"/>
        <v>Б</v>
      </c>
      <c r="C10" s="32" t="s">
        <v>75</v>
      </c>
      <c r="D10" s="33" t="str">
        <f t="shared" si="4"/>
        <v>Факультет физико-математических и естественных наук</v>
      </c>
      <c r="E10" s="34" t="str">
        <f t="shared" si="5"/>
        <v>'09.03.03</v>
      </c>
      <c r="F10" s="35" t="str">
        <f t="shared" si="6"/>
        <v>Прикладная информатика</v>
      </c>
      <c r="G10" s="36" t="s">
        <v>76</v>
      </c>
      <c r="H10" s="36" t="s">
        <v>77</v>
      </c>
      <c r="I10" s="37" t="s">
        <v>90</v>
      </c>
      <c r="J10" s="37"/>
      <c r="K10" s="38" t="s">
        <v>91</v>
      </c>
      <c r="L10" s="39">
        <v>1</v>
      </c>
      <c r="M10" s="39">
        <v>18</v>
      </c>
      <c r="N10" s="40" t="s">
        <v>79</v>
      </c>
      <c r="O10" s="39">
        <v>2</v>
      </c>
      <c r="P10" s="39"/>
      <c r="Q10" s="39"/>
      <c r="R10" s="40"/>
      <c r="S10" s="41"/>
      <c r="T10" s="41"/>
      <c r="U10" s="41"/>
      <c r="V10" s="41"/>
      <c r="W10" s="41"/>
      <c r="X10" s="42" t="str">
        <f t="shared" si="7"/>
        <v>НПИбд</v>
      </c>
      <c r="Y10" s="43" t="s">
        <v>92</v>
      </c>
      <c r="Z10" s="39">
        <v>6</v>
      </c>
      <c r="AA10" s="127">
        <f>AB10/24</f>
        <v>2.9166666666666665</v>
      </c>
      <c r="AB10" s="42">
        <f t="shared" si="8"/>
        <v>70</v>
      </c>
      <c r="AC10" s="39">
        <v>55</v>
      </c>
      <c r="AD10" s="39">
        <v>15</v>
      </c>
      <c r="AE10" s="44">
        <f t="shared" si="9"/>
        <v>70</v>
      </c>
      <c r="AF10" s="45">
        <f t="shared" si="10"/>
        <v>1</v>
      </c>
      <c r="AG10" s="45">
        <f t="shared" si="11"/>
        <v>1</v>
      </c>
      <c r="AH10" s="46" t="s">
        <v>82</v>
      </c>
      <c r="AI10" s="40" t="s">
        <v>83</v>
      </c>
      <c r="AJ10" s="40" t="s">
        <v>84</v>
      </c>
      <c r="AK10" s="47" t="s">
        <v>93</v>
      </c>
      <c r="AL10" s="40"/>
      <c r="AM10" s="48">
        <f t="shared" si="12"/>
        <v>36</v>
      </c>
      <c r="AN10" s="48">
        <f t="shared" si="13"/>
        <v>0</v>
      </c>
      <c r="AO10" s="48">
        <f t="shared" si="14"/>
        <v>0</v>
      </c>
      <c r="AP10" s="48">
        <f t="shared" si="15"/>
        <v>0</v>
      </c>
      <c r="AQ10" s="48">
        <f t="shared" si="16"/>
        <v>0</v>
      </c>
      <c r="AR10" s="48">
        <f t="shared" si="17"/>
        <v>0</v>
      </c>
      <c r="AS10" s="48">
        <f t="shared" si="18"/>
        <v>5.25</v>
      </c>
      <c r="AT10" s="48">
        <f t="shared" si="19"/>
        <v>0</v>
      </c>
      <c r="AU10" s="48">
        <f t="shared" si="20"/>
        <v>0</v>
      </c>
      <c r="AV10" s="48">
        <f t="shared" si="21"/>
        <v>0</v>
      </c>
      <c r="AW10" s="48">
        <f>IF(N10="ПП",РПП*AB10*(V10/1.5),IF(N10="ВП",ВПр*AB10*(V10/1.5),IF(N10="РПА",РПА*AB10*(V10/1.5),IF(N10="КПА",кпа*AB10*(V10/1.5),0))))</f>
        <v>0</v>
      </c>
      <c r="AX10" s="48">
        <f t="shared" si="22"/>
        <v>0</v>
      </c>
      <c r="AY10" s="48">
        <f t="shared" si="23"/>
        <v>0</v>
      </c>
      <c r="AZ10" s="48">
        <f t="shared" si="24"/>
        <v>0</v>
      </c>
      <c r="BA10" s="48">
        <f t="shared" si="25"/>
        <v>0</v>
      </c>
      <c r="BB10" s="48">
        <f t="shared" si="26"/>
        <v>0</v>
      </c>
      <c r="BC10" s="48">
        <f t="shared" si="27"/>
        <v>0</v>
      </c>
      <c r="BD10" s="48">
        <f t="shared" si="28"/>
        <v>0</v>
      </c>
      <c r="BE10" s="48">
        <f t="shared" si="29"/>
        <v>0</v>
      </c>
      <c r="BF10" s="49">
        <f t="shared" si="30"/>
        <v>41.25</v>
      </c>
      <c r="BG10" s="50"/>
      <c r="BH10" s="51">
        <f t="shared" si="31"/>
        <v>36</v>
      </c>
      <c r="BI10" s="51">
        <f t="shared" si="32"/>
        <v>1</v>
      </c>
      <c r="BJ10" s="51">
        <f t="shared" si="33"/>
        <v>5.25</v>
      </c>
      <c r="BK10" s="52">
        <f t="shared" si="34"/>
        <v>0</v>
      </c>
      <c r="BL10" s="52">
        <f t="shared" si="35"/>
        <v>0</v>
      </c>
      <c r="BM10" s="52">
        <f t="shared" si="36"/>
        <v>0</v>
      </c>
    </row>
    <row r="11" spans="1:65" ht="30" customHeight="1" x14ac:dyDescent="0.25">
      <c r="A11" s="31" t="str">
        <f t="shared" si="2"/>
        <v>Д</v>
      </c>
      <c r="B11" s="31" t="str">
        <f t="shared" si="3"/>
        <v>Б</v>
      </c>
      <c r="C11" s="32" t="s">
        <v>75</v>
      </c>
      <c r="D11" s="33" t="str">
        <f t="shared" si="4"/>
        <v>Факультет физико-математических и естественных наук</v>
      </c>
      <c r="E11" s="34" t="str">
        <f t="shared" si="5"/>
        <v>'09.03.03</v>
      </c>
      <c r="F11" s="35" t="str">
        <f t="shared" si="6"/>
        <v>Прикладная информатика</v>
      </c>
      <c r="G11" s="36" t="s">
        <v>76</v>
      </c>
      <c r="H11" s="36" t="s">
        <v>77</v>
      </c>
      <c r="I11" s="37" t="s">
        <v>90</v>
      </c>
      <c r="J11" s="37"/>
      <c r="K11" s="38" t="s">
        <v>91</v>
      </c>
      <c r="L11" s="39">
        <v>1</v>
      </c>
      <c r="M11" s="39">
        <v>18</v>
      </c>
      <c r="N11" s="40" t="s">
        <v>94</v>
      </c>
      <c r="O11" s="39"/>
      <c r="P11" s="39">
        <v>2</v>
      </c>
      <c r="Q11" s="39"/>
      <c r="R11" s="40" t="s">
        <v>95</v>
      </c>
      <c r="S11" s="41"/>
      <c r="T11" s="41"/>
      <c r="U11" s="41"/>
      <c r="V11" s="41"/>
      <c r="W11" s="41"/>
      <c r="X11" s="42" t="str">
        <f t="shared" si="7"/>
        <v>НПИбд</v>
      </c>
      <c r="Y11" s="43" t="s">
        <v>87</v>
      </c>
      <c r="Z11" s="39">
        <v>1</v>
      </c>
      <c r="AA11" s="39">
        <v>1</v>
      </c>
      <c r="AB11" s="42">
        <f t="shared" si="8"/>
        <v>24</v>
      </c>
      <c r="AC11" s="39">
        <v>19</v>
      </c>
      <c r="AD11" s="39">
        <v>5</v>
      </c>
      <c r="AE11" s="44">
        <f t="shared" si="9"/>
        <v>12</v>
      </c>
      <c r="AF11" s="45">
        <f t="shared" si="10"/>
        <v>1</v>
      </c>
      <c r="AG11" s="45">
        <f t="shared" si="11"/>
        <v>2</v>
      </c>
      <c r="AH11" s="46" t="s">
        <v>82</v>
      </c>
      <c r="AI11" s="40" t="s">
        <v>83</v>
      </c>
      <c r="AJ11" s="40" t="s">
        <v>84</v>
      </c>
      <c r="AK11" s="47" t="s">
        <v>93</v>
      </c>
      <c r="AL11" s="40"/>
      <c r="AM11" s="48">
        <f t="shared" si="12"/>
        <v>0</v>
      </c>
      <c r="AN11" s="48">
        <f t="shared" si="13"/>
        <v>0</v>
      </c>
      <c r="AO11" s="48">
        <f t="shared" si="14"/>
        <v>36</v>
      </c>
      <c r="AP11" s="48">
        <f t="shared" si="15"/>
        <v>7.92</v>
      </c>
      <c r="AQ11" s="48">
        <f t="shared" si="16"/>
        <v>12</v>
      </c>
      <c r="AR11" s="48">
        <f t="shared" si="17"/>
        <v>1</v>
      </c>
      <c r="AS11" s="48">
        <f t="shared" si="18"/>
        <v>0</v>
      </c>
      <c r="AT11" s="48">
        <f t="shared" si="19"/>
        <v>0</v>
      </c>
      <c r="AU11" s="48">
        <f t="shared" si="20"/>
        <v>0</v>
      </c>
      <c r="AV11" s="48">
        <f t="shared" si="21"/>
        <v>0</v>
      </c>
      <c r="AW11" s="48">
        <f>IF(N11="ПП",РПП*AB11*(V11/1.5),IF(N11="ВП",ВПр*AB11*(V11/1.5),IF(N11="РПА",РПА*AB11*(V11/1.5),IF(N11="КПА",кпа*AB11*(V11/1.5),0))))</f>
        <v>0</v>
      </c>
      <c r="AX11" s="48">
        <f t="shared" si="22"/>
        <v>0</v>
      </c>
      <c r="AY11" s="48">
        <f t="shared" si="23"/>
        <v>0</v>
      </c>
      <c r="AZ11" s="48">
        <f t="shared" si="24"/>
        <v>0</v>
      </c>
      <c r="BA11" s="48">
        <f t="shared" si="25"/>
        <v>0</v>
      </c>
      <c r="BB11" s="48">
        <f t="shared" si="26"/>
        <v>0</v>
      </c>
      <c r="BC11" s="48">
        <f t="shared" si="27"/>
        <v>0</v>
      </c>
      <c r="BD11" s="48">
        <f t="shared" si="28"/>
        <v>0</v>
      </c>
      <c r="BE11" s="48">
        <f t="shared" si="29"/>
        <v>0</v>
      </c>
      <c r="BF11" s="49">
        <f t="shared" si="30"/>
        <v>56.92</v>
      </c>
      <c r="BG11" s="50"/>
      <c r="BH11" s="51">
        <f t="shared" si="31"/>
        <v>36</v>
      </c>
      <c r="BI11" s="51">
        <f t="shared" si="32"/>
        <v>1</v>
      </c>
      <c r="BJ11" s="51">
        <f t="shared" si="33"/>
        <v>20.92</v>
      </c>
      <c r="BK11" s="52">
        <f t="shared" si="34"/>
        <v>0</v>
      </c>
      <c r="BL11" s="52">
        <f t="shared" si="35"/>
        <v>0</v>
      </c>
      <c r="BM11" s="52">
        <f t="shared" si="36"/>
        <v>0</v>
      </c>
    </row>
    <row r="12" spans="1:65" ht="30" customHeight="1" x14ac:dyDescent="0.25">
      <c r="A12" s="31" t="str">
        <f t="shared" si="2"/>
        <v>Д</v>
      </c>
      <c r="B12" s="31" t="str">
        <f t="shared" si="3"/>
        <v>Б</v>
      </c>
      <c r="C12" s="32" t="s">
        <v>75</v>
      </c>
      <c r="D12" s="33" t="str">
        <f t="shared" si="4"/>
        <v>Факультет физико-математических и естественных наук</v>
      </c>
      <c r="E12" s="34" t="str">
        <f t="shared" si="5"/>
        <v>'09.03.03</v>
      </c>
      <c r="F12" s="35" t="str">
        <f t="shared" si="6"/>
        <v>Прикладная информатика</v>
      </c>
      <c r="G12" s="36" t="s">
        <v>76</v>
      </c>
      <c r="H12" s="36" t="s">
        <v>77</v>
      </c>
      <c r="I12" s="37" t="s">
        <v>90</v>
      </c>
      <c r="J12" s="37"/>
      <c r="K12" s="38" t="s">
        <v>91</v>
      </c>
      <c r="L12" s="39">
        <v>1</v>
      </c>
      <c r="M12" s="39">
        <v>18</v>
      </c>
      <c r="N12" s="40" t="s">
        <v>94</v>
      </c>
      <c r="O12" s="39"/>
      <c r="P12" s="39">
        <v>2</v>
      </c>
      <c r="Q12" s="39"/>
      <c r="R12" s="40" t="s">
        <v>95</v>
      </c>
      <c r="S12" s="41"/>
      <c r="T12" s="41"/>
      <c r="U12" s="41"/>
      <c r="V12" s="41"/>
      <c r="W12" s="41"/>
      <c r="X12" s="42" t="str">
        <f t="shared" si="7"/>
        <v>НПИбд</v>
      </c>
      <c r="Y12" s="43" t="s">
        <v>87</v>
      </c>
      <c r="Z12" s="39">
        <v>1</v>
      </c>
      <c r="AA12" s="39">
        <v>1</v>
      </c>
      <c r="AB12" s="42">
        <f t="shared" si="8"/>
        <v>0</v>
      </c>
      <c r="AC12" s="39"/>
      <c r="AD12" s="39"/>
      <c r="AE12" s="44">
        <f t="shared" si="9"/>
        <v>12</v>
      </c>
      <c r="AF12" s="45">
        <f t="shared" si="10"/>
        <v>0</v>
      </c>
      <c r="AG12" s="45">
        <f t="shared" si="11"/>
        <v>0</v>
      </c>
      <c r="AH12" s="46" t="s">
        <v>82</v>
      </c>
      <c r="AI12" s="40" t="s">
        <v>83</v>
      </c>
      <c r="AJ12" s="40" t="s">
        <v>84</v>
      </c>
      <c r="AK12" s="47" t="s">
        <v>93</v>
      </c>
      <c r="AL12" s="40"/>
      <c r="AM12" s="48">
        <f t="shared" si="12"/>
        <v>0</v>
      </c>
      <c r="AN12" s="48">
        <f t="shared" si="13"/>
        <v>0</v>
      </c>
      <c r="AO12" s="48">
        <f t="shared" si="14"/>
        <v>0</v>
      </c>
      <c r="AP12" s="48">
        <f t="shared" si="15"/>
        <v>0</v>
      </c>
      <c r="AQ12" s="48">
        <f t="shared" si="16"/>
        <v>0</v>
      </c>
      <c r="AR12" s="48">
        <f t="shared" si="17"/>
        <v>0</v>
      </c>
      <c r="AS12" s="48">
        <f t="shared" si="18"/>
        <v>0</v>
      </c>
      <c r="AT12" s="48">
        <f t="shared" si="19"/>
        <v>0</v>
      </c>
      <c r="AU12" s="48">
        <f t="shared" si="20"/>
        <v>0</v>
      </c>
      <c r="AV12" s="48">
        <f t="shared" si="21"/>
        <v>0</v>
      </c>
      <c r="AW12" s="48">
        <f>IF(N12="ПП",РПП*AB12*(V12/1.5),IF(N12="ВП",ВПр*AB12*(V12/1.5),IF(N12="РПА",РПА*AB12*(V12/1.5),IF(N12="КПА",кпа*AB12*(V12/1.5),0))))</f>
        <v>0</v>
      </c>
      <c r="AX12" s="48">
        <f t="shared" si="22"/>
        <v>0</v>
      </c>
      <c r="AY12" s="48">
        <f t="shared" si="23"/>
        <v>0</v>
      </c>
      <c r="AZ12" s="48">
        <f t="shared" si="24"/>
        <v>0</v>
      </c>
      <c r="BA12" s="48">
        <f t="shared" si="25"/>
        <v>0</v>
      </c>
      <c r="BB12" s="48">
        <f t="shared" si="26"/>
        <v>0</v>
      </c>
      <c r="BC12" s="48">
        <f t="shared" si="27"/>
        <v>0</v>
      </c>
      <c r="BD12" s="48">
        <f t="shared" si="28"/>
        <v>0</v>
      </c>
      <c r="BE12" s="48">
        <f t="shared" si="29"/>
        <v>0</v>
      </c>
      <c r="BF12" s="49">
        <f t="shared" si="30"/>
        <v>0</v>
      </c>
      <c r="BG12" s="50"/>
      <c r="BH12" s="51">
        <f t="shared" si="31"/>
        <v>0</v>
      </c>
      <c r="BI12" s="51">
        <f t="shared" si="32"/>
        <v>0</v>
      </c>
      <c r="BJ12" s="51">
        <f t="shared" si="33"/>
        <v>0</v>
      </c>
      <c r="BK12" s="52">
        <f t="shared" si="34"/>
        <v>0</v>
      </c>
      <c r="BL12" s="52">
        <f t="shared" si="35"/>
        <v>0</v>
      </c>
      <c r="BM12" s="52">
        <f t="shared" si="36"/>
        <v>0</v>
      </c>
    </row>
    <row r="13" spans="1:65" ht="30" customHeight="1" x14ac:dyDescent="0.25">
      <c r="A13" s="31" t="str">
        <f t="shared" si="2"/>
        <v>Д</v>
      </c>
      <c r="B13" s="31" t="str">
        <f t="shared" si="3"/>
        <v>Б</v>
      </c>
      <c r="C13" s="32" t="s">
        <v>75</v>
      </c>
      <c r="D13" s="33" t="str">
        <f t="shared" si="4"/>
        <v>Факультет физико-математических и естественных наук</v>
      </c>
      <c r="E13" s="34" t="str">
        <f t="shared" si="5"/>
        <v>'09.03.03</v>
      </c>
      <c r="F13" s="35" t="str">
        <f t="shared" si="6"/>
        <v>Прикладная информатика</v>
      </c>
      <c r="G13" s="36" t="s">
        <v>76</v>
      </c>
      <c r="H13" s="36" t="s">
        <v>77</v>
      </c>
      <c r="I13" s="37" t="s">
        <v>90</v>
      </c>
      <c r="J13" s="37"/>
      <c r="K13" s="38" t="s">
        <v>91</v>
      </c>
      <c r="L13" s="39">
        <v>1</v>
      </c>
      <c r="M13" s="39">
        <v>18</v>
      </c>
      <c r="N13" s="40" t="s">
        <v>94</v>
      </c>
      <c r="O13" s="39"/>
      <c r="P13" s="39">
        <v>2</v>
      </c>
      <c r="Q13" s="39"/>
      <c r="R13" s="40" t="s">
        <v>95</v>
      </c>
      <c r="S13" s="41"/>
      <c r="T13" s="41"/>
      <c r="U13" s="41"/>
      <c r="V13" s="41"/>
      <c r="W13" s="41"/>
      <c r="X13" s="42" t="str">
        <f t="shared" si="7"/>
        <v>НПИбд</v>
      </c>
      <c r="Y13" s="43" t="s">
        <v>88</v>
      </c>
      <c r="Z13" s="39">
        <v>1</v>
      </c>
      <c r="AA13" s="39">
        <v>1</v>
      </c>
      <c r="AB13" s="42">
        <f t="shared" si="8"/>
        <v>23</v>
      </c>
      <c r="AC13" s="39">
        <v>18</v>
      </c>
      <c r="AD13" s="39">
        <v>5</v>
      </c>
      <c r="AE13" s="44">
        <f t="shared" si="9"/>
        <v>12</v>
      </c>
      <c r="AF13" s="45">
        <f t="shared" si="10"/>
        <v>1</v>
      </c>
      <c r="AG13" s="45">
        <f t="shared" si="11"/>
        <v>1.9166666666666667</v>
      </c>
      <c r="AH13" s="46" t="s">
        <v>82</v>
      </c>
      <c r="AI13" s="40" t="s">
        <v>83</v>
      </c>
      <c r="AJ13" s="40" t="s">
        <v>84</v>
      </c>
      <c r="AK13" s="47" t="s">
        <v>93</v>
      </c>
      <c r="AL13" s="40"/>
      <c r="AM13" s="48">
        <f t="shared" si="12"/>
        <v>0</v>
      </c>
      <c r="AN13" s="48">
        <f t="shared" si="13"/>
        <v>0</v>
      </c>
      <c r="AO13" s="48">
        <f t="shared" si="14"/>
        <v>36</v>
      </c>
      <c r="AP13" s="48">
        <f t="shared" si="15"/>
        <v>7.5900000000000007</v>
      </c>
      <c r="AQ13" s="48">
        <f t="shared" si="16"/>
        <v>11.5</v>
      </c>
      <c r="AR13" s="48">
        <f t="shared" si="17"/>
        <v>1</v>
      </c>
      <c r="AS13" s="48">
        <f t="shared" si="18"/>
        <v>0</v>
      </c>
      <c r="AT13" s="48">
        <f t="shared" si="19"/>
        <v>0</v>
      </c>
      <c r="AU13" s="48">
        <f t="shared" si="20"/>
        <v>0</v>
      </c>
      <c r="AV13" s="48">
        <f t="shared" si="21"/>
        <v>0</v>
      </c>
      <c r="AW13" s="48">
        <f>IF(N13="ПП",РПП*AB13*(V13/1.5),IF(N13="ВП",ВПр*AB13*(V13/1.5),IF(N13="РПА",РПА*AB13*(V13/1.5),IF(N13="КПА",кпа*AB13*(V13/1.5),0))))</f>
        <v>0</v>
      </c>
      <c r="AX13" s="48">
        <f t="shared" si="22"/>
        <v>0</v>
      </c>
      <c r="AY13" s="48">
        <f t="shared" si="23"/>
        <v>0</v>
      </c>
      <c r="AZ13" s="48">
        <f t="shared" si="24"/>
        <v>0</v>
      </c>
      <c r="BA13" s="48">
        <f t="shared" si="25"/>
        <v>0</v>
      </c>
      <c r="BB13" s="48">
        <f t="shared" si="26"/>
        <v>0</v>
      </c>
      <c r="BC13" s="48">
        <f t="shared" si="27"/>
        <v>0</v>
      </c>
      <c r="BD13" s="48">
        <f t="shared" si="28"/>
        <v>0</v>
      </c>
      <c r="BE13" s="48">
        <f t="shared" si="29"/>
        <v>0</v>
      </c>
      <c r="BF13" s="49">
        <f t="shared" si="30"/>
        <v>56.09</v>
      </c>
      <c r="BG13" s="50"/>
      <c r="BH13" s="51">
        <f t="shared" si="31"/>
        <v>36</v>
      </c>
      <c r="BI13" s="51">
        <f t="shared" si="32"/>
        <v>1</v>
      </c>
      <c r="BJ13" s="51">
        <f t="shared" si="33"/>
        <v>20.09</v>
      </c>
      <c r="BK13" s="52">
        <f t="shared" si="34"/>
        <v>0</v>
      </c>
      <c r="BL13" s="52">
        <f t="shared" si="35"/>
        <v>0</v>
      </c>
      <c r="BM13" s="52">
        <f t="shared" si="36"/>
        <v>0</v>
      </c>
    </row>
    <row r="14" spans="1:65" ht="30" customHeight="1" x14ac:dyDescent="0.25">
      <c r="A14" s="31" t="str">
        <f t="shared" si="2"/>
        <v>Д</v>
      </c>
      <c r="B14" s="31" t="str">
        <f t="shared" si="3"/>
        <v>Б</v>
      </c>
      <c r="C14" s="32" t="s">
        <v>75</v>
      </c>
      <c r="D14" s="33" t="str">
        <f t="shared" si="4"/>
        <v>Факультет физико-математических и естественных наук</v>
      </c>
      <c r="E14" s="34" t="str">
        <f t="shared" si="5"/>
        <v>'09.03.03</v>
      </c>
      <c r="F14" s="35" t="str">
        <f t="shared" si="6"/>
        <v>Прикладная информатика</v>
      </c>
      <c r="G14" s="36" t="s">
        <v>76</v>
      </c>
      <c r="H14" s="36" t="s">
        <v>77</v>
      </c>
      <c r="I14" s="37" t="s">
        <v>90</v>
      </c>
      <c r="J14" s="37"/>
      <c r="K14" s="38" t="s">
        <v>91</v>
      </c>
      <c r="L14" s="39">
        <v>1</v>
      </c>
      <c r="M14" s="39">
        <v>18</v>
      </c>
      <c r="N14" s="40" t="s">
        <v>94</v>
      </c>
      <c r="O14" s="39"/>
      <c r="P14" s="39">
        <v>2</v>
      </c>
      <c r="Q14" s="39"/>
      <c r="R14" s="40" t="s">
        <v>95</v>
      </c>
      <c r="S14" s="41"/>
      <c r="T14" s="41"/>
      <c r="U14" s="41"/>
      <c r="V14" s="41"/>
      <c r="W14" s="41"/>
      <c r="X14" s="42" t="str">
        <f t="shared" si="7"/>
        <v>НПИбд</v>
      </c>
      <c r="Y14" s="43" t="s">
        <v>88</v>
      </c>
      <c r="Z14" s="39">
        <v>1</v>
      </c>
      <c r="AA14" s="39">
        <v>1</v>
      </c>
      <c r="AB14" s="42">
        <f t="shared" si="8"/>
        <v>0</v>
      </c>
      <c r="AC14" s="39"/>
      <c r="AD14" s="39"/>
      <c r="AE14" s="44">
        <f t="shared" si="9"/>
        <v>12</v>
      </c>
      <c r="AF14" s="45">
        <f t="shared" si="10"/>
        <v>0</v>
      </c>
      <c r="AG14" s="45">
        <f t="shared" si="11"/>
        <v>0</v>
      </c>
      <c r="AH14" s="46" t="s">
        <v>82</v>
      </c>
      <c r="AI14" s="40" t="s">
        <v>83</v>
      </c>
      <c r="AJ14" s="40" t="s">
        <v>84</v>
      </c>
      <c r="AK14" s="47" t="s">
        <v>93</v>
      </c>
      <c r="AL14" s="40"/>
      <c r="AM14" s="48">
        <f t="shared" si="12"/>
        <v>0</v>
      </c>
      <c r="AN14" s="48">
        <f t="shared" si="13"/>
        <v>0</v>
      </c>
      <c r="AO14" s="48">
        <f t="shared" si="14"/>
        <v>0</v>
      </c>
      <c r="AP14" s="48">
        <f t="shared" si="15"/>
        <v>0</v>
      </c>
      <c r="AQ14" s="48">
        <f t="shared" si="16"/>
        <v>0</v>
      </c>
      <c r="AR14" s="48">
        <f t="shared" si="17"/>
        <v>0</v>
      </c>
      <c r="AS14" s="48">
        <f t="shared" si="18"/>
        <v>0</v>
      </c>
      <c r="AT14" s="48">
        <f t="shared" si="19"/>
        <v>0</v>
      </c>
      <c r="AU14" s="48">
        <f t="shared" si="20"/>
        <v>0</v>
      </c>
      <c r="AV14" s="48">
        <f t="shared" si="21"/>
        <v>0</v>
      </c>
      <c r="AW14" s="48">
        <f>IF(N14="ПП",РПП*AB14*(V14/1.5),IF(N14="ВП",ВПр*AB14*(V14/1.5),IF(N14="РПА",РПА*AB14*(V14/1.5),IF(N14="КПА",кпа*AB14*(V14/1.5),0))))</f>
        <v>0</v>
      </c>
      <c r="AX14" s="48">
        <f t="shared" si="22"/>
        <v>0</v>
      </c>
      <c r="AY14" s="48">
        <f t="shared" si="23"/>
        <v>0</v>
      </c>
      <c r="AZ14" s="48">
        <f t="shared" si="24"/>
        <v>0</v>
      </c>
      <c r="BA14" s="48">
        <f t="shared" si="25"/>
        <v>0</v>
      </c>
      <c r="BB14" s="48">
        <f t="shared" si="26"/>
        <v>0</v>
      </c>
      <c r="BC14" s="48">
        <f t="shared" si="27"/>
        <v>0</v>
      </c>
      <c r="BD14" s="48">
        <f t="shared" si="28"/>
        <v>0</v>
      </c>
      <c r="BE14" s="48">
        <f t="shared" si="29"/>
        <v>0</v>
      </c>
      <c r="BF14" s="49">
        <f t="shared" si="30"/>
        <v>0</v>
      </c>
      <c r="BG14" s="50"/>
      <c r="BH14" s="51">
        <f t="shared" si="31"/>
        <v>0</v>
      </c>
      <c r="BI14" s="51">
        <f t="shared" si="32"/>
        <v>0</v>
      </c>
      <c r="BJ14" s="51">
        <f t="shared" si="33"/>
        <v>0</v>
      </c>
      <c r="BK14" s="52">
        <f t="shared" si="34"/>
        <v>0</v>
      </c>
      <c r="BL14" s="52">
        <f t="shared" si="35"/>
        <v>0</v>
      </c>
      <c r="BM14" s="52">
        <f t="shared" si="36"/>
        <v>0</v>
      </c>
    </row>
    <row r="15" spans="1:65" ht="30" customHeight="1" x14ac:dyDescent="0.25">
      <c r="A15" s="31" t="str">
        <f t="shared" si="2"/>
        <v>Д</v>
      </c>
      <c r="B15" s="31" t="str">
        <f t="shared" si="3"/>
        <v>Б</v>
      </c>
      <c r="C15" s="32" t="s">
        <v>75</v>
      </c>
      <c r="D15" s="33" t="str">
        <f t="shared" si="4"/>
        <v>Факультет физико-математических и естественных наук</v>
      </c>
      <c r="E15" s="34" t="str">
        <f t="shared" si="5"/>
        <v>'09.03.03</v>
      </c>
      <c r="F15" s="35" t="str">
        <f t="shared" si="6"/>
        <v>Прикладная информатика</v>
      </c>
      <c r="G15" s="36" t="s">
        <v>76</v>
      </c>
      <c r="H15" s="36" t="s">
        <v>77</v>
      </c>
      <c r="I15" s="37" t="s">
        <v>90</v>
      </c>
      <c r="J15" s="37"/>
      <c r="K15" s="38" t="s">
        <v>91</v>
      </c>
      <c r="L15" s="39">
        <v>1</v>
      </c>
      <c r="M15" s="39">
        <v>18</v>
      </c>
      <c r="N15" s="40" t="s">
        <v>94</v>
      </c>
      <c r="O15" s="39"/>
      <c r="P15" s="39">
        <v>2</v>
      </c>
      <c r="Q15" s="39"/>
      <c r="R15" s="40" t="s">
        <v>95</v>
      </c>
      <c r="S15" s="41"/>
      <c r="T15" s="41"/>
      <c r="U15" s="41"/>
      <c r="V15" s="41"/>
      <c r="W15" s="41"/>
      <c r="X15" s="42" t="str">
        <f t="shared" si="7"/>
        <v>НПИбд</v>
      </c>
      <c r="Y15" s="43" t="s">
        <v>89</v>
      </c>
      <c r="Z15" s="39">
        <v>1</v>
      </c>
      <c r="AA15" s="39">
        <v>1</v>
      </c>
      <c r="AB15" s="42">
        <f t="shared" si="8"/>
        <v>23</v>
      </c>
      <c r="AC15" s="39">
        <v>18</v>
      </c>
      <c r="AD15" s="39">
        <v>5</v>
      </c>
      <c r="AE15" s="44">
        <f t="shared" si="9"/>
        <v>12</v>
      </c>
      <c r="AF15" s="45">
        <f t="shared" si="10"/>
        <v>1</v>
      </c>
      <c r="AG15" s="45">
        <f t="shared" si="11"/>
        <v>1.9166666666666667</v>
      </c>
      <c r="AH15" s="46" t="s">
        <v>82</v>
      </c>
      <c r="AI15" s="40" t="s">
        <v>83</v>
      </c>
      <c r="AJ15" s="40" t="s">
        <v>84</v>
      </c>
      <c r="AK15" s="53" t="s">
        <v>93</v>
      </c>
      <c r="AL15" s="40"/>
      <c r="AM15" s="48">
        <f t="shared" si="12"/>
        <v>0</v>
      </c>
      <c r="AN15" s="48">
        <f t="shared" si="13"/>
        <v>0</v>
      </c>
      <c r="AO15" s="48">
        <f t="shared" si="14"/>
        <v>36</v>
      </c>
      <c r="AP15" s="48">
        <f t="shared" si="15"/>
        <v>7.5900000000000007</v>
      </c>
      <c r="AQ15" s="48">
        <f t="shared" si="16"/>
        <v>11.5</v>
      </c>
      <c r="AR15" s="48">
        <f t="shared" si="17"/>
        <v>1</v>
      </c>
      <c r="AS15" s="48">
        <f t="shared" si="18"/>
        <v>0</v>
      </c>
      <c r="AT15" s="48">
        <f t="shared" si="19"/>
        <v>0</v>
      </c>
      <c r="AU15" s="48">
        <f t="shared" si="20"/>
        <v>0</v>
      </c>
      <c r="AV15" s="48">
        <f t="shared" si="21"/>
        <v>0</v>
      </c>
      <c r="AW15" s="48">
        <f>IF(N15="ПП",РПП*AB15*(V15/1.5),IF(N15="ВП",ВПр*AB15*(V15/1.5),IF(N15="РПА",РПА*AB15*(V15/1.5),IF(N15="КПА",кпа*AB15*(V15/1.5),0))))</f>
        <v>0</v>
      </c>
      <c r="AX15" s="48">
        <f t="shared" si="22"/>
        <v>0</v>
      </c>
      <c r="AY15" s="48">
        <f t="shared" si="23"/>
        <v>0</v>
      </c>
      <c r="AZ15" s="48">
        <f t="shared" si="24"/>
        <v>0</v>
      </c>
      <c r="BA15" s="48">
        <f t="shared" si="25"/>
        <v>0</v>
      </c>
      <c r="BB15" s="48">
        <f t="shared" si="26"/>
        <v>0</v>
      </c>
      <c r="BC15" s="48">
        <f t="shared" si="27"/>
        <v>0</v>
      </c>
      <c r="BD15" s="48">
        <f t="shared" si="28"/>
        <v>0</v>
      </c>
      <c r="BE15" s="48">
        <f t="shared" si="29"/>
        <v>0</v>
      </c>
      <c r="BF15" s="49">
        <f t="shared" si="30"/>
        <v>56.09</v>
      </c>
      <c r="BG15" s="50"/>
      <c r="BH15" s="51">
        <f t="shared" si="31"/>
        <v>36</v>
      </c>
      <c r="BI15" s="51">
        <f t="shared" si="32"/>
        <v>1</v>
      </c>
      <c r="BJ15" s="51">
        <f t="shared" si="33"/>
        <v>20.09</v>
      </c>
      <c r="BK15" s="52">
        <f t="shared" si="34"/>
        <v>0</v>
      </c>
      <c r="BL15" s="52">
        <f t="shared" si="35"/>
        <v>0</v>
      </c>
      <c r="BM15" s="52">
        <f t="shared" si="36"/>
        <v>0</v>
      </c>
    </row>
    <row r="16" spans="1:65" ht="30" customHeight="1" x14ac:dyDescent="0.25">
      <c r="A16" s="31" t="str">
        <f t="shared" si="2"/>
        <v>Д</v>
      </c>
      <c r="B16" s="31" t="str">
        <f t="shared" si="3"/>
        <v>Б</v>
      </c>
      <c r="C16" s="32" t="s">
        <v>75</v>
      </c>
      <c r="D16" s="33" t="str">
        <f t="shared" si="4"/>
        <v>Факультет физико-математических и естественных наук</v>
      </c>
      <c r="E16" s="34" t="str">
        <f t="shared" si="5"/>
        <v>'09.03.03</v>
      </c>
      <c r="F16" s="35" t="str">
        <f t="shared" si="6"/>
        <v>Прикладная информатика</v>
      </c>
      <c r="G16" s="36" t="s">
        <v>76</v>
      </c>
      <c r="H16" s="36" t="s">
        <v>77</v>
      </c>
      <c r="I16" s="37" t="s">
        <v>90</v>
      </c>
      <c r="J16" s="37"/>
      <c r="K16" s="38" t="s">
        <v>91</v>
      </c>
      <c r="L16" s="39">
        <v>1</v>
      </c>
      <c r="M16" s="39">
        <v>18</v>
      </c>
      <c r="N16" s="40" t="s">
        <v>94</v>
      </c>
      <c r="O16" s="39"/>
      <c r="P16" s="39">
        <v>2</v>
      </c>
      <c r="Q16" s="39"/>
      <c r="R16" s="40" t="s">
        <v>95</v>
      </c>
      <c r="S16" s="41"/>
      <c r="T16" s="41"/>
      <c r="U16" s="41"/>
      <c r="V16" s="41"/>
      <c r="W16" s="41"/>
      <c r="X16" s="42" t="str">
        <f t="shared" si="7"/>
        <v>НПИбд</v>
      </c>
      <c r="Y16" s="43" t="s">
        <v>89</v>
      </c>
      <c r="Z16" s="39">
        <v>1</v>
      </c>
      <c r="AA16" s="39">
        <v>1</v>
      </c>
      <c r="AB16" s="42">
        <f t="shared" si="8"/>
        <v>0</v>
      </c>
      <c r="AC16" s="39"/>
      <c r="AD16" s="39"/>
      <c r="AE16" s="44">
        <f t="shared" si="9"/>
        <v>12</v>
      </c>
      <c r="AF16" s="45">
        <f t="shared" si="10"/>
        <v>0</v>
      </c>
      <c r="AG16" s="45">
        <f t="shared" si="11"/>
        <v>0</v>
      </c>
      <c r="AH16" s="46" t="s">
        <v>82</v>
      </c>
      <c r="AI16" s="40" t="s">
        <v>83</v>
      </c>
      <c r="AJ16" s="40" t="s">
        <v>84</v>
      </c>
      <c r="AK16" s="47" t="s">
        <v>93</v>
      </c>
      <c r="AL16" s="40"/>
      <c r="AM16" s="48">
        <f t="shared" si="12"/>
        <v>0</v>
      </c>
      <c r="AN16" s="48">
        <f t="shared" si="13"/>
        <v>0</v>
      </c>
      <c r="AO16" s="48">
        <f t="shared" si="14"/>
        <v>0</v>
      </c>
      <c r="AP16" s="48">
        <f t="shared" si="15"/>
        <v>0</v>
      </c>
      <c r="AQ16" s="48">
        <f t="shared" si="16"/>
        <v>0</v>
      </c>
      <c r="AR16" s="48">
        <f t="shared" si="17"/>
        <v>0</v>
      </c>
      <c r="AS16" s="48">
        <f t="shared" si="18"/>
        <v>0</v>
      </c>
      <c r="AT16" s="48">
        <f t="shared" si="19"/>
        <v>0</v>
      </c>
      <c r="AU16" s="48">
        <f t="shared" si="20"/>
        <v>0</v>
      </c>
      <c r="AV16" s="48">
        <f t="shared" si="21"/>
        <v>0</v>
      </c>
      <c r="AW16" s="48">
        <f>IF(N16="ПП",РПП*AB16*(V16/1.5),IF(N16="ВП",ВПр*AB16*(V16/1.5),IF(N16="РПА",РПА*AB16*(V16/1.5),IF(N16="КПА",кпа*AB16*(V16/1.5),0))))</f>
        <v>0</v>
      </c>
      <c r="AX16" s="48">
        <f t="shared" si="22"/>
        <v>0</v>
      </c>
      <c r="AY16" s="48">
        <f t="shared" si="23"/>
        <v>0</v>
      </c>
      <c r="AZ16" s="48">
        <f t="shared" si="24"/>
        <v>0</v>
      </c>
      <c r="BA16" s="48">
        <f t="shared" si="25"/>
        <v>0</v>
      </c>
      <c r="BB16" s="48">
        <f t="shared" si="26"/>
        <v>0</v>
      </c>
      <c r="BC16" s="48">
        <f t="shared" si="27"/>
        <v>0</v>
      </c>
      <c r="BD16" s="48">
        <f t="shared" si="28"/>
        <v>0</v>
      </c>
      <c r="BE16" s="48">
        <f t="shared" si="29"/>
        <v>0</v>
      </c>
      <c r="BF16" s="49">
        <f t="shared" si="30"/>
        <v>0</v>
      </c>
      <c r="BG16" s="50"/>
      <c r="BH16" s="51">
        <f t="shared" si="31"/>
        <v>0</v>
      </c>
      <c r="BI16" s="51">
        <f t="shared" si="32"/>
        <v>0</v>
      </c>
      <c r="BJ16" s="51">
        <f t="shared" si="33"/>
        <v>0</v>
      </c>
      <c r="BK16" s="52">
        <f t="shared" si="34"/>
        <v>0</v>
      </c>
      <c r="BL16" s="52">
        <f t="shared" si="35"/>
        <v>0</v>
      </c>
      <c r="BM16" s="52">
        <f t="shared" si="36"/>
        <v>0</v>
      </c>
    </row>
    <row r="17" spans="1:65" ht="30" customHeight="1" x14ac:dyDescent="0.25">
      <c r="A17" s="31" t="str">
        <f t="shared" si="2"/>
        <v>Д</v>
      </c>
      <c r="B17" s="31" t="str">
        <f t="shared" si="3"/>
        <v>Б</v>
      </c>
      <c r="C17" s="32" t="s">
        <v>75</v>
      </c>
      <c r="D17" s="33" t="str">
        <f t="shared" si="4"/>
        <v>Факультет физико-математических и естественных наук</v>
      </c>
      <c r="E17" s="34" t="str">
        <f t="shared" si="5"/>
        <v>'09.03.03</v>
      </c>
      <c r="F17" s="35" t="str">
        <f t="shared" si="6"/>
        <v>Прикладная информатика</v>
      </c>
      <c r="G17" s="36" t="s">
        <v>76</v>
      </c>
      <c r="H17" s="36" t="s">
        <v>77</v>
      </c>
      <c r="I17" s="37"/>
      <c r="J17" s="37"/>
      <c r="K17" s="38" t="s">
        <v>96</v>
      </c>
      <c r="L17" s="39">
        <v>1</v>
      </c>
      <c r="M17" s="39">
        <v>18</v>
      </c>
      <c r="N17" s="40" t="s">
        <v>79</v>
      </c>
      <c r="O17" s="39">
        <v>2</v>
      </c>
      <c r="P17" s="39"/>
      <c r="Q17" s="39"/>
      <c r="R17" s="40" t="s">
        <v>80</v>
      </c>
      <c r="S17" s="41"/>
      <c r="T17" s="41"/>
      <c r="U17" s="41"/>
      <c r="V17" s="41"/>
      <c r="W17" s="41"/>
      <c r="X17" s="42" t="str">
        <f t="shared" si="7"/>
        <v>НПИбд</v>
      </c>
      <c r="Y17" s="43" t="s">
        <v>92</v>
      </c>
      <c r="Z17" s="39">
        <v>6</v>
      </c>
      <c r="AA17" s="39">
        <v>3</v>
      </c>
      <c r="AB17" s="42">
        <f t="shared" si="8"/>
        <v>70</v>
      </c>
      <c r="AC17" s="39">
        <v>55</v>
      </c>
      <c r="AD17" s="39">
        <v>15</v>
      </c>
      <c r="AE17" s="44">
        <f t="shared" si="9"/>
        <v>70</v>
      </c>
      <c r="AF17" s="45">
        <f t="shared" si="10"/>
        <v>1</v>
      </c>
      <c r="AG17" s="45">
        <f t="shared" si="11"/>
        <v>1</v>
      </c>
      <c r="AH17" s="46" t="s">
        <v>82</v>
      </c>
      <c r="AI17" s="40" t="s">
        <v>83</v>
      </c>
      <c r="AJ17" s="40" t="s">
        <v>84</v>
      </c>
      <c r="AK17" s="47" t="s">
        <v>97</v>
      </c>
      <c r="AL17" s="40"/>
      <c r="AM17" s="48">
        <f t="shared" si="12"/>
        <v>36</v>
      </c>
      <c r="AN17" s="48">
        <f t="shared" si="13"/>
        <v>0</v>
      </c>
      <c r="AO17" s="48">
        <f t="shared" si="14"/>
        <v>0</v>
      </c>
      <c r="AP17" s="48">
        <f t="shared" si="15"/>
        <v>23.1</v>
      </c>
      <c r="AQ17" s="48">
        <f t="shared" si="16"/>
        <v>35</v>
      </c>
      <c r="AR17" s="48">
        <f t="shared" si="17"/>
        <v>3</v>
      </c>
      <c r="AS17" s="48">
        <f t="shared" si="18"/>
        <v>5.4</v>
      </c>
      <c r="AT17" s="48">
        <f t="shared" si="19"/>
        <v>0</v>
      </c>
      <c r="AU17" s="48">
        <f t="shared" si="20"/>
        <v>0</v>
      </c>
      <c r="AV17" s="48">
        <f t="shared" si="21"/>
        <v>0</v>
      </c>
      <c r="AW17" s="48">
        <f>IF(N17="ПП",РПП*AB17*(V17/1.5),IF(N17="ВП",ВПр*AB17*(V17/1.5),IF(N17="РПА",РПА*AB17*(V17/1.5),IF(N17="КПА",кпа*AB17*(V17/1.5),0))))</f>
        <v>0</v>
      </c>
      <c r="AX17" s="48">
        <f t="shared" si="22"/>
        <v>0</v>
      </c>
      <c r="AY17" s="48">
        <f t="shared" si="23"/>
        <v>0</v>
      </c>
      <c r="AZ17" s="48">
        <f t="shared" si="24"/>
        <v>0</v>
      </c>
      <c r="BA17" s="48">
        <f t="shared" si="25"/>
        <v>0</v>
      </c>
      <c r="BB17" s="48">
        <f t="shared" si="26"/>
        <v>0</v>
      </c>
      <c r="BC17" s="48">
        <f t="shared" si="27"/>
        <v>0</v>
      </c>
      <c r="BD17" s="48">
        <f t="shared" si="28"/>
        <v>0</v>
      </c>
      <c r="BE17" s="48">
        <f t="shared" si="29"/>
        <v>0</v>
      </c>
      <c r="BF17" s="49">
        <f t="shared" si="30"/>
        <v>102.5</v>
      </c>
      <c r="BG17" s="50"/>
      <c r="BH17" s="51">
        <f t="shared" si="31"/>
        <v>36</v>
      </c>
      <c r="BI17" s="51">
        <f t="shared" si="32"/>
        <v>1</v>
      </c>
      <c r="BJ17" s="51">
        <f t="shared" si="33"/>
        <v>66.5</v>
      </c>
      <c r="BK17" s="52">
        <f t="shared" si="34"/>
        <v>0</v>
      </c>
      <c r="BL17" s="52">
        <f t="shared" si="35"/>
        <v>0</v>
      </c>
      <c r="BM17" s="52">
        <f t="shared" si="36"/>
        <v>0</v>
      </c>
    </row>
    <row r="18" spans="1:65" ht="30" customHeight="1" x14ac:dyDescent="0.25">
      <c r="A18" s="31" t="str">
        <f t="shared" si="2"/>
        <v>Д</v>
      </c>
      <c r="B18" s="31" t="str">
        <f t="shared" si="3"/>
        <v>Б</v>
      </c>
      <c r="C18" s="32" t="s">
        <v>75</v>
      </c>
      <c r="D18" s="33" t="str">
        <f t="shared" si="4"/>
        <v>Факультет физико-математических и естественных наук</v>
      </c>
      <c r="E18" s="34" t="str">
        <f t="shared" si="5"/>
        <v>'09.03.03</v>
      </c>
      <c r="F18" s="35" t="str">
        <f t="shared" si="6"/>
        <v>Прикладная информатика</v>
      </c>
      <c r="G18" s="36" t="s">
        <v>76</v>
      </c>
      <c r="H18" s="36" t="s">
        <v>77</v>
      </c>
      <c r="I18" s="37"/>
      <c r="J18" s="37"/>
      <c r="K18" s="38" t="s">
        <v>98</v>
      </c>
      <c r="L18" s="39">
        <v>1</v>
      </c>
      <c r="M18" s="39">
        <v>18</v>
      </c>
      <c r="N18" s="40" t="s">
        <v>94</v>
      </c>
      <c r="O18" s="39"/>
      <c r="P18" s="39">
        <v>2</v>
      </c>
      <c r="Q18" s="39"/>
      <c r="R18" s="40" t="s">
        <v>95</v>
      </c>
      <c r="S18" s="41"/>
      <c r="T18" s="41"/>
      <c r="U18" s="41"/>
      <c r="V18" s="41"/>
      <c r="W18" s="41"/>
      <c r="X18" s="42" t="str">
        <f t="shared" si="7"/>
        <v>НПИбд</v>
      </c>
      <c r="Y18" s="43" t="s">
        <v>87</v>
      </c>
      <c r="Z18" s="39">
        <v>1</v>
      </c>
      <c r="AA18" s="39">
        <v>1</v>
      </c>
      <c r="AB18" s="42">
        <f t="shared" si="8"/>
        <v>24</v>
      </c>
      <c r="AC18" s="39">
        <v>19</v>
      </c>
      <c r="AD18" s="39">
        <v>5</v>
      </c>
      <c r="AE18" s="44">
        <f t="shared" si="9"/>
        <v>12</v>
      </c>
      <c r="AF18" s="45">
        <f t="shared" si="10"/>
        <v>1</v>
      </c>
      <c r="AG18" s="45">
        <f t="shared" si="11"/>
        <v>2</v>
      </c>
      <c r="AH18" s="46" t="s">
        <v>82</v>
      </c>
      <c r="AI18" s="40" t="s">
        <v>99</v>
      </c>
      <c r="AJ18" s="40" t="s">
        <v>100</v>
      </c>
      <c r="AK18" s="47" t="s">
        <v>101</v>
      </c>
      <c r="AL18" s="40"/>
      <c r="AM18" s="48">
        <f t="shared" si="12"/>
        <v>0</v>
      </c>
      <c r="AN18" s="48">
        <f t="shared" si="13"/>
        <v>0</v>
      </c>
      <c r="AO18" s="48">
        <f t="shared" si="14"/>
        <v>36</v>
      </c>
      <c r="AP18" s="48">
        <f t="shared" si="15"/>
        <v>7.92</v>
      </c>
      <c r="AQ18" s="48">
        <f t="shared" si="16"/>
        <v>12</v>
      </c>
      <c r="AR18" s="48">
        <f t="shared" si="17"/>
        <v>1</v>
      </c>
      <c r="AS18" s="48">
        <f t="shared" si="18"/>
        <v>0</v>
      </c>
      <c r="AT18" s="48">
        <f t="shared" si="19"/>
        <v>0</v>
      </c>
      <c r="AU18" s="48">
        <f t="shared" si="20"/>
        <v>0</v>
      </c>
      <c r="AV18" s="48">
        <f t="shared" si="21"/>
        <v>0</v>
      </c>
      <c r="AW18" s="48">
        <f>IF(N18="ПП",РПП*AB18*(V18/1.5),IF(N18="ВП",ВПр*AB18*(V18/1.5),IF(N18="РПА",РПА*AB18*(V18/1.5),IF(N18="КПА",кпа*AB18*(V18/1.5),0))))</f>
        <v>0</v>
      </c>
      <c r="AX18" s="48">
        <f t="shared" si="22"/>
        <v>0</v>
      </c>
      <c r="AY18" s="48">
        <f t="shared" si="23"/>
        <v>0</v>
      </c>
      <c r="AZ18" s="48">
        <f t="shared" si="24"/>
        <v>0</v>
      </c>
      <c r="BA18" s="48">
        <f t="shared" si="25"/>
        <v>0</v>
      </c>
      <c r="BB18" s="48">
        <f t="shared" si="26"/>
        <v>0</v>
      </c>
      <c r="BC18" s="48">
        <f t="shared" si="27"/>
        <v>0</v>
      </c>
      <c r="BD18" s="48">
        <f t="shared" si="28"/>
        <v>0</v>
      </c>
      <c r="BE18" s="48">
        <f t="shared" si="29"/>
        <v>0</v>
      </c>
      <c r="BF18" s="49">
        <f t="shared" si="30"/>
        <v>56.92</v>
      </c>
      <c r="BG18" s="50"/>
      <c r="BH18" s="51">
        <f t="shared" si="31"/>
        <v>36</v>
      </c>
      <c r="BI18" s="51">
        <f t="shared" si="32"/>
        <v>1</v>
      </c>
      <c r="BJ18" s="51">
        <f t="shared" si="33"/>
        <v>20.92</v>
      </c>
      <c r="BK18" s="52">
        <f t="shared" si="34"/>
        <v>0</v>
      </c>
      <c r="BL18" s="52">
        <f t="shared" si="35"/>
        <v>0</v>
      </c>
      <c r="BM18" s="52">
        <f t="shared" si="36"/>
        <v>0</v>
      </c>
    </row>
    <row r="19" spans="1:65" ht="30" customHeight="1" x14ac:dyDescent="0.25">
      <c r="A19" s="31" t="str">
        <f t="shared" si="2"/>
        <v>Д</v>
      </c>
      <c r="B19" s="31" t="str">
        <f t="shared" si="3"/>
        <v>Б</v>
      </c>
      <c r="C19" s="32" t="s">
        <v>75</v>
      </c>
      <c r="D19" s="33" t="str">
        <f t="shared" si="4"/>
        <v>Факультет физико-математических и естественных наук</v>
      </c>
      <c r="E19" s="34" t="str">
        <f t="shared" si="5"/>
        <v>'09.03.03</v>
      </c>
      <c r="F19" s="35" t="str">
        <f t="shared" si="6"/>
        <v>Прикладная информатика</v>
      </c>
      <c r="G19" s="36" t="s">
        <v>76</v>
      </c>
      <c r="H19" s="36" t="s">
        <v>77</v>
      </c>
      <c r="I19" s="37"/>
      <c r="J19" s="37"/>
      <c r="K19" s="38" t="s">
        <v>98</v>
      </c>
      <c r="L19" s="39">
        <v>1</v>
      </c>
      <c r="M19" s="39">
        <v>18</v>
      </c>
      <c r="N19" s="40" t="s">
        <v>94</v>
      </c>
      <c r="O19" s="39"/>
      <c r="P19" s="39">
        <v>2</v>
      </c>
      <c r="Q19" s="39"/>
      <c r="R19" s="40" t="s">
        <v>95</v>
      </c>
      <c r="S19" s="41"/>
      <c r="T19" s="41"/>
      <c r="U19" s="41"/>
      <c r="V19" s="41"/>
      <c r="W19" s="41"/>
      <c r="X19" s="42" t="str">
        <f t="shared" si="7"/>
        <v>НПИбд</v>
      </c>
      <c r="Y19" s="43" t="s">
        <v>87</v>
      </c>
      <c r="Z19" s="39">
        <v>1</v>
      </c>
      <c r="AA19" s="39">
        <v>1</v>
      </c>
      <c r="AB19" s="42">
        <f t="shared" si="8"/>
        <v>0</v>
      </c>
      <c r="AC19" s="39"/>
      <c r="AD19" s="39"/>
      <c r="AE19" s="44">
        <f t="shared" si="9"/>
        <v>12</v>
      </c>
      <c r="AF19" s="45">
        <f t="shared" si="10"/>
        <v>0</v>
      </c>
      <c r="AG19" s="45">
        <f t="shared" si="11"/>
        <v>0</v>
      </c>
      <c r="AH19" s="46" t="s">
        <v>82</v>
      </c>
      <c r="AI19" s="40" t="s">
        <v>99</v>
      </c>
      <c r="AJ19" s="40" t="s">
        <v>100</v>
      </c>
      <c r="AK19" s="47" t="s">
        <v>101</v>
      </c>
      <c r="AL19" s="40"/>
      <c r="AM19" s="48">
        <f t="shared" si="12"/>
        <v>0</v>
      </c>
      <c r="AN19" s="48">
        <f t="shared" si="13"/>
        <v>0</v>
      </c>
      <c r="AO19" s="48">
        <f t="shared" si="14"/>
        <v>0</v>
      </c>
      <c r="AP19" s="48">
        <f t="shared" si="15"/>
        <v>0</v>
      </c>
      <c r="AQ19" s="48">
        <f t="shared" si="16"/>
        <v>0</v>
      </c>
      <c r="AR19" s="48">
        <f t="shared" si="17"/>
        <v>0</v>
      </c>
      <c r="AS19" s="48">
        <f t="shared" si="18"/>
        <v>0</v>
      </c>
      <c r="AT19" s="48">
        <f t="shared" si="19"/>
        <v>0</v>
      </c>
      <c r="AU19" s="48">
        <f t="shared" si="20"/>
        <v>0</v>
      </c>
      <c r="AV19" s="48">
        <f t="shared" si="21"/>
        <v>0</v>
      </c>
      <c r="AW19" s="48">
        <f>IF(N19="ПП",РПП*AB19*(V19/1.5),IF(N19="ВП",ВПр*AB19*(V19/1.5),IF(N19="РПА",РПА*AB19*(V19/1.5),IF(N19="КПА",кпа*AB19*(V19/1.5),0))))</f>
        <v>0</v>
      </c>
      <c r="AX19" s="48">
        <f t="shared" si="22"/>
        <v>0</v>
      </c>
      <c r="AY19" s="48">
        <f t="shared" si="23"/>
        <v>0</v>
      </c>
      <c r="AZ19" s="48">
        <f t="shared" si="24"/>
        <v>0</v>
      </c>
      <c r="BA19" s="48">
        <f t="shared" si="25"/>
        <v>0</v>
      </c>
      <c r="BB19" s="48">
        <f t="shared" si="26"/>
        <v>0</v>
      </c>
      <c r="BC19" s="48">
        <f t="shared" si="27"/>
        <v>0</v>
      </c>
      <c r="BD19" s="48">
        <f t="shared" si="28"/>
        <v>0</v>
      </c>
      <c r="BE19" s="48">
        <f t="shared" si="29"/>
        <v>0</v>
      </c>
      <c r="BF19" s="49">
        <f t="shared" si="30"/>
        <v>0</v>
      </c>
      <c r="BG19" s="50"/>
      <c r="BH19" s="51">
        <f t="shared" si="31"/>
        <v>0</v>
      </c>
      <c r="BI19" s="51">
        <f t="shared" si="32"/>
        <v>0</v>
      </c>
      <c r="BJ19" s="51">
        <f t="shared" si="33"/>
        <v>0</v>
      </c>
      <c r="BK19" s="52">
        <f t="shared" si="34"/>
        <v>0</v>
      </c>
      <c r="BL19" s="52">
        <f t="shared" si="35"/>
        <v>0</v>
      </c>
      <c r="BM19" s="52">
        <f t="shared" si="36"/>
        <v>0</v>
      </c>
    </row>
    <row r="20" spans="1:65" ht="30" customHeight="1" x14ac:dyDescent="0.25">
      <c r="A20" s="31" t="str">
        <f t="shared" si="2"/>
        <v>Д</v>
      </c>
      <c r="B20" s="31" t="str">
        <f t="shared" si="3"/>
        <v>Б</v>
      </c>
      <c r="C20" s="32" t="s">
        <v>75</v>
      </c>
      <c r="D20" s="33" t="str">
        <f t="shared" si="4"/>
        <v>Факультет физико-математических и естественных наук</v>
      </c>
      <c r="E20" s="34" t="str">
        <f t="shared" si="5"/>
        <v>'09.03.03</v>
      </c>
      <c r="F20" s="35" t="str">
        <f t="shared" si="6"/>
        <v>Прикладная информатика</v>
      </c>
      <c r="G20" s="36" t="s">
        <v>76</v>
      </c>
      <c r="H20" s="36" t="s">
        <v>77</v>
      </c>
      <c r="I20" s="37"/>
      <c r="J20" s="37"/>
      <c r="K20" s="38" t="s">
        <v>98</v>
      </c>
      <c r="L20" s="39">
        <v>1</v>
      </c>
      <c r="M20" s="39">
        <v>18</v>
      </c>
      <c r="N20" s="40" t="s">
        <v>94</v>
      </c>
      <c r="O20" s="39"/>
      <c r="P20" s="39">
        <v>2</v>
      </c>
      <c r="Q20" s="39"/>
      <c r="R20" s="40" t="s">
        <v>95</v>
      </c>
      <c r="S20" s="41"/>
      <c r="T20" s="41"/>
      <c r="U20" s="41"/>
      <c r="V20" s="41"/>
      <c r="W20" s="41"/>
      <c r="X20" s="42" t="str">
        <f t="shared" si="7"/>
        <v>НПИбд</v>
      </c>
      <c r="Y20" s="43" t="s">
        <v>88</v>
      </c>
      <c r="Z20" s="39">
        <v>1</v>
      </c>
      <c r="AA20" s="39">
        <v>1</v>
      </c>
      <c r="AB20" s="42">
        <f t="shared" si="8"/>
        <v>23</v>
      </c>
      <c r="AC20" s="39">
        <v>18</v>
      </c>
      <c r="AD20" s="39">
        <v>5</v>
      </c>
      <c r="AE20" s="44">
        <f t="shared" si="9"/>
        <v>12</v>
      </c>
      <c r="AF20" s="45">
        <f t="shared" si="10"/>
        <v>1</v>
      </c>
      <c r="AG20" s="45">
        <f t="shared" si="11"/>
        <v>1.9166666666666667</v>
      </c>
      <c r="AH20" s="46" t="s">
        <v>82</v>
      </c>
      <c r="AI20" s="40" t="s">
        <v>99</v>
      </c>
      <c r="AJ20" s="40" t="s">
        <v>100</v>
      </c>
      <c r="AK20" s="47" t="s">
        <v>101</v>
      </c>
      <c r="AL20" s="40"/>
      <c r="AM20" s="48">
        <f t="shared" si="12"/>
        <v>0</v>
      </c>
      <c r="AN20" s="48">
        <f t="shared" si="13"/>
        <v>0</v>
      </c>
      <c r="AO20" s="48">
        <f t="shared" si="14"/>
        <v>36</v>
      </c>
      <c r="AP20" s="48">
        <f t="shared" si="15"/>
        <v>7.5900000000000007</v>
      </c>
      <c r="AQ20" s="48">
        <f t="shared" si="16"/>
        <v>11.5</v>
      </c>
      <c r="AR20" s="48">
        <f t="shared" si="17"/>
        <v>1</v>
      </c>
      <c r="AS20" s="48">
        <f t="shared" si="18"/>
        <v>0</v>
      </c>
      <c r="AT20" s="48">
        <f t="shared" si="19"/>
        <v>0</v>
      </c>
      <c r="AU20" s="48">
        <f t="shared" si="20"/>
        <v>0</v>
      </c>
      <c r="AV20" s="48">
        <f t="shared" si="21"/>
        <v>0</v>
      </c>
      <c r="AW20" s="48">
        <f>IF(N20="ПП",РПП*AB20*(V20/1.5),IF(N20="ВП",ВПр*AB20*(V20/1.5),IF(N20="РПА",РПА*AB20*(V20/1.5),IF(N20="КПА",кпа*AB20*(V20/1.5),0))))</f>
        <v>0</v>
      </c>
      <c r="AX20" s="48">
        <f t="shared" si="22"/>
        <v>0</v>
      </c>
      <c r="AY20" s="48">
        <f t="shared" si="23"/>
        <v>0</v>
      </c>
      <c r="AZ20" s="48">
        <f t="shared" si="24"/>
        <v>0</v>
      </c>
      <c r="BA20" s="48">
        <f t="shared" si="25"/>
        <v>0</v>
      </c>
      <c r="BB20" s="48">
        <f t="shared" si="26"/>
        <v>0</v>
      </c>
      <c r="BC20" s="48">
        <f t="shared" si="27"/>
        <v>0</v>
      </c>
      <c r="BD20" s="48">
        <f t="shared" si="28"/>
        <v>0</v>
      </c>
      <c r="BE20" s="48">
        <f t="shared" si="29"/>
        <v>0</v>
      </c>
      <c r="BF20" s="49">
        <f t="shared" si="30"/>
        <v>56.09</v>
      </c>
      <c r="BG20" s="50"/>
      <c r="BH20" s="51">
        <f t="shared" si="31"/>
        <v>36</v>
      </c>
      <c r="BI20" s="51">
        <f t="shared" si="32"/>
        <v>1</v>
      </c>
      <c r="BJ20" s="51">
        <f t="shared" si="33"/>
        <v>20.09</v>
      </c>
      <c r="BK20" s="52">
        <f t="shared" si="34"/>
        <v>0</v>
      </c>
      <c r="BL20" s="52">
        <f t="shared" si="35"/>
        <v>0</v>
      </c>
      <c r="BM20" s="52">
        <f t="shared" si="36"/>
        <v>0</v>
      </c>
    </row>
    <row r="21" spans="1:65" ht="30" customHeight="1" x14ac:dyDescent="0.25">
      <c r="A21" s="31" t="str">
        <f t="shared" si="2"/>
        <v>Д</v>
      </c>
      <c r="B21" s="31" t="str">
        <f t="shared" si="3"/>
        <v>Б</v>
      </c>
      <c r="C21" s="32" t="s">
        <v>75</v>
      </c>
      <c r="D21" s="33" t="str">
        <f t="shared" si="4"/>
        <v>Факультет физико-математических и естественных наук</v>
      </c>
      <c r="E21" s="34" t="str">
        <f t="shared" si="5"/>
        <v>'09.03.03</v>
      </c>
      <c r="F21" s="35" t="str">
        <f t="shared" si="6"/>
        <v>Прикладная информатика</v>
      </c>
      <c r="G21" s="36" t="s">
        <v>76</v>
      </c>
      <c r="H21" s="36" t="s">
        <v>77</v>
      </c>
      <c r="I21" s="37"/>
      <c r="J21" s="37"/>
      <c r="K21" s="38" t="s">
        <v>98</v>
      </c>
      <c r="L21" s="39">
        <v>1</v>
      </c>
      <c r="M21" s="39">
        <v>18</v>
      </c>
      <c r="N21" s="40" t="s">
        <v>94</v>
      </c>
      <c r="O21" s="39"/>
      <c r="P21" s="39">
        <v>2</v>
      </c>
      <c r="Q21" s="39"/>
      <c r="R21" s="40" t="s">
        <v>95</v>
      </c>
      <c r="S21" s="41"/>
      <c r="T21" s="41"/>
      <c r="U21" s="41"/>
      <c r="V21" s="41"/>
      <c r="W21" s="41"/>
      <c r="X21" s="42" t="str">
        <f t="shared" si="7"/>
        <v>НПИбд</v>
      </c>
      <c r="Y21" s="43" t="s">
        <v>88</v>
      </c>
      <c r="Z21" s="39">
        <v>1</v>
      </c>
      <c r="AA21" s="39">
        <v>1</v>
      </c>
      <c r="AB21" s="42">
        <f t="shared" si="8"/>
        <v>0</v>
      </c>
      <c r="AC21" s="39"/>
      <c r="AD21" s="39"/>
      <c r="AE21" s="44">
        <f t="shared" si="9"/>
        <v>12</v>
      </c>
      <c r="AF21" s="45">
        <f t="shared" si="10"/>
        <v>0</v>
      </c>
      <c r="AG21" s="45">
        <f t="shared" si="11"/>
        <v>0</v>
      </c>
      <c r="AH21" s="46" t="s">
        <v>82</v>
      </c>
      <c r="AI21" s="40" t="s">
        <v>99</v>
      </c>
      <c r="AJ21" s="40" t="s">
        <v>100</v>
      </c>
      <c r="AK21" s="47" t="s">
        <v>101</v>
      </c>
      <c r="AL21" s="40"/>
      <c r="AM21" s="48">
        <f t="shared" si="12"/>
        <v>0</v>
      </c>
      <c r="AN21" s="48">
        <f t="shared" si="13"/>
        <v>0</v>
      </c>
      <c r="AO21" s="48">
        <f t="shared" si="14"/>
        <v>0</v>
      </c>
      <c r="AP21" s="48">
        <f t="shared" si="15"/>
        <v>0</v>
      </c>
      <c r="AQ21" s="48">
        <f t="shared" si="16"/>
        <v>0</v>
      </c>
      <c r="AR21" s="48">
        <f t="shared" si="17"/>
        <v>0</v>
      </c>
      <c r="AS21" s="48">
        <f t="shared" si="18"/>
        <v>0</v>
      </c>
      <c r="AT21" s="48">
        <f t="shared" si="19"/>
        <v>0</v>
      </c>
      <c r="AU21" s="48">
        <f t="shared" si="20"/>
        <v>0</v>
      </c>
      <c r="AV21" s="48">
        <f t="shared" si="21"/>
        <v>0</v>
      </c>
      <c r="AW21" s="48">
        <f>IF(N21="ПП",РПП*AB21*(V21/1.5),IF(N21="ВП",ВПр*AB21*(V21/1.5),IF(N21="РПА",РПА*AB21*(V21/1.5),IF(N21="КПА",кпа*AB21*(V21/1.5),0))))</f>
        <v>0</v>
      </c>
      <c r="AX21" s="48">
        <f t="shared" si="22"/>
        <v>0</v>
      </c>
      <c r="AY21" s="48">
        <f t="shared" si="23"/>
        <v>0</v>
      </c>
      <c r="AZ21" s="48">
        <f t="shared" si="24"/>
        <v>0</v>
      </c>
      <c r="BA21" s="48">
        <f t="shared" si="25"/>
        <v>0</v>
      </c>
      <c r="BB21" s="48">
        <f t="shared" si="26"/>
        <v>0</v>
      </c>
      <c r="BC21" s="48">
        <f t="shared" si="27"/>
        <v>0</v>
      </c>
      <c r="BD21" s="48">
        <f t="shared" si="28"/>
        <v>0</v>
      </c>
      <c r="BE21" s="48">
        <f t="shared" si="29"/>
        <v>0</v>
      </c>
      <c r="BF21" s="49">
        <f t="shared" si="30"/>
        <v>0</v>
      </c>
      <c r="BG21" s="50"/>
      <c r="BH21" s="51">
        <f t="shared" si="31"/>
        <v>0</v>
      </c>
      <c r="BI21" s="51">
        <f t="shared" si="32"/>
        <v>0</v>
      </c>
      <c r="BJ21" s="51">
        <f t="shared" si="33"/>
        <v>0</v>
      </c>
      <c r="BK21" s="52">
        <f t="shared" si="34"/>
        <v>0</v>
      </c>
      <c r="BL21" s="52">
        <f t="shared" si="35"/>
        <v>0</v>
      </c>
      <c r="BM21" s="52">
        <f t="shared" si="36"/>
        <v>0</v>
      </c>
    </row>
    <row r="22" spans="1:65" ht="30" customHeight="1" x14ac:dyDescent="0.25">
      <c r="A22" s="31" t="str">
        <f t="shared" si="2"/>
        <v>Д</v>
      </c>
      <c r="B22" s="31" t="str">
        <f t="shared" si="3"/>
        <v>Б</v>
      </c>
      <c r="C22" s="32" t="s">
        <v>75</v>
      </c>
      <c r="D22" s="33" t="str">
        <f t="shared" si="4"/>
        <v>Факультет физико-математических и естественных наук</v>
      </c>
      <c r="E22" s="34" t="str">
        <f t="shared" si="5"/>
        <v>'09.03.03</v>
      </c>
      <c r="F22" s="35" t="str">
        <f t="shared" si="6"/>
        <v>Прикладная информатика</v>
      </c>
      <c r="G22" s="36" t="s">
        <v>76</v>
      </c>
      <c r="H22" s="36" t="s">
        <v>77</v>
      </c>
      <c r="I22" s="37"/>
      <c r="J22" s="37"/>
      <c r="K22" s="38" t="s">
        <v>98</v>
      </c>
      <c r="L22" s="39">
        <v>1</v>
      </c>
      <c r="M22" s="39">
        <v>18</v>
      </c>
      <c r="N22" s="40" t="s">
        <v>94</v>
      </c>
      <c r="O22" s="39"/>
      <c r="P22" s="39">
        <v>2</v>
      </c>
      <c r="Q22" s="39"/>
      <c r="R22" s="40" t="s">
        <v>95</v>
      </c>
      <c r="S22" s="41"/>
      <c r="T22" s="41"/>
      <c r="U22" s="41"/>
      <c r="V22" s="41"/>
      <c r="W22" s="41"/>
      <c r="X22" s="42" t="str">
        <f t="shared" si="7"/>
        <v>НПИбд</v>
      </c>
      <c r="Y22" s="43" t="s">
        <v>89</v>
      </c>
      <c r="Z22" s="39">
        <v>1</v>
      </c>
      <c r="AA22" s="39">
        <v>1</v>
      </c>
      <c r="AB22" s="42">
        <f t="shared" si="8"/>
        <v>23</v>
      </c>
      <c r="AC22" s="39">
        <v>18</v>
      </c>
      <c r="AD22" s="39">
        <v>5</v>
      </c>
      <c r="AE22" s="44">
        <f t="shared" si="9"/>
        <v>12</v>
      </c>
      <c r="AF22" s="45">
        <f t="shared" si="10"/>
        <v>1</v>
      </c>
      <c r="AG22" s="45">
        <f t="shared" si="11"/>
        <v>1.9166666666666667</v>
      </c>
      <c r="AH22" s="46" t="s">
        <v>82</v>
      </c>
      <c r="AI22" s="40" t="s">
        <v>99</v>
      </c>
      <c r="AJ22" s="40" t="s">
        <v>100</v>
      </c>
      <c r="AK22" s="47" t="s">
        <v>101</v>
      </c>
      <c r="AL22" s="40"/>
      <c r="AM22" s="48">
        <f t="shared" si="12"/>
        <v>0</v>
      </c>
      <c r="AN22" s="48">
        <f t="shared" si="13"/>
        <v>0</v>
      </c>
      <c r="AO22" s="48">
        <f t="shared" si="14"/>
        <v>36</v>
      </c>
      <c r="AP22" s="48">
        <f t="shared" si="15"/>
        <v>7.5900000000000007</v>
      </c>
      <c r="AQ22" s="48">
        <f t="shared" si="16"/>
        <v>11.5</v>
      </c>
      <c r="AR22" s="48">
        <f t="shared" si="17"/>
        <v>1</v>
      </c>
      <c r="AS22" s="48">
        <f t="shared" si="18"/>
        <v>0</v>
      </c>
      <c r="AT22" s="48">
        <f t="shared" si="19"/>
        <v>0</v>
      </c>
      <c r="AU22" s="48">
        <f t="shared" si="20"/>
        <v>0</v>
      </c>
      <c r="AV22" s="48">
        <f t="shared" si="21"/>
        <v>0</v>
      </c>
      <c r="AW22" s="48">
        <f>IF(N22="ПП",РПП*AB22*(V22/1.5),IF(N22="ВП",ВПр*AB22*(V22/1.5),IF(N22="РПА",РПА*AB22*(V22/1.5),IF(N22="КПА",кпа*AB22*(V22/1.5),0))))</f>
        <v>0</v>
      </c>
      <c r="AX22" s="48">
        <f t="shared" si="22"/>
        <v>0</v>
      </c>
      <c r="AY22" s="48">
        <f t="shared" si="23"/>
        <v>0</v>
      </c>
      <c r="AZ22" s="48">
        <f t="shared" si="24"/>
        <v>0</v>
      </c>
      <c r="BA22" s="48">
        <f t="shared" si="25"/>
        <v>0</v>
      </c>
      <c r="BB22" s="48">
        <f t="shared" si="26"/>
        <v>0</v>
      </c>
      <c r="BC22" s="48">
        <f t="shared" si="27"/>
        <v>0</v>
      </c>
      <c r="BD22" s="48">
        <f t="shared" si="28"/>
        <v>0</v>
      </c>
      <c r="BE22" s="48">
        <f t="shared" si="29"/>
        <v>0</v>
      </c>
      <c r="BF22" s="49">
        <f t="shared" si="30"/>
        <v>56.09</v>
      </c>
      <c r="BG22" s="50"/>
      <c r="BH22" s="51">
        <f t="shared" si="31"/>
        <v>36</v>
      </c>
      <c r="BI22" s="51">
        <f t="shared" si="32"/>
        <v>1</v>
      </c>
      <c r="BJ22" s="51">
        <f t="shared" si="33"/>
        <v>20.09</v>
      </c>
      <c r="BK22" s="52">
        <f t="shared" si="34"/>
        <v>0</v>
      </c>
      <c r="BL22" s="52">
        <f t="shared" si="35"/>
        <v>0</v>
      </c>
      <c r="BM22" s="52">
        <f t="shared" si="36"/>
        <v>0</v>
      </c>
    </row>
    <row r="23" spans="1:65" ht="30" customHeight="1" x14ac:dyDescent="0.25">
      <c r="A23" s="31" t="str">
        <f t="shared" si="2"/>
        <v>Д</v>
      </c>
      <c r="B23" s="31" t="str">
        <f t="shared" si="3"/>
        <v>Б</v>
      </c>
      <c r="C23" s="32" t="s">
        <v>75</v>
      </c>
      <c r="D23" s="33" t="str">
        <f t="shared" si="4"/>
        <v>Факультет физико-математических и естественных наук</v>
      </c>
      <c r="E23" s="34" t="str">
        <f t="shared" si="5"/>
        <v>'09.03.03</v>
      </c>
      <c r="F23" s="35" t="str">
        <f t="shared" si="6"/>
        <v>Прикладная информатика</v>
      </c>
      <c r="G23" s="36" t="s">
        <v>76</v>
      </c>
      <c r="H23" s="36" t="s">
        <v>77</v>
      </c>
      <c r="I23" s="37"/>
      <c r="J23" s="37"/>
      <c r="K23" s="38" t="s">
        <v>98</v>
      </c>
      <c r="L23" s="39">
        <v>1</v>
      </c>
      <c r="M23" s="39">
        <v>18</v>
      </c>
      <c r="N23" s="40" t="s">
        <v>94</v>
      </c>
      <c r="O23" s="39"/>
      <c r="P23" s="39">
        <v>2</v>
      </c>
      <c r="Q23" s="39"/>
      <c r="R23" s="40" t="s">
        <v>95</v>
      </c>
      <c r="S23" s="41"/>
      <c r="T23" s="41"/>
      <c r="U23" s="41"/>
      <c r="V23" s="41"/>
      <c r="W23" s="41"/>
      <c r="X23" s="42" t="str">
        <f t="shared" si="7"/>
        <v>НПИбд</v>
      </c>
      <c r="Y23" s="43" t="s">
        <v>89</v>
      </c>
      <c r="Z23" s="39">
        <v>1</v>
      </c>
      <c r="AA23" s="39">
        <v>1</v>
      </c>
      <c r="AB23" s="42">
        <f t="shared" si="8"/>
        <v>0</v>
      </c>
      <c r="AC23" s="39"/>
      <c r="AD23" s="39"/>
      <c r="AE23" s="44">
        <f t="shared" si="9"/>
        <v>12</v>
      </c>
      <c r="AF23" s="45">
        <f t="shared" si="10"/>
        <v>0</v>
      </c>
      <c r="AG23" s="45">
        <f t="shared" si="11"/>
        <v>0</v>
      </c>
      <c r="AH23" s="46" t="s">
        <v>82</v>
      </c>
      <c r="AI23" s="40" t="s">
        <v>99</v>
      </c>
      <c r="AJ23" s="40" t="s">
        <v>100</v>
      </c>
      <c r="AK23" s="47" t="s">
        <v>101</v>
      </c>
      <c r="AL23" s="40"/>
      <c r="AM23" s="48">
        <f t="shared" si="12"/>
        <v>0</v>
      </c>
      <c r="AN23" s="48">
        <f t="shared" si="13"/>
        <v>0</v>
      </c>
      <c r="AO23" s="48">
        <f t="shared" si="14"/>
        <v>0</v>
      </c>
      <c r="AP23" s="48">
        <f t="shared" si="15"/>
        <v>0</v>
      </c>
      <c r="AQ23" s="48">
        <f t="shared" si="16"/>
        <v>0</v>
      </c>
      <c r="AR23" s="48">
        <f t="shared" si="17"/>
        <v>0</v>
      </c>
      <c r="AS23" s="48">
        <f t="shared" si="18"/>
        <v>0</v>
      </c>
      <c r="AT23" s="48">
        <f t="shared" si="19"/>
        <v>0</v>
      </c>
      <c r="AU23" s="48">
        <f t="shared" si="20"/>
        <v>0</v>
      </c>
      <c r="AV23" s="48">
        <f t="shared" si="21"/>
        <v>0</v>
      </c>
      <c r="AW23" s="48">
        <f>IF(N23="ПП",РПП*AB23*(V23/1.5),IF(N23="ВП",ВПр*AB23*(V23/1.5),IF(N23="РПА",РПА*AB23*(V23/1.5),IF(N23="КПА",кпа*AB23*(V23/1.5),0))))</f>
        <v>0</v>
      </c>
      <c r="AX23" s="48">
        <f t="shared" si="22"/>
        <v>0</v>
      </c>
      <c r="AY23" s="48">
        <f t="shared" si="23"/>
        <v>0</v>
      </c>
      <c r="AZ23" s="48">
        <f t="shared" si="24"/>
        <v>0</v>
      </c>
      <c r="BA23" s="48">
        <f t="shared" si="25"/>
        <v>0</v>
      </c>
      <c r="BB23" s="48">
        <f t="shared" si="26"/>
        <v>0</v>
      </c>
      <c r="BC23" s="48">
        <f t="shared" si="27"/>
        <v>0</v>
      </c>
      <c r="BD23" s="48">
        <f t="shared" si="28"/>
        <v>0</v>
      </c>
      <c r="BE23" s="48">
        <f t="shared" si="29"/>
        <v>0</v>
      </c>
      <c r="BF23" s="49">
        <f t="shared" si="30"/>
        <v>0</v>
      </c>
      <c r="BG23" s="50"/>
      <c r="BH23" s="51">
        <f t="shared" si="31"/>
        <v>0</v>
      </c>
      <c r="BI23" s="51">
        <f t="shared" si="32"/>
        <v>0</v>
      </c>
      <c r="BJ23" s="51">
        <f t="shared" si="33"/>
        <v>0</v>
      </c>
      <c r="BK23" s="52">
        <f t="shared" si="34"/>
        <v>0</v>
      </c>
      <c r="BL23" s="52">
        <f t="shared" si="35"/>
        <v>0</v>
      </c>
      <c r="BM23" s="52">
        <f t="shared" si="36"/>
        <v>0</v>
      </c>
    </row>
    <row r="24" spans="1:65" ht="30" customHeight="1" x14ac:dyDescent="0.25">
      <c r="A24" s="31" t="str">
        <f t="shared" si="2"/>
        <v>Д</v>
      </c>
      <c r="B24" s="31" t="str">
        <f t="shared" si="3"/>
        <v>Б</v>
      </c>
      <c r="C24" s="32" t="s">
        <v>75</v>
      </c>
      <c r="D24" s="33" t="str">
        <f t="shared" si="4"/>
        <v>Факультет физико-математических и естественных наук</v>
      </c>
      <c r="E24" s="34" t="str">
        <f t="shared" si="5"/>
        <v>'09.03.03</v>
      </c>
      <c r="F24" s="35" t="str">
        <f t="shared" si="6"/>
        <v>Прикладная информатика</v>
      </c>
      <c r="G24" s="36" t="s">
        <v>76</v>
      </c>
      <c r="H24" s="36" t="s">
        <v>77</v>
      </c>
      <c r="I24" s="37"/>
      <c r="J24" s="37"/>
      <c r="K24" s="38" t="s">
        <v>102</v>
      </c>
      <c r="L24" s="39">
        <v>2</v>
      </c>
      <c r="M24" s="39">
        <v>18</v>
      </c>
      <c r="N24" s="40" t="s">
        <v>79</v>
      </c>
      <c r="O24" s="39">
        <v>1</v>
      </c>
      <c r="P24" s="39"/>
      <c r="Q24" s="39"/>
      <c r="R24" s="40" t="s">
        <v>80</v>
      </c>
      <c r="S24" s="41"/>
      <c r="T24" s="41"/>
      <c r="U24" s="41"/>
      <c r="V24" s="41"/>
      <c r="W24" s="41"/>
      <c r="X24" s="42" t="str">
        <f t="shared" si="7"/>
        <v>НПИбд</v>
      </c>
      <c r="Y24" s="43" t="s">
        <v>92</v>
      </c>
      <c r="Z24" s="39">
        <v>6</v>
      </c>
      <c r="AA24" s="39">
        <v>3</v>
      </c>
      <c r="AB24" s="42">
        <f t="shared" si="8"/>
        <v>70</v>
      </c>
      <c r="AC24" s="39">
        <v>55</v>
      </c>
      <c r="AD24" s="39">
        <v>15</v>
      </c>
      <c r="AE24" s="44">
        <f t="shared" si="9"/>
        <v>70</v>
      </c>
      <c r="AF24" s="45">
        <f t="shared" si="10"/>
        <v>1</v>
      </c>
      <c r="AG24" s="45">
        <f t="shared" si="11"/>
        <v>1</v>
      </c>
      <c r="AH24" s="46" t="s">
        <v>82</v>
      </c>
      <c r="AI24" s="40" t="s">
        <v>83</v>
      </c>
      <c r="AJ24" s="40" t="s">
        <v>84</v>
      </c>
      <c r="AK24" s="47" t="s">
        <v>85</v>
      </c>
      <c r="AL24" s="40"/>
      <c r="AM24" s="48">
        <f t="shared" si="12"/>
        <v>18</v>
      </c>
      <c r="AN24" s="48">
        <f t="shared" si="13"/>
        <v>0</v>
      </c>
      <c r="AO24" s="48">
        <f t="shared" si="14"/>
        <v>0</v>
      </c>
      <c r="AP24" s="48">
        <f t="shared" si="15"/>
        <v>23.1</v>
      </c>
      <c r="AQ24" s="48">
        <f t="shared" si="16"/>
        <v>35</v>
      </c>
      <c r="AR24" s="48">
        <f t="shared" si="17"/>
        <v>3</v>
      </c>
      <c r="AS24" s="48">
        <f t="shared" si="18"/>
        <v>2.7</v>
      </c>
      <c r="AT24" s="48">
        <f t="shared" si="19"/>
        <v>0</v>
      </c>
      <c r="AU24" s="48">
        <f t="shared" si="20"/>
        <v>0</v>
      </c>
      <c r="AV24" s="48">
        <f t="shared" si="21"/>
        <v>0</v>
      </c>
      <c r="AW24" s="48">
        <f>IF(N24="ПП",РПП*AB24*(V24/1.5),IF(N24="ВП",ВПр*AB24*(V24/1.5),IF(N24="РПА",РПА*AB24*(V24/1.5),IF(N24="КПА",кпа*AB24*(V24/1.5),0))))</f>
        <v>0</v>
      </c>
      <c r="AX24" s="48">
        <f t="shared" si="22"/>
        <v>0</v>
      </c>
      <c r="AY24" s="48">
        <f t="shared" si="23"/>
        <v>0</v>
      </c>
      <c r="AZ24" s="48">
        <f t="shared" si="24"/>
        <v>0</v>
      </c>
      <c r="BA24" s="48">
        <f t="shared" si="25"/>
        <v>0</v>
      </c>
      <c r="BB24" s="48">
        <f t="shared" si="26"/>
        <v>0</v>
      </c>
      <c r="BC24" s="48">
        <f t="shared" si="27"/>
        <v>0</v>
      </c>
      <c r="BD24" s="48">
        <f t="shared" si="28"/>
        <v>0</v>
      </c>
      <c r="BE24" s="48">
        <f t="shared" si="29"/>
        <v>0</v>
      </c>
      <c r="BF24" s="49">
        <f t="shared" si="30"/>
        <v>81.8</v>
      </c>
      <c r="BG24" s="50"/>
      <c r="BH24" s="51">
        <f t="shared" si="31"/>
        <v>0</v>
      </c>
      <c r="BI24" s="51">
        <f t="shared" si="32"/>
        <v>0</v>
      </c>
      <c r="BJ24" s="51">
        <f t="shared" si="33"/>
        <v>0</v>
      </c>
      <c r="BK24" s="52">
        <f t="shared" si="34"/>
        <v>18</v>
      </c>
      <c r="BL24" s="52">
        <f t="shared" si="35"/>
        <v>0.5</v>
      </c>
      <c r="BM24" s="52">
        <f t="shared" si="36"/>
        <v>63.800000000000004</v>
      </c>
    </row>
    <row r="25" spans="1:65" ht="30" customHeight="1" x14ac:dyDescent="0.25">
      <c r="A25" s="31" t="str">
        <f t="shared" si="2"/>
        <v>Д</v>
      </c>
      <c r="B25" s="31" t="str">
        <f t="shared" si="3"/>
        <v>Б</v>
      </c>
      <c r="C25" s="32" t="s">
        <v>75</v>
      </c>
      <c r="D25" s="33" t="str">
        <f t="shared" si="4"/>
        <v>Факультет физико-математических и естественных наук</v>
      </c>
      <c r="E25" s="34" t="str">
        <f t="shared" si="5"/>
        <v>'09.03.03</v>
      </c>
      <c r="F25" s="35" t="str">
        <f t="shared" si="6"/>
        <v>Прикладная информатика</v>
      </c>
      <c r="G25" s="36" t="s">
        <v>76</v>
      </c>
      <c r="H25" s="36" t="s">
        <v>77</v>
      </c>
      <c r="I25" s="37"/>
      <c r="J25" s="37"/>
      <c r="K25" s="38" t="s">
        <v>102</v>
      </c>
      <c r="L25" s="39">
        <v>2</v>
      </c>
      <c r="M25" s="39">
        <v>18</v>
      </c>
      <c r="N25" s="40" t="s">
        <v>86</v>
      </c>
      <c r="O25" s="39"/>
      <c r="P25" s="39"/>
      <c r="Q25" s="39">
        <v>2</v>
      </c>
      <c r="R25" s="40"/>
      <c r="S25" s="41"/>
      <c r="T25" s="41"/>
      <c r="U25" s="41"/>
      <c r="V25" s="41"/>
      <c r="W25" s="41"/>
      <c r="X25" s="42" t="str">
        <f t="shared" si="7"/>
        <v>НПИбд</v>
      </c>
      <c r="Y25" s="43" t="s">
        <v>87</v>
      </c>
      <c r="Z25" s="39">
        <v>2</v>
      </c>
      <c r="AA25" s="39">
        <v>1</v>
      </c>
      <c r="AB25" s="42">
        <f t="shared" si="8"/>
        <v>24</v>
      </c>
      <c r="AC25" s="39">
        <v>19</v>
      </c>
      <c r="AD25" s="39">
        <v>5</v>
      </c>
      <c r="AE25" s="44">
        <f t="shared" si="9"/>
        <v>24</v>
      </c>
      <c r="AF25" s="45">
        <f t="shared" si="10"/>
        <v>1</v>
      </c>
      <c r="AG25" s="45">
        <f t="shared" si="11"/>
        <v>1</v>
      </c>
      <c r="AH25" s="46" t="s">
        <v>82</v>
      </c>
      <c r="AI25" s="40" t="s">
        <v>83</v>
      </c>
      <c r="AJ25" s="40" t="s">
        <v>84</v>
      </c>
      <c r="AK25" s="47" t="s">
        <v>85</v>
      </c>
      <c r="AL25" s="40"/>
      <c r="AM25" s="48">
        <f t="shared" si="12"/>
        <v>0</v>
      </c>
      <c r="AN25" s="48">
        <f t="shared" si="13"/>
        <v>36</v>
      </c>
      <c r="AO25" s="48">
        <f t="shared" si="14"/>
        <v>0</v>
      </c>
      <c r="AP25" s="48">
        <f t="shared" si="15"/>
        <v>0</v>
      </c>
      <c r="AQ25" s="48">
        <f t="shared" si="16"/>
        <v>0</v>
      </c>
      <c r="AR25" s="48">
        <f t="shared" si="17"/>
        <v>0</v>
      </c>
      <c r="AS25" s="48">
        <f t="shared" si="18"/>
        <v>0</v>
      </c>
      <c r="AT25" s="48">
        <f t="shared" si="19"/>
        <v>0</v>
      </c>
      <c r="AU25" s="48">
        <f t="shared" si="20"/>
        <v>0</v>
      </c>
      <c r="AV25" s="48">
        <f t="shared" si="21"/>
        <v>0</v>
      </c>
      <c r="AW25" s="48">
        <f>IF(N25="ПП",РПП*AB25*(V25/1.5),IF(N25="ВП",ВПр*AB25*(V25/1.5),IF(N25="РПА",РПА*AB25*(V25/1.5),IF(N25="КПА",кпа*AB25*(V25/1.5),0))))</f>
        <v>0</v>
      </c>
      <c r="AX25" s="48">
        <f t="shared" si="22"/>
        <v>0</v>
      </c>
      <c r="AY25" s="48">
        <f t="shared" si="23"/>
        <v>0</v>
      </c>
      <c r="AZ25" s="48">
        <f t="shared" si="24"/>
        <v>0</v>
      </c>
      <c r="BA25" s="48">
        <f t="shared" si="25"/>
        <v>0</v>
      </c>
      <c r="BB25" s="48">
        <f t="shared" si="26"/>
        <v>0</v>
      </c>
      <c r="BC25" s="48">
        <f t="shared" si="27"/>
        <v>0</v>
      </c>
      <c r="BD25" s="48">
        <f t="shared" si="28"/>
        <v>0</v>
      </c>
      <c r="BE25" s="48">
        <f t="shared" si="29"/>
        <v>0</v>
      </c>
      <c r="BF25" s="49">
        <f t="shared" si="30"/>
        <v>36</v>
      </c>
      <c r="BG25" s="50"/>
      <c r="BH25" s="51">
        <f t="shared" si="31"/>
        <v>0</v>
      </c>
      <c r="BI25" s="51">
        <f t="shared" si="32"/>
        <v>0</v>
      </c>
      <c r="BJ25" s="51">
        <f t="shared" si="33"/>
        <v>0</v>
      </c>
      <c r="BK25" s="52">
        <f t="shared" si="34"/>
        <v>36</v>
      </c>
      <c r="BL25" s="52">
        <f t="shared" si="35"/>
        <v>1</v>
      </c>
      <c r="BM25" s="52">
        <f t="shared" si="36"/>
        <v>0</v>
      </c>
    </row>
    <row r="26" spans="1:65" ht="30" customHeight="1" x14ac:dyDescent="0.25">
      <c r="A26" s="31" t="str">
        <f t="shared" si="2"/>
        <v>Д</v>
      </c>
      <c r="B26" s="31" t="str">
        <f t="shared" si="3"/>
        <v>Б</v>
      </c>
      <c r="C26" s="32" t="s">
        <v>75</v>
      </c>
      <c r="D26" s="33" t="str">
        <f t="shared" si="4"/>
        <v>Факультет физико-математических и естественных наук</v>
      </c>
      <c r="E26" s="34" t="str">
        <f t="shared" si="5"/>
        <v>'09.03.03</v>
      </c>
      <c r="F26" s="35" t="str">
        <f t="shared" si="6"/>
        <v>Прикладная информатика</v>
      </c>
      <c r="G26" s="36" t="s">
        <v>76</v>
      </c>
      <c r="H26" s="36" t="s">
        <v>77</v>
      </c>
      <c r="I26" s="37"/>
      <c r="J26" s="37"/>
      <c r="K26" s="38" t="s">
        <v>102</v>
      </c>
      <c r="L26" s="39">
        <v>2</v>
      </c>
      <c r="M26" s="39">
        <v>18</v>
      </c>
      <c r="N26" s="40" t="s">
        <v>86</v>
      </c>
      <c r="O26" s="39"/>
      <c r="P26" s="39"/>
      <c r="Q26" s="39">
        <v>2</v>
      </c>
      <c r="R26" s="40"/>
      <c r="S26" s="41"/>
      <c r="T26" s="41"/>
      <c r="U26" s="41"/>
      <c r="V26" s="41"/>
      <c r="W26" s="41"/>
      <c r="X26" s="42" t="str">
        <f t="shared" si="7"/>
        <v>НПИбд</v>
      </c>
      <c r="Y26" s="43" t="s">
        <v>88</v>
      </c>
      <c r="Z26" s="39">
        <v>2</v>
      </c>
      <c r="AA26" s="39">
        <v>1</v>
      </c>
      <c r="AB26" s="42">
        <f t="shared" si="8"/>
        <v>23</v>
      </c>
      <c r="AC26" s="39">
        <v>18</v>
      </c>
      <c r="AD26" s="39">
        <v>5</v>
      </c>
      <c r="AE26" s="44">
        <f t="shared" si="9"/>
        <v>24</v>
      </c>
      <c r="AF26" s="45">
        <f t="shared" si="10"/>
        <v>0.95833333333333337</v>
      </c>
      <c r="AG26" s="45">
        <f t="shared" si="11"/>
        <v>0.95833333333333337</v>
      </c>
      <c r="AH26" s="46" t="s">
        <v>82</v>
      </c>
      <c r="AI26" s="40" t="s">
        <v>83</v>
      </c>
      <c r="AJ26" s="40" t="s">
        <v>84</v>
      </c>
      <c r="AK26" s="47" t="s">
        <v>85</v>
      </c>
      <c r="AL26" s="40"/>
      <c r="AM26" s="48">
        <f t="shared" si="12"/>
        <v>0</v>
      </c>
      <c r="AN26" s="48">
        <f t="shared" si="13"/>
        <v>34.5</v>
      </c>
      <c r="AO26" s="48">
        <f t="shared" si="14"/>
        <v>0</v>
      </c>
      <c r="AP26" s="48">
        <f t="shared" si="15"/>
        <v>0</v>
      </c>
      <c r="AQ26" s="48">
        <f t="shared" si="16"/>
        <v>0</v>
      </c>
      <c r="AR26" s="48">
        <f t="shared" si="17"/>
        <v>0</v>
      </c>
      <c r="AS26" s="48">
        <f t="shared" si="18"/>
        <v>0</v>
      </c>
      <c r="AT26" s="48">
        <f t="shared" si="19"/>
        <v>0</v>
      </c>
      <c r="AU26" s="48">
        <f t="shared" si="20"/>
        <v>0</v>
      </c>
      <c r="AV26" s="48">
        <f t="shared" si="21"/>
        <v>0</v>
      </c>
      <c r="AW26" s="48">
        <f>IF(N26="ПП",РПП*AB26*(V26/1.5),IF(N26="ВП",ВПр*AB26*(V26/1.5),IF(N26="РПА",РПА*AB26*(V26/1.5),IF(N26="КПА",кпа*AB26*(V26/1.5),0))))</f>
        <v>0</v>
      </c>
      <c r="AX26" s="48">
        <f t="shared" si="22"/>
        <v>0</v>
      </c>
      <c r="AY26" s="48">
        <f t="shared" si="23"/>
        <v>0</v>
      </c>
      <c r="AZ26" s="48">
        <f t="shared" si="24"/>
        <v>0</v>
      </c>
      <c r="BA26" s="48">
        <f t="shared" si="25"/>
        <v>0</v>
      </c>
      <c r="BB26" s="48">
        <f t="shared" si="26"/>
        <v>0</v>
      </c>
      <c r="BC26" s="48">
        <f t="shared" si="27"/>
        <v>0</v>
      </c>
      <c r="BD26" s="48">
        <f t="shared" si="28"/>
        <v>0</v>
      </c>
      <c r="BE26" s="48">
        <f t="shared" si="29"/>
        <v>0</v>
      </c>
      <c r="BF26" s="49">
        <f t="shared" si="30"/>
        <v>34.5</v>
      </c>
      <c r="BG26" s="50"/>
      <c r="BH26" s="51">
        <f t="shared" si="31"/>
        <v>0</v>
      </c>
      <c r="BI26" s="51">
        <f t="shared" si="32"/>
        <v>0</v>
      </c>
      <c r="BJ26" s="51">
        <f t="shared" si="33"/>
        <v>0</v>
      </c>
      <c r="BK26" s="52">
        <f t="shared" si="34"/>
        <v>34.5</v>
      </c>
      <c r="BL26" s="52">
        <f t="shared" si="35"/>
        <v>1</v>
      </c>
      <c r="BM26" s="52">
        <f t="shared" si="36"/>
        <v>0</v>
      </c>
    </row>
    <row r="27" spans="1:65" ht="30" customHeight="1" x14ac:dyDescent="0.25">
      <c r="A27" s="31" t="str">
        <f t="shared" si="2"/>
        <v>Д</v>
      </c>
      <c r="B27" s="31" t="str">
        <f t="shared" si="3"/>
        <v>Б</v>
      </c>
      <c r="C27" s="32" t="s">
        <v>75</v>
      </c>
      <c r="D27" s="33" t="str">
        <f t="shared" si="4"/>
        <v>Факультет физико-математических и естественных наук</v>
      </c>
      <c r="E27" s="34" t="str">
        <f t="shared" si="5"/>
        <v>'09.03.03</v>
      </c>
      <c r="F27" s="35" t="str">
        <f t="shared" si="6"/>
        <v>Прикладная информатика</v>
      </c>
      <c r="G27" s="36" t="s">
        <v>76</v>
      </c>
      <c r="H27" s="36" t="s">
        <v>77</v>
      </c>
      <c r="I27" s="37"/>
      <c r="J27" s="37"/>
      <c r="K27" s="38" t="s">
        <v>102</v>
      </c>
      <c r="L27" s="39">
        <v>2</v>
      </c>
      <c r="M27" s="39">
        <v>18</v>
      </c>
      <c r="N27" s="40" t="s">
        <v>86</v>
      </c>
      <c r="O27" s="39"/>
      <c r="P27" s="39"/>
      <c r="Q27" s="39">
        <v>2</v>
      </c>
      <c r="R27" s="40"/>
      <c r="S27" s="41"/>
      <c r="T27" s="41"/>
      <c r="U27" s="41"/>
      <c r="V27" s="41"/>
      <c r="W27" s="41"/>
      <c r="X27" s="42" t="str">
        <f t="shared" si="7"/>
        <v>НПИбд</v>
      </c>
      <c r="Y27" s="43" t="s">
        <v>89</v>
      </c>
      <c r="Z27" s="39">
        <v>2</v>
      </c>
      <c r="AA27" s="39">
        <v>1</v>
      </c>
      <c r="AB27" s="42">
        <f t="shared" si="8"/>
        <v>23</v>
      </c>
      <c r="AC27" s="39">
        <v>18</v>
      </c>
      <c r="AD27" s="39">
        <v>5</v>
      </c>
      <c r="AE27" s="44">
        <f t="shared" si="9"/>
        <v>24</v>
      </c>
      <c r="AF27" s="45">
        <f t="shared" si="10"/>
        <v>0.95833333333333337</v>
      </c>
      <c r="AG27" s="45">
        <f t="shared" si="11"/>
        <v>0.95833333333333337</v>
      </c>
      <c r="AH27" s="46" t="s">
        <v>82</v>
      </c>
      <c r="AI27" s="40" t="s">
        <v>83</v>
      </c>
      <c r="AJ27" s="40" t="s">
        <v>84</v>
      </c>
      <c r="AK27" s="47" t="s">
        <v>85</v>
      </c>
      <c r="AL27" s="40"/>
      <c r="AM27" s="48">
        <f t="shared" si="12"/>
        <v>0</v>
      </c>
      <c r="AN27" s="48">
        <f t="shared" si="13"/>
        <v>34.5</v>
      </c>
      <c r="AO27" s="48">
        <f t="shared" si="14"/>
        <v>0</v>
      </c>
      <c r="AP27" s="48">
        <f t="shared" si="15"/>
        <v>0</v>
      </c>
      <c r="AQ27" s="48">
        <f t="shared" si="16"/>
        <v>0</v>
      </c>
      <c r="AR27" s="48">
        <f t="shared" si="17"/>
        <v>0</v>
      </c>
      <c r="AS27" s="48">
        <f t="shared" si="18"/>
        <v>0</v>
      </c>
      <c r="AT27" s="48">
        <f t="shared" si="19"/>
        <v>0</v>
      </c>
      <c r="AU27" s="48">
        <f t="shared" si="20"/>
        <v>0</v>
      </c>
      <c r="AV27" s="48">
        <f t="shared" si="21"/>
        <v>0</v>
      </c>
      <c r="AW27" s="48">
        <f>IF(N27="ПП",РПП*AB27*(V27/1.5),IF(N27="ВП",ВПр*AB27*(V27/1.5),IF(N27="РПА",РПА*AB27*(V27/1.5),IF(N27="КПА",кпа*AB27*(V27/1.5),0))))</f>
        <v>0</v>
      </c>
      <c r="AX27" s="48">
        <f t="shared" si="22"/>
        <v>0</v>
      </c>
      <c r="AY27" s="48">
        <f t="shared" si="23"/>
        <v>0</v>
      </c>
      <c r="AZ27" s="48">
        <f t="shared" si="24"/>
        <v>0</v>
      </c>
      <c r="BA27" s="48">
        <f t="shared" si="25"/>
        <v>0</v>
      </c>
      <c r="BB27" s="48">
        <f t="shared" si="26"/>
        <v>0</v>
      </c>
      <c r="BC27" s="48">
        <f t="shared" si="27"/>
        <v>0</v>
      </c>
      <c r="BD27" s="48">
        <f t="shared" si="28"/>
        <v>0</v>
      </c>
      <c r="BE27" s="48">
        <f t="shared" si="29"/>
        <v>0</v>
      </c>
      <c r="BF27" s="49">
        <f t="shared" si="30"/>
        <v>34.5</v>
      </c>
      <c r="BG27" s="50"/>
      <c r="BH27" s="51">
        <f t="shared" si="31"/>
        <v>0</v>
      </c>
      <c r="BI27" s="51">
        <f t="shared" si="32"/>
        <v>0</v>
      </c>
      <c r="BJ27" s="51">
        <f t="shared" si="33"/>
        <v>0</v>
      </c>
      <c r="BK27" s="52">
        <f t="shared" si="34"/>
        <v>34.5</v>
      </c>
      <c r="BL27" s="52">
        <f t="shared" si="35"/>
        <v>1</v>
      </c>
      <c r="BM27" s="52">
        <f t="shared" si="36"/>
        <v>0</v>
      </c>
    </row>
    <row r="28" spans="1:65" ht="30" customHeight="1" x14ac:dyDescent="0.25">
      <c r="A28" s="31" t="str">
        <f t="shared" si="2"/>
        <v>Д</v>
      </c>
      <c r="B28" s="31" t="str">
        <f t="shared" si="3"/>
        <v>Б</v>
      </c>
      <c r="C28" s="32" t="s">
        <v>75</v>
      </c>
      <c r="D28" s="33" t="str">
        <f t="shared" si="4"/>
        <v>Факультет физико-математических и естественных наук</v>
      </c>
      <c r="E28" s="34" t="str">
        <f t="shared" si="5"/>
        <v>'09.03.03</v>
      </c>
      <c r="F28" s="35" t="str">
        <f t="shared" si="6"/>
        <v>Прикладная информатика</v>
      </c>
      <c r="G28" s="36" t="s">
        <v>76</v>
      </c>
      <c r="H28" s="36" t="s">
        <v>77</v>
      </c>
      <c r="I28" s="37" t="s">
        <v>90</v>
      </c>
      <c r="J28" s="37"/>
      <c r="K28" s="38" t="s">
        <v>103</v>
      </c>
      <c r="L28" s="39">
        <v>2</v>
      </c>
      <c r="M28" s="39">
        <v>18</v>
      </c>
      <c r="N28" s="40" t="s">
        <v>79</v>
      </c>
      <c r="O28" s="39">
        <v>2</v>
      </c>
      <c r="P28" s="39"/>
      <c r="Q28" s="39"/>
      <c r="R28" s="40" t="s">
        <v>80</v>
      </c>
      <c r="S28" s="41"/>
      <c r="T28" s="41"/>
      <c r="U28" s="41"/>
      <c r="V28" s="41"/>
      <c r="W28" s="41"/>
      <c r="X28" s="42" t="str">
        <f t="shared" si="7"/>
        <v>НПИбд</v>
      </c>
      <c r="Y28" s="43" t="s">
        <v>92</v>
      </c>
      <c r="Z28" s="39">
        <v>6</v>
      </c>
      <c r="AA28" s="39">
        <v>3</v>
      </c>
      <c r="AB28" s="42">
        <f t="shared" si="8"/>
        <v>70</v>
      </c>
      <c r="AC28" s="39">
        <v>55</v>
      </c>
      <c r="AD28" s="39">
        <v>15</v>
      </c>
      <c r="AE28" s="44">
        <f t="shared" si="9"/>
        <v>70</v>
      </c>
      <c r="AF28" s="45">
        <f t="shared" si="10"/>
        <v>1</v>
      </c>
      <c r="AG28" s="45">
        <f t="shared" si="11"/>
        <v>1</v>
      </c>
      <c r="AH28" s="46" t="s">
        <v>82</v>
      </c>
      <c r="AI28" s="40" t="s">
        <v>83</v>
      </c>
      <c r="AJ28" s="40" t="s">
        <v>84</v>
      </c>
      <c r="AK28" s="47" t="s">
        <v>104</v>
      </c>
      <c r="AL28" s="40"/>
      <c r="AM28" s="48">
        <f t="shared" si="12"/>
        <v>36</v>
      </c>
      <c r="AN28" s="48">
        <f t="shared" si="13"/>
        <v>0</v>
      </c>
      <c r="AO28" s="48">
        <f t="shared" si="14"/>
        <v>0</v>
      </c>
      <c r="AP28" s="48">
        <f t="shared" si="15"/>
        <v>23.1</v>
      </c>
      <c r="AQ28" s="48">
        <f t="shared" si="16"/>
        <v>35</v>
      </c>
      <c r="AR28" s="48">
        <f t="shared" si="17"/>
        <v>3</v>
      </c>
      <c r="AS28" s="48">
        <f t="shared" si="18"/>
        <v>5.4</v>
      </c>
      <c r="AT28" s="48">
        <f t="shared" si="19"/>
        <v>0</v>
      </c>
      <c r="AU28" s="48">
        <f t="shared" si="20"/>
        <v>0</v>
      </c>
      <c r="AV28" s="48">
        <f t="shared" si="21"/>
        <v>0</v>
      </c>
      <c r="AW28" s="48">
        <f>IF(N28="ПП",РПП*AB28*(V28/1.5),IF(N28="ВП",ВПр*AB28*(V28/1.5),IF(N28="РПА",РПА*AB28*(V28/1.5),IF(N28="КПА",кпа*AB28*(V28/1.5),0))))</f>
        <v>0</v>
      </c>
      <c r="AX28" s="48">
        <f t="shared" si="22"/>
        <v>0</v>
      </c>
      <c r="AY28" s="48">
        <f t="shared" si="23"/>
        <v>0</v>
      </c>
      <c r="AZ28" s="48">
        <f t="shared" si="24"/>
        <v>0</v>
      </c>
      <c r="BA28" s="48">
        <f t="shared" si="25"/>
        <v>0</v>
      </c>
      <c r="BB28" s="48">
        <f t="shared" si="26"/>
        <v>0</v>
      </c>
      <c r="BC28" s="48">
        <f t="shared" si="27"/>
        <v>0</v>
      </c>
      <c r="BD28" s="48">
        <f t="shared" si="28"/>
        <v>0</v>
      </c>
      <c r="BE28" s="48">
        <f t="shared" si="29"/>
        <v>0</v>
      </c>
      <c r="BF28" s="49">
        <f t="shared" si="30"/>
        <v>102.5</v>
      </c>
      <c r="BG28" s="50"/>
      <c r="BH28" s="51">
        <f t="shared" si="31"/>
        <v>0</v>
      </c>
      <c r="BI28" s="51">
        <f t="shared" si="32"/>
        <v>0</v>
      </c>
      <c r="BJ28" s="51">
        <f t="shared" si="33"/>
        <v>0</v>
      </c>
      <c r="BK28" s="52">
        <f t="shared" si="34"/>
        <v>36</v>
      </c>
      <c r="BL28" s="52">
        <f t="shared" si="35"/>
        <v>1</v>
      </c>
      <c r="BM28" s="52">
        <f t="shared" si="36"/>
        <v>66.5</v>
      </c>
    </row>
    <row r="29" spans="1:65" ht="30" customHeight="1" x14ac:dyDescent="0.25">
      <c r="A29" s="31" t="str">
        <f t="shared" si="2"/>
        <v>Д</v>
      </c>
      <c r="B29" s="31" t="str">
        <f t="shared" si="3"/>
        <v>Б</v>
      </c>
      <c r="C29" s="32" t="s">
        <v>75</v>
      </c>
      <c r="D29" s="33" t="str">
        <f t="shared" si="4"/>
        <v>Факультет физико-математических и естественных наук</v>
      </c>
      <c r="E29" s="34" t="str">
        <f t="shared" si="5"/>
        <v>'09.03.03</v>
      </c>
      <c r="F29" s="35" t="str">
        <f t="shared" si="6"/>
        <v>Прикладная информатика</v>
      </c>
      <c r="G29" s="36" t="s">
        <v>76</v>
      </c>
      <c r="H29" s="36" t="s">
        <v>77</v>
      </c>
      <c r="I29" s="37" t="s">
        <v>90</v>
      </c>
      <c r="J29" s="37"/>
      <c r="K29" s="38" t="s">
        <v>103</v>
      </c>
      <c r="L29" s="39">
        <v>2</v>
      </c>
      <c r="M29" s="39">
        <v>18</v>
      </c>
      <c r="N29" s="40" t="s">
        <v>94</v>
      </c>
      <c r="O29" s="39"/>
      <c r="P29" s="39">
        <v>2</v>
      </c>
      <c r="Q29" s="39"/>
      <c r="R29" s="40"/>
      <c r="S29" s="41"/>
      <c r="T29" s="41"/>
      <c r="U29" s="41"/>
      <c r="V29" s="41"/>
      <c r="W29" s="41"/>
      <c r="X29" s="42" t="str">
        <f t="shared" si="7"/>
        <v>НПИбд</v>
      </c>
      <c r="Y29" s="43" t="s">
        <v>87</v>
      </c>
      <c r="Z29" s="39">
        <v>1</v>
      </c>
      <c r="AA29" s="39">
        <v>1</v>
      </c>
      <c r="AB29" s="42">
        <f t="shared" si="8"/>
        <v>24</v>
      </c>
      <c r="AC29" s="39">
        <v>19</v>
      </c>
      <c r="AD29" s="39">
        <v>5</v>
      </c>
      <c r="AE29" s="44">
        <f t="shared" si="9"/>
        <v>12</v>
      </c>
      <c r="AF29" s="45">
        <f t="shared" si="10"/>
        <v>1</v>
      </c>
      <c r="AG29" s="45">
        <f t="shared" si="11"/>
        <v>2</v>
      </c>
      <c r="AH29" s="46" t="s">
        <v>82</v>
      </c>
      <c r="AI29" s="40" t="s">
        <v>83</v>
      </c>
      <c r="AJ29" s="40" t="s">
        <v>84</v>
      </c>
      <c r="AK29" s="47" t="s">
        <v>104</v>
      </c>
      <c r="AL29" s="40"/>
      <c r="AM29" s="48">
        <f t="shared" si="12"/>
        <v>0</v>
      </c>
      <c r="AN29" s="48">
        <f t="shared" si="13"/>
        <v>0</v>
      </c>
      <c r="AO29" s="48">
        <f t="shared" si="14"/>
        <v>36</v>
      </c>
      <c r="AP29" s="48">
        <f t="shared" si="15"/>
        <v>0</v>
      </c>
      <c r="AQ29" s="48">
        <f t="shared" si="16"/>
        <v>0</v>
      </c>
      <c r="AR29" s="48">
        <f t="shared" si="17"/>
        <v>0</v>
      </c>
      <c r="AS29" s="48">
        <f t="shared" si="18"/>
        <v>0</v>
      </c>
      <c r="AT29" s="48">
        <f t="shared" si="19"/>
        <v>0</v>
      </c>
      <c r="AU29" s="48">
        <f t="shared" si="20"/>
        <v>0</v>
      </c>
      <c r="AV29" s="48">
        <f t="shared" si="21"/>
        <v>0</v>
      </c>
      <c r="AW29" s="48">
        <f>IF(N29="ПП",РПП*AB29*(V29/1.5),IF(N29="ВП",ВПр*AB29*(V29/1.5),IF(N29="РПА",РПА*AB29*(V29/1.5),IF(N29="КПА",кпа*AB29*(V29/1.5),0))))</f>
        <v>0</v>
      </c>
      <c r="AX29" s="48">
        <f t="shared" si="22"/>
        <v>0</v>
      </c>
      <c r="AY29" s="48">
        <f t="shared" si="23"/>
        <v>0</v>
      </c>
      <c r="AZ29" s="48">
        <f t="shared" si="24"/>
        <v>0</v>
      </c>
      <c r="BA29" s="48">
        <f t="shared" si="25"/>
        <v>0</v>
      </c>
      <c r="BB29" s="48">
        <f t="shared" si="26"/>
        <v>0</v>
      </c>
      <c r="BC29" s="48">
        <f t="shared" si="27"/>
        <v>0</v>
      </c>
      <c r="BD29" s="48">
        <f t="shared" si="28"/>
        <v>0</v>
      </c>
      <c r="BE29" s="48">
        <f t="shared" si="29"/>
        <v>0</v>
      </c>
      <c r="BF29" s="49">
        <f t="shared" si="30"/>
        <v>36</v>
      </c>
      <c r="BG29" s="50"/>
      <c r="BH29" s="51">
        <f t="shared" si="31"/>
        <v>0</v>
      </c>
      <c r="BI29" s="51">
        <f t="shared" si="32"/>
        <v>0</v>
      </c>
      <c r="BJ29" s="51">
        <f t="shared" si="33"/>
        <v>0</v>
      </c>
      <c r="BK29" s="52">
        <f t="shared" si="34"/>
        <v>36</v>
      </c>
      <c r="BL29" s="52">
        <f t="shared" si="35"/>
        <v>1</v>
      </c>
      <c r="BM29" s="52">
        <f t="shared" si="36"/>
        <v>0</v>
      </c>
    </row>
    <row r="30" spans="1:65" ht="30" customHeight="1" x14ac:dyDescent="0.25">
      <c r="A30" s="31" t="str">
        <f t="shared" si="2"/>
        <v>Д</v>
      </c>
      <c r="B30" s="31" t="str">
        <f t="shared" si="3"/>
        <v>Б</v>
      </c>
      <c r="C30" s="32" t="s">
        <v>75</v>
      </c>
      <c r="D30" s="33" t="str">
        <f t="shared" si="4"/>
        <v>Факультет физико-математических и естественных наук</v>
      </c>
      <c r="E30" s="34" t="str">
        <f t="shared" si="5"/>
        <v>'09.03.03</v>
      </c>
      <c r="F30" s="35" t="str">
        <f t="shared" si="6"/>
        <v>Прикладная информатика</v>
      </c>
      <c r="G30" s="36" t="s">
        <v>76</v>
      </c>
      <c r="H30" s="36" t="s">
        <v>77</v>
      </c>
      <c r="I30" s="37" t="s">
        <v>90</v>
      </c>
      <c r="J30" s="37"/>
      <c r="K30" s="38" t="s">
        <v>103</v>
      </c>
      <c r="L30" s="39">
        <v>2</v>
      </c>
      <c r="M30" s="39">
        <v>18</v>
      </c>
      <c r="N30" s="40" t="s">
        <v>94</v>
      </c>
      <c r="O30" s="39"/>
      <c r="P30" s="39">
        <v>2</v>
      </c>
      <c r="Q30" s="39"/>
      <c r="R30" s="40"/>
      <c r="S30" s="41"/>
      <c r="T30" s="41"/>
      <c r="U30" s="41"/>
      <c r="V30" s="41"/>
      <c r="W30" s="41"/>
      <c r="X30" s="42" t="str">
        <f t="shared" si="7"/>
        <v>НПИбд</v>
      </c>
      <c r="Y30" s="43" t="s">
        <v>87</v>
      </c>
      <c r="Z30" s="39">
        <v>1</v>
      </c>
      <c r="AA30" s="39">
        <v>1</v>
      </c>
      <c r="AB30" s="42">
        <f t="shared" si="8"/>
        <v>0</v>
      </c>
      <c r="AC30" s="39"/>
      <c r="AD30" s="39"/>
      <c r="AE30" s="44">
        <f t="shared" si="9"/>
        <v>12</v>
      </c>
      <c r="AF30" s="45">
        <f t="shared" si="10"/>
        <v>0</v>
      </c>
      <c r="AG30" s="45">
        <f t="shared" si="11"/>
        <v>0</v>
      </c>
      <c r="AH30" s="46" t="s">
        <v>82</v>
      </c>
      <c r="AI30" s="40" t="s">
        <v>83</v>
      </c>
      <c r="AJ30" s="40" t="s">
        <v>84</v>
      </c>
      <c r="AK30" s="47" t="s">
        <v>104</v>
      </c>
      <c r="AL30" s="40"/>
      <c r="AM30" s="48">
        <f t="shared" si="12"/>
        <v>0</v>
      </c>
      <c r="AN30" s="48">
        <f t="shared" si="13"/>
        <v>0</v>
      </c>
      <c r="AO30" s="48">
        <f t="shared" si="14"/>
        <v>0</v>
      </c>
      <c r="AP30" s="48">
        <f t="shared" si="15"/>
        <v>0</v>
      </c>
      <c r="AQ30" s="48">
        <f t="shared" si="16"/>
        <v>0</v>
      </c>
      <c r="AR30" s="48">
        <f t="shared" si="17"/>
        <v>0</v>
      </c>
      <c r="AS30" s="48">
        <f t="shared" si="18"/>
        <v>0</v>
      </c>
      <c r="AT30" s="48">
        <f t="shared" si="19"/>
        <v>0</v>
      </c>
      <c r="AU30" s="48">
        <f t="shared" si="20"/>
        <v>0</v>
      </c>
      <c r="AV30" s="48">
        <f t="shared" si="21"/>
        <v>0</v>
      </c>
      <c r="AW30" s="48">
        <f>IF(N30="ПП",РПП*AB30*(V30/1.5),IF(N30="ВП",ВПр*AB30*(V30/1.5),IF(N30="РПА",РПА*AB30*(V30/1.5),IF(N30="КПА",кпа*AB30*(V30/1.5),0))))</f>
        <v>0</v>
      </c>
      <c r="AX30" s="48">
        <f t="shared" si="22"/>
        <v>0</v>
      </c>
      <c r="AY30" s="48">
        <f t="shared" si="23"/>
        <v>0</v>
      </c>
      <c r="AZ30" s="48">
        <f t="shared" si="24"/>
        <v>0</v>
      </c>
      <c r="BA30" s="48">
        <f t="shared" si="25"/>
        <v>0</v>
      </c>
      <c r="BB30" s="48">
        <f t="shared" si="26"/>
        <v>0</v>
      </c>
      <c r="BC30" s="48">
        <f t="shared" si="27"/>
        <v>0</v>
      </c>
      <c r="BD30" s="48">
        <f t="shared" si="28"/>
        <v>0</v>
      </c>
      <c r="BE30" s="48">
        <f t="shared" si="29"/>
        <v>0</v>
      </c>
      <c r="BF30" s="49">
        <f t="shared" si="30"/>
        <v>0</v>
      </c>
      <c r="BG30" s="50"/>
      <c r="BH30" s="51">
        <f t="shared" si="31"/>
        <v>0</v>
      </c>
      <c r="BI30" s="51">
        <f t="shared" si="32"/>
        <v>0</v>
      </c>
      <c r="BJ30" s="51">
        <f t="shared" si="33"/>
        <v>0</v>
      </c>
      <c r="BK30" s="52">
        <f t="shared" si="34"/>
        <v>0</v>
      </c>
      <c r="BL30" s="52">
        <f t="shared" si="35"/>
        <v>0</v>
      </c>
      <c r="BM30" s="52">
        <f t="shared" si="36"/>
        <v>0</v>
      </c>
    </row>
    <row r="31" spans="1:65" ht="30" customHeight="1" x14ac:dyDescent="0.25">
      <c r="A31" s="31" t="str">
        <f t="shared" si="2"/>
        <v>Д</v>
      </c>
      <c r="B31" s="31" t="str">
        <f t="shared" si="3"/>
        <v>Б</v>
      </c>
      <c r="C31" s="32" t="s">
        <v>75</v>
      </c>
      <c r="D31" s="33" t="str">
        <f t="shared" si="4"/>
        <v>Факультет физико-математических и естественных наук</v>
      </c>
      <c r="E31" s="34" t="str">
        <f t="shared" si="5"/>
        <v>'09.03.03</v>
      </c>
      <c r="F31" s="35" t="str">
        <f t="shared" si="6"/>
        <v>Прикладная информатика</v>
      </c>
      <c r="G31" s="36" t="s">
        <v>76</v>
      </c>
      <c r="H31" s="36" t="s">
        <v>77</v>
      </c>
      <c r="I31" s="37" t="s">
        <v>90</v>
      </c>
      <c r="J31" s="37"/>
      <c r="K31" s="38" t="s">
        <v>103</v>
      </c>
      <c r="L31" s="39">
        <v>2</v>
      </c>
      <c r="M31" s="39">
        <v>18</v>
      </c>
      <c r="N31" s="40" t="s">
        <v>94</v>
      </c>
      <c r="O31" s="39"/>
      <c r="P31" s="39">
        <v>2</v>
      </c>
      <c r="Q31" s="39"/>
      <c r="R31" s="40"/>
      <c r="S31" s="41"/>
      <c r="T31" s="41"/>
      <c r="U31" s="41"/>
      <c r="V31" s="41"/>
      <c r="W31" s="41"/>
      <c r="X31" s="42" t="str">
        <f t="shared" si="7"/>
        <v>НПИбд</v>
      </c>
      <c r="Y31" s="43" t="s">
        <v>88</v>
      </c>
      <c r="Z31" s="39">
        <v>1</v>
      </c>
      <c r="AA31" s="39">
        <v>1</v>
      </c>
      <c r="AB31" s="42">
        <f t="shared" si="8"/>
        <v>23</v>
      </c>
      <c r="AC31" s="39">
        <v>18</v>
      </c>
      <c r="AD31" s="39">
        <v>5</v>
      </c>
      <c r="AE31" s="44">
        <f t="shared" si="9"/>
        <v>12</v>
      </c>
      <c r="AF31" s="45">
        <f t="shared" si="10"/>
        <v>1</v>
      </c>
      <c r="AG31" s="45">
        <f t="shared" si="11"/>
        <v>1.9166666666666667</v>
      </c>
      <c r="AH31" s="46" t="s">
        <v>82</v>
      </c>
      <c r="AI31" s="40" t="s">
        <v>83</v>
      </c>
      <c r="AJ31" s="40" t="s">
        <v>84</v>
      </c>
      <c r="AK31" s="47" t="s">
        <v>104</v>
      </c>
      <c r="AL31" s="40"/>
      <c r="AM31" s="48">
        <f t="shared" si="12"/>
        <v>0</v>
      </c>
      <c r="AN31" s="48">
        <f t="shared" si="13"/>
        <v>0</v>
      </c>
      <c r="AO31" s="48">
        <f t="shared" si="14"/>
        <v>36</v>
      </c>
      <c r="AP31" s="48">
        <f t="shared" si="15"/>
        <v>0</v>
      </c>
      <c r="AQ31" s="48">
        <f t="shared" si="16"/>
        <v>0</v>
      </c>
      <c r="AR31" s="48">
        <f t="shared" si="17"/>
        <v>0</v>
      </c>
      <c r="AS31" s="48">
        <f t="shared" si="18"/>
        <v>0</v>
      </c>
      <c r="AT31" s="48">
        <f t="shared" si="19"/>
        <v>0</v>
      </c>
      <c r="AU31" s="48">
        <f t="shared" si="20"/>
        <v>0</v>
      </c>
      <c r="AV31" s="48">
        <f t="shared" si="21"/>
        <v>0</v>
      </c>
      <c r="AW31" s="48">
        <f>IF(N31="ПП",РПП*AB31*(V31/1.5),IF(N31="ВП",ВПр*AB31*(V31/1.5),IF(N31="РПА",РПА*AB31*(V31/1.5),IF(N31="КПА",кпа*AB31*(V31/1.5),0))))</f>
        <v>0</v>
      </c>
      <c r="AX31" s="48">
        <f t="shared" si="22"/>
        <v>0</v>
      </c>
      <c r="AY31" s="48">
        <f t="shared" si="23"/>
        <v>0</v>
      </c>
      <c r="AZ31" s="48">
        <f t="shared" si="24"/>
        <v>0</v>
      </c>
      <c r="BA31" s="48">
        <f t="shared" si="25"/>
        <v>0</v>
      </c>
      <c r="BB31" s="48">
        <f t="shared" si="26"/>
        <v>0</v>
      </c>
      <c r="BC31" s="48">
        <f t="shared" si="27"/>
        <v>0</v>
      </c>
      <c r="BD31" s="48">
        <f t="shared" si="28"/>
        <v>0</v>
      </c>
      <c r="BE31" s="48">
        <f t="shared" si="29"/>
        <v>0</v>
      </c>
      <c r="BF31" s="49">
        <f t="shared" si="30"/>
        <v>36</v>
      </c>
      <c r="BG31" s="50"/>
      <c r="BH31" s="51">
        <f t="shared" si="31"/>
        <v>0</v>
      </c>
      <c r="BI31" s="51">
        <f t="shared" si="32"/>
        <v>0</v>
      </c>
      <c r="BJ31" s="51">
        <f t="shared" si="33"/>
        <v>0</v>
      </c>
      <c r="BK31" s="52">
        <f t="shared" si="34"/>
        <v>36</v>
      </c>
      <c r="BL31" s="52">
        <f t="shared" si="35"/>
        <v>1</v>
      </c>
      <c r="BM31" s="52">
        <f t="shared" si="36"/>
        <v>0</v>
      </c>
    </row>
    <row r="32" spans="1:65" ht="30" customHeight="1" x14ac:dyDescent="0.25">
      <c r="A32" s="31" t="str">
        <f t="shared" si="2"/>
        <v>Д</v>
      </c>
      <c r="B32" s="31" t="str">
        <f t="shared" si="3"/>
        <v>Б</v>
      </c>
      <c r="C32" s="32" t="s">
        <v>75</v>
      </c>
      <c r="D32" s="33" t="str">
        <f t="shared" si="4"/>
        <v>Факультет физико-математических и естественных наук</v>
      </c>
      <c r="E32" s="34" t="str">
        <f t="shared" si="5"/>
        <v>'09.03.03</v>
      </c>
      <c r="F32" s="35" t="str">
        <f t="shared" si="6"/>
        <v>Прикладная информатика</v>
      </c>
      <c r="G32" s="36" t="s">
        <v>76</v>
      </c>
      <c r="H32" s="36" t="s">
        <v>77</v>
      </c>
      <c r="I32" s="37" t="s">
        <v>90</v>
      </c>
      <c r="J32" s="37"/>
      <c r="K32" s="38" t="s">
        <v>103</v>
      </c>
      <c r="L32" s="39">
        <v>2</v>
      </c>
      <c r="M32" s="39">
        <v>18</v>
      </c>
      <c r="N32" s="40" t="s">
        <v>94</v>
      </c>
      <c r="O32" s="39"/>
      <c r="P32" s="39">
        <v>2</v>
      </c>
      <c r="Q32" s="39"/>
      <c r="R32" s="40"/>
      <c r="S32" s="41"/>
      <c r="T32" s="41"/>
      <c r="U32" s="41"/>
      <c r="V32" s="41"/>
      <c r="W32" s="41"/>
      <c r="X32" s="42" t="str">
        <f t="shared" si="7"/>
        <v>НПИбд</v>
      </c>
      <c r="Y32" s="43" t="s">
        <v>88</v>
      </c>
      <c r="Z32" s="39">
        <v>1</v>
      </c>
      <c r="AA32" s="39">
        <v>1</v>
      </c>
      <c r="AB32" s="42">
        <f t="shared" si="8"/>
        <v>0</v>
      </c>
      <c r="AC32" s="39"/>
      <c r="AD32" s="39"/>
      <c r="AE32" s="44">
        <f t="shared" si="9"/>
        <v>12</v>
      </c>
      <c r="AF32" s="45">
        <f t="shared" si="10"/>
        <v>0</v>
      </c>
      <c r="AG32" s="45">
        <f t="shared" si="11"/>
        <v>0</v>
      </c>
      <c r="AH32" s="46" t="s">
        <v>82</v>
      </c>
      <c r="AI32" s="40" t="s">
        <v>83</v>
      </c>
      <c r="AJ32" s="40" t="s">
        <v>84</v>
      </c>
      <c r="AK32" s="47" t="s">
        <v>104</v>
      </c>
      <c r="AL32" s="40"/>
      <c r="AM32" s="48">
        <f t="shared" si="12"/>
        <v>0</v>
      </c>
      <c r="AN32" s="48">
        <f t="shared" si="13"/>
        <v>0</v>
      </c>
      <c r="AO32" s="48">
        <f t="shared" si="14"/>
        <v>0</v>
      </c>
      <c r="AP32" s="48">
        <f t="shared" si="15"/>
        <v>0</v>
      </c>
      <c r="AQ32" s="48">
        <f t="shared" si="16"/>
        <v>0</v>
      </c>
      <c r="AR32" s="48">
        <f t="shared" si="17"/>
        <v>0</v>
      </c>
      <c r="AS32" s="48">
        <f t="shared" si="18"/>
        <v>0</v>
      </c>
      <c r="AT32" s="48">
        <f t="shared" si="19"/>
        <v>0</v>
      </c>
      <c r="AU32" s="48">
        <f t="shared" si="20"/>
        <v>0</v>
      </c>
      <c r="AV32" s="48">
        <f t="shared" si="21"/>
        <v>0</v>
      </c>
      <c r="AW32" s="48">
        <f>IF(N32="ПП",РПП*AB32*(V32/1.5),IF(N32="ВП",ВПр*AB32*(V32/1.5),IF(N32="РПА",РПА*AB32*(V32/1.5),IF(N32="КПА",кпа*AB32*(V32/1.5),0))))</f>
        <v>0</v>
      </c>
      <c r="AX32" s="48">
        <f t="shared" si="22"/>
        <v>0</v>
      </c>
      <c r="AY32" s="48">
        <f t="shared" si="23"/>
        <v>0</v>
      </c>
      <c r="AZ32" s="48">
        <f t="shared" si="24"/>
        <v>0</v>
      </c>
      <c r="BA32" s="48">
        <f t="shared" si="25"/>
        <v>0</v>
      </c>
      <c r="BB32" s="48">
        <f t="shared" si="26"/>
        <v>0</v>
      </c>
      <c r="BC32" s="48">
        <f t="shared" si="27"/>
        <v>0</v>
      </c>
      <c r="BD32" s="48">
        <f t="shared" si="28"/>
        <v>0</v>
      </c>
      <c r="BE32" s="48">
        <f t="shared" si="29"/>
        <v>0</v>
      </c>
      <c r="BF32" s="49">
        <f t="shared" si="30"/>
        <v>0</v>
      </c>
      <c r="BG32" s="50"/>
      <c r="BH32" s="51">
        <f t="shared" si="31"/>
        <v>0</v>
      </c>
      <c r="BI32" s="51">
        <f t="shared" si="32"/>
        <v>0</v>
      </c>
      <c r="BJ32" s="51">
        <f t="shared" si="33"/>
        <v>0</v>
      </c>
      <c r="BK32" s="52">
        <f t="shared" si="34"/>
        <v>0</v>
      </c>
      <c r="BL32" s="52">
        <f t="shared" si="35"/>
        <v>0</v>
      </c>
      <c r="BM32" s="52">
        <f t="shared" si="36"/>
        <v>0</v>
      </c>
    </row>
    <row r="33" spans="1:65" ht="30" customHeight="1" x14ac:dyDescent="0.25">
      <c r="A33" s="31" t="str">
        <f t="shared" si="2"/>
        <v>Д</v>
      </c>
      <c r="B33" s="31" t="str">
        <f t="shared" si="3"/>
        <v>Б</v>
      </c>
      <c r="C33" s="32" t="s">
        <v>75</v>
      </c>
      <c r="D33" s="33" t="str">
        <f t="shared" si="4"/>
        <v>Факультет физико-математических и естественных наук</v>
      </c>
      <c r="E33" s="34" t="str">
        <f t="shared" si="5"/>
        <v>'09.03.03</v>
      </c>
      <c r="F33" s="35" t="str">
        <f t="shared" si="6"/>
        <v>Прикладная информатика</v>
      </c>
      <c r="G33" s="36" t="s">
        <v>76</v>
      </c>
      <c r="H33" s="36" t="s">
        <v>77</v>
      </c>
      <c r="I33" s="37" t="s">
        <v>90</v>
      </c>
      <c r="J33" s="37"/>
      <c r="K33" s="38" t="s">
        <v>103</v>
      </c>
      <c r="L33" s="39">
        <v>2</v>
      </c>
      <c r="M33" s="39">
        <v>18</v>
      </c>
      <c r="N33" s="40" t="s">
        <v>94</v>
      </c>
      <c r="O33" s="39"/>
      <c r="P33" s="39">
        <v>2</v>
      </c>
      <c r="Q33" s="39"/>
      <c r="R33" s="40"/>
      <c r="S33" s="41"/>
      <c r="T33" s="41"/>
      <c r="U33" s="41"/>
      <c r="V33" s="41"/>
      <c r="W33" s="41"/>
      <c r="X33" s="42" t="str">
        <f t="shared" si="7"/>
        <v>НПИбд</v>
      </c>
      <c r="Y33" s="43" t="s">
        <v>89</v>
      </c>
      <c r="Z33" s="39">
        <v>1</v>
      </c>
      <c r="AA33" s="39">
        <v>1</v>
      </c>
      <c r="AB33" s="42">
        <f t="shared" si="8"/>
        <v>23</v>
      </c>
      <c r="AC33" s="39">
        <v>18</v>
      </c>
      <c r="AD33" s="39">
        <v>5</v>
      </c>
      <c r="AE33" s="44">
        <f t="shared" si="9"/>
        <v>12</v>
      </c>
      <c r="AF33" s="45">
        <f t="shared" si="10"/>
        <v>1</v>
      </c>
      <c r="AG33" s="45">
        <f t="shared" si="11"/>
        <v>1.9166666666666667</v>
      </c>
      <c r="AH33" s="46" t="s">
        <v>82</v>
      </c>
      <c r="AI33" s="40" t="s">
        <v>83</v>
      </c>
      <c r="AJ33" s="40" t="s">
        <v>84</v>
      </c>
      <c r="AK33" s="47" t="s">
        <v>104</v>
      </c>
      <c r="AL33" s="40"/>
      <c r="AM33" s="48">
        <f t="shared" si="12"/>
        <v>0</v>
      </c>
      <c r="AN33" s="48">
        <f t="shared" si="13"/>
        <v>0</v>
      </c>
      <c r="AO33" s="48">
        <f t="shared" si="14"/>
        <v>36</v>
      </c>
      <c r="AP33" s="48">
        <f t="shared" si="15"/>
        <v>0</v>
      </c>
      <c r="AQ33" s="48">
        <f t="shared" si="16"/>
        <v>0</v>
      </c>
      <c r="AR33" s="48">
        <f t="shared" si="17"/>
        <v>0</v>
      </c>
      <c r="AS33" s="48">
        <f t="shared" si="18"/>
        <v>0</v>
      </c>
      <c r="AT33" s="48">
        <f t="shared" si="19"/>
        <v>0</v>
      </c>
      <c r="AU33" s="48">
        <f t="shared" si="20"/>
        <v>0</v>
      </c>
      <c r="AV33" s="48">
        <f t="shared" si="21"/>
        <v>0</v>
      </c>
      <c r="AW33" s="48">
        <f>IF(N33="ПП",РПП*AB33*(V33/1.5),IF(N33="ВП",ВПр*AB33*(V33/1.5),IF(N33="РПА",РПА*AB33*(V33/1.5),IF(N33="КПА",кпа*AB33*(V33/1.5),0))))</f>
        <v>0</v>
      </c>
      <c r="AX33" s="48">
        <f t="shared" si="22"/>
        <v>0</v>
      </c>
      <c r="AY33" s="48">
        <f t="shared" si="23"/>
        <v>0</v>
      </c>
      <c r="AZ33" s="48">
        <f t="shared" si="24"/>
        <v>0</v>
      </c>
      <c r="BA33" s="48">
        <f t="shared" si="25"/>
        <v>0</v>
      </c>
      <c r="BB33" s="48">
        <f t="shared" si="26"/>
        <v>0</v>
      </c>
      <c r="BC33" s="48">
        <f t="shared" si="27"/>
        <v>0</v>
      </c>
      <c r="BD33" s="48">
        <f t="shared" si="28"/>
        <v>0</v>
      </c>
      <c r="BE33" s="48">
        <f t="shared" si="29"/>
        <v>0</v>
      </c>
      <c r="BF33" s="49">
        <f t="shared" si="30"/>
        <v>36</v>
      </c>
      <c r="BG33" s="50"/>
      <c r="BH33" s="51">
        <f t="shared" si="31"/>
        <v>0</v>
      </c>
      <c r="BI33" s="51">
        <f t="shared" si="32"/>
        <v>0</v>
      </c>
      <c r="BJ33" s="51">
        <f t="shared" si="33"/>
        <v>0</v>
      </c>
      <c r="BK33" s="52">
        <f t="shared" si="34"/>
        <v>36</v>
      </c>
      <c r="BL33" s="52">
        <f t="shared" si="35"/>
        <v>1</v>
      </c>
      <c r="BM33" s="52">
        <f t="shared" si="36"/>
        <v>0</v>
      </c>
    </row>
    <row r="34" spans="1:65" ht="30" customHeight="1" x14ac:dyDescent="0.25">
      <c r="A34" s="31" t="str">
        <f t="shared" si="2"/>
        <v>Д</v>
      </c>
      <c r="B34" s="31" t="str">
        <f t="shared" si="3"/>
        <v>Б</v>
      </c>
      <c r="C34" s="32" t="s">
        <v>75</v>
      </c>
      <c r="D34" s="33" t="str">
        <f t="shared" si="4"/>
        <v>Факультет физико-математических и естественных наук</v>
      </c>
      <c r="E34" s="34" t="str">
        <f t="shared" si="5"/>
        <v>'09.03.03</v>
      </c>
      <c r="F34" s="35" t="str">
        <f t="shared" si="6"/>
        <v>Прикладная информатика</v>
      </c>
      <c r="G34" s="36" t="s">
        <v>76</v>
      </c>
      <c r="H34" s="36" t="s">
        <v>77</v>
      </c>
      <c r="I34" s="37" t="s">
        <v>90</v>
      </c>
      <c r="J34" s="37"/>
      <c r="K34" s="38" t="s">
        <v>103</v>
      </c>
      <c r="L34" s="39">
        <v>2</v>
      </c>
      <c r="M34" s="39">
        <v>18</v>
      </c>
      <c r="N34" s="40" t="s">
        <v>94</v>
      </c>
      <c r="O34" s="39"/>
      <c r="P34" s="39">
        <v>2</v>
      </c>
      <c r="Q34" s="39"/>
      <c r="R34" s="40"/>
      <c r="S34" s="41"/>
      <c r="T34" s="41"/>
      <c r="U34" s="41"/>
      <c r="V34" s="41"/>
      <c r="W34" s="41"/>
      <c r="X34" s="42" t="str">
        <f t="shared" si="7"/>
        <v>НПИбд</v>
      </c>
      <c r="Y34" s="43" t="s">
        <v>89</v>
      </c>
      <c r="Z34" s="39">
        <v>1</v>
      </c>
      <c r="AA34" s="39">
        <v>1</v>
      </c>
      <c r="AB34" s="42">
        <f t="shared" si="8"/>
        <v>0</v>
      </c>
      <c r="AC34" s="39"/>
      <c r="AD34" s="39"/>
      <c r="AE34" s="44">
        <f t="shared" si="9"/>
        <v>12</v>
      </c>
      <c r="AF34" s="45">
        <f t="shared" si="10"/>
        <v>0</v>
      </c>
      <c r="AG34" s="45">
        <f t="shared" si="11"/>
        <v>0</v>
      </c>
      <c r="AH34" s="46" t="s">
        <v>82</v>
      </c>
      <c r="AI34" s="40" t="s">
        <v>83</v>
      </c>
      <c r="AJ34" s="40" t="s">
        <v>84</v>
      </c>
      <c r="AK34" s="47" t="s">
        <v>104</v>
      </c>
      <c r="AL34" s="40"/>
      <c r="AM34" s="48">
        <f t="shared" si="12"/>
        <v>0</v>
      </c>
      <c r="AN34" s="48">
        <f t="shared" si="13"/>
        <v>0</v>
      </c>
      <c r="AO34" s="48">
        <f t="shared" si="14"/>
        <v>0</v>
      </c>
      <c r="AP34" s="48">
        <f t="shared" si="15"/>
        <v>0</v>
      </c>
      <c r="AQ34" s="48">
        <f t="shared" si="16"/>
        <v>0</v>
      </c>
      <c r="AR34" s="48">
        <f t="shared" si="17"/>
        <v>0</v>
      </c>
      <c r="AS34" s="48">
        <f t="shared" si="18"/>
        <v>0</v>
      </c>
      <c r="AT34" s="48">
        <f t="shared" si="19"/>
        <v>0</v>
      </c>
      <c r="AU34" s="48">
        <f t="shared" si="20"/>
        <v>0</v>
      </c>
      <c r="AV34" s="48">
        <f t="shared" si="21"/>
        <v>0</v>
      </c>
      <c r="AW34" s="48">
        <f>IF(N34="ПП",РПП*AB34*(V34/1.5),IF(N34="ВП",ВПр*AB34*(V34/1.5),IF(N34="РПА",РПА*AB34*(V34/1.5),IF(N34="КПА",кпа*AB34*(V34/1.5),0))))</f>
        <v>0</v>
      </c>
      <c r="AX34" s="48">
        <f t="shared" si="22"/>
        <v>0</v>
      </c>
      <c r="AY34" s="48">
        <f t="shared" si="23"/>
        <v>0</v>
      </c>
      <c r="AZ34" s="48">
        <f t="shared" si="24"/>
        <v>0</v>
      </c>
      <c r="BA34" s="48">
        <f t="shared" si="25"/>
        <v>0</v>
      </c>
      <c r="BB34" s="48">
        <f t="shared" si="26"/>
        <v>0</v>
      </c>
      <c r="BC34" s="48">
        <f t="shared" si="27"/>
        <v>0</v>
      </c>
      <c r="BD34" s="48">
        <f t="shared" si="28"/>
        <v>0</v>
      </c>
      <c r="BE34" s="48">
        <f t="shared" si="29"/>
        <v>0</v>
      </c>
      <c r="BF34" s="49">
        <f t="shared" si="30"/>
        <v>0</v>
      </c>
      <c r="BG34" s="50"/>
      <c r="BH34" s="51">
        <f t="shared" si="31"/>
        <v>0</v>
      </c>
      <c r="BI34" s="51">
        <f t="shared" si="32"/>
        <v>0</v>
      </c>
      <c r="BJ34" s="51">
        <f t="shared" si="33"/>
        <v>0</v>
      </c>
      <c r="BK34" s="52">
        <f t="shared" si="34"/>
        <v>0</v>
      </c>
      <c r="BL34" s="52">
        <f t="shared" si="35"/>
        <v>0</v>
      </c>
      <c r="BM34" s="52">
        <f t="shared" si="36"/>
        <v>0</v>
      </c>
    </row>
    <row r="35" spans="1:65" ht="30" customHeight="1" x14ac:dyDescent="0.25">
      <c r="A35" s="31" t="str">
        <f t="shared" si="2"/>
        <v>Д</v>
      </c>
      <c r="B35" s="31" t="str">
        <f t="shared" si="3"/>
        <v>Б</v>
      </c>
      <c r="C35" s="32" t="s">
        <v>75</v>
      </c>
      <c r="D35" s="33" t="str">
        <f t="shared" si="4"/>
        <v>Факультет физико-математических и естественных наук</v>
      </c>
      <c r="E35" s="34" t="str">
        <f t="shared" si="5"/>
        <v>'09.03.03</v>
      </c>
      <c r="F35" s="35" t="str">
        <f t="shared" si="6"/>
        <v>Прикладная информатика</v>
      </c>
      <c r="G35" s="36" t="s">
        <v>76</v>
      </c>
      <c r="H35" s="36" t="s">
        <v>77</v>
      </c>
      <c r="I35" s="37" t="s">
        <v>90</v>
      </c>
      <c r="J35" s="37"/>
      <c r="K35" s="38" t="s">
        <v>105</v>
      </c>
      <c r="L35" s="39">
        <v>3</v>
      </c>
      <c r="M35" s="39">
        <v>18</v>
      </c>
      <c r="N35" s="40" t="s">
        <v>79</v>
      </c>
      <c r="O35" s="39">
        <v>1</v>
      </c>
      <c r="P35" s="39"/>
      <c r="Q35" s="39"/>
      <c r="R35" s="40" t="s">
        <v>80</v>
      </c>
      <c r="S35" s="41"/>
      <c r="T35" s="41"/>
      <c r="U35" s="41"/>
      <c r="V35" s="41"/>
      <c r="W35" s="41"/>
      <c r="X35" s="42" t="str">
        <f t="shared" si="7"/>
        <v>НПИбд</v>
      </c>
      <c r="Y35" s="39" t="s">
        <v>106</v>
      </c>
      <c r="Z35" s="39">
        <v>6</v>
      </c>
      <c r="AA35" s="39">
        <v>3</v>
      </c>
      <c r="AB35" s="42">
        <f t="shared" si="8"/>
        <v>64</v>
      </c>
      <c r="AC35" s="39">
        <v>52</v>
      </c>
      <c r="AD35" s="39">
        <v>12</v>
      </c>
      <c r="AE35" s="44">
        <f t="shared" si="9"/>
        <v>64</v>
      </c>
      <c r="AF35" s="45">
        <f t="shared" si="10"/>
        <v>1</v>
      </c>
      <c r="AG35" s="45">
        <f t="shared" si="11"/>
        <v>1</v>
      </c>
      <c r="AH35" s="46" t="s">
        <v>82</v>
      </c>
      <c r="AI35" s="40" t="s">
        <v>83</v>
      </c>
      <c r="AJ35" s="40" t="s">
        <v>84</v>
      </c>
      <c r="AK35" s="47" t="s">
        <v>93</v>
      </c>
      <c r="AL35" s="40"/>
      <c r="AM35" s="48">
        <f t="shared" si="12"/>
        <v>18</v>
      </c>
      <c r="AN35" s="48">
        <f t="shared" si="13"/>
        <v>0</v>
      </c>
      <c r="AO35" s="48">
        <f t="shared" si="14"/>
        <v>0</v>
      </c>
      <c r="AP35" s="48">
        <f t="shared" si="15"/>
        <v>21.12</v>
      </c>
      <c r="AQ35" s="48">
        <f t="shared" si="16"/>
        <v>32</v>
      </c>
      <c r="AR35" s="48">
        <f t="shared" si="17"/>
        <v>3</v>
      </c>
      <c r="AS35" s="48">
        <f t="shared" si="18"/>
        <v>2.7</v>
      </c>
      <c r="AT35" s="48">
        <f t="shared" si="19"/>
        <v>0</v>
      </c>
      <c r="AU35" s="48">
        <f t="shared" si="20"/>
        <v>0</v>
      </c>
      <c r="AV35" s="48">
        <f t="shared" si="21"/>
        <v>0</v>
      </c>
      <c r="AW35" s="48">
        <f>IF(N35="ПП",РПП*AB35*(V35/1.5),IF(N35="ВП",ВПр*AB35*(V35/1.5),IF(N35="РПА",РПА*AB35*(V35/1.5),IF(N35="КПА",кпа*AB35*(V35/1.5),0))))</f>
        <v>0</v>
      </c>
      <c r="AX35" s="48">
        <f t="shared" si="22"/>
        <v>0</v>
      </c>
      <c r="AY35" s="48">
        <f t="shared" si="23"/>
        <v>0</v>
      </c>
      <c r="AZ35" s="48">
        <f t="shared" si="24"/>
        <v>0</v>
      </c>
      <c r="BA35" s="48">
        <f t="shared" si="25"/>
        <v>0</v>
      </c>
      <c r="BB35" s="48">
        <f t="shared" si="26"/>
        <v>0</v>
      </c>
      <c r="BC35" s="48">
        <f t="shared" si="27"/>
        <v>0</v>
      </c>
      <c r="BD35" s="48">
        <f t="shared" si="28"/>
        <v>0</v>
      </c>
      <c r="BE35" s="48">
        <f t="shared" si="29"/>
        <v>0</v>
      </c>
      <c r="BF35" s="49">
        <f t="shared" si="30"/>
        <v>76.820000000000007</v>
      </c>
      <c r="BG35" s="50"/>
      <c r="BH35" s="51">
        <f t="shared" si="31"/>
        <v>18</v>
      </c>
      <c r="BI35" s="51">
        <f t="shared" si="32"/>
        <v>0.5</v>
      </c>
      <c r="BJ35" s="51">
        <f t="shared" si="33"/>
        <v>58.820000000000007</v>
      </c>
      <c r="BK35" s="52">
        <f t="shared" si="34"/>
        <v>0</v>
      </c>
      <c r="BL35" s="52">
        <f t="shared" si="35"/>
        <v>0</v>
      </c>
      <c r="BM35" s="52">
        <f t="shared" si="36"/>
        <v>0</v>
      </c>
    </row>
    <row r="36" spans="1:65" ht="30" customHeight="1" x14ac:dyDescent="0.25">
      <c r="A36" s="31" t="str">
        <f t="shared" si="2"/>
        <v>Д</v>
      </c>
      <c r="B36" s="31" t="str">
        <f t="shared" si="3"/>
        <v>Б</v>
      </c>
      <c r="C36" s="32" t="s">
        <v>75</v>
      </c>
      <c r="D36" s="33" t="str">
        <f t="shared" si="4"/>
        <v>Факультет физико-математических и естественных наук</v>
      </c>
      <c r="E36" s="34" t="str">
        <f t="shared" si="5"/>
        <v>'09.03.03</v>
      </c>
      <c r="F36" s="35" t="str">
        <f t="shared" si="6"/>
        <v>Прикладная информатика</v>
      </c>
      <c r="G36" s="36" t="s">
        <v>76</v>
      </c>
      <c r="H36" s="36" t="s">
        <v>77</v>
      </c>
      <c r="I36" s="37" t="s">
        <v>90</v>
      </c>
      <c r="J36" s="37"/>
      <c r="K36" s="38" t="s">
        <v>105</v>
      </c>
      <c r="L36" s="39">
        <v>3</v>
      </c>
      <c r="M36" s="39">
        <v>18</v>
      </c>
      <c r="N36" s="40" t="s">
        <v>94</v>
      </c>
      <c r="O36" s="39"/>
      <c r="P36" s="39">
        <v>1</v>
      </c>
      <c r="Q36" s="39"/>
      <c r="R36" s="40"/>
      <c r="S36" s="41"/>
      <c r="T36" s="41"/>
      <c r="U36" s="41"/>
      <c r="V36" s="41"/>
      <c r="W36" s="41"/>
      <c r="X36" s="42" t="str">
        <f t="shared" si="7"/>
        <v>НПИбд</v>
      </c>
      <c r="Y36" s="39" t="s">
        <v>107</v>
      </c>
      <c r="Z36" s="39">
        <v>1</v>
      </c>
      <c r="AA36" s="39">
        <v>1</v>
      </c>
      <c r="AB36" s="42">
        <f t="shared" si="8"/>
        <v>23</v>
      </c>
      <c r="AC36" s="39">
        <v>18</v>
      </c>
      <c r="AD36" s="39">
        <v>5</v>
      </c>
      <c r="AE36" s="44">
        <f t="shared" si="9"/>
        <v>12</v>
      </c>
      <c r="AF36" s="45">
        <f t="shared" si="10"/>
        <v>1</v>
      </c>
      <c r="AG36" s="45">
        <f t="shared" si="11"/>
        <v>1.9166666666666667</v>
      </c>
      <c r="AH36" s="46" t="s">
        <v>82</v>
      </c>
      <c r="AI36" s="40" t="s">
        <v>83</v>
      </c>
      <c r="AJ36" s="40" t="s">
        <v>84</v>
      </c>
      <c r="AK36" s="53" t="s">
        <v>93</v>
      </c>
      <c r="AL36" s="40"/>
      <c r="AM36" s="48">
        <f t="shared" si="12"/>
        <v>0</v>
      </c>
      <c r="AN36" s="48">
        <f t="shared" si="13"/>
        <v>0</v>
      </c>
      <c r="AO36" s="48">
        <f t="shared" si="14"/>
        <v>18</v>
      </c>
      <c r="AP36" s="48">
        <f t="shared" si="15"/>
        <v>0</v>
      </c>
      <c r="AQ36" s="48">
        <f t="shared" si="16"/>
        <v>0</v>
      </c>
      <c r="AR36" s="48">
        <f t="shared" si="17"/>
        <v>0</v>
      </c>
      <c r="AS36" s="48">
        <f t="shared" si="18"/>
        <v>0</v>
      </c>
      <c r="AT36" s="48">
        <f t="shared" si="19"/>
        <v>0</v>
      </c>
      <c r="AU36" s="48">
        <f t="shared" si="20"/>
        <v>0</v>
      </c>
      <c r="AV36" s="48">
        <f t="shared" si="21"/>
        <v>0</v>
      </c>
      <c r="AW36" s="48">
        <f>IF(N36="ПП",РПП*AB36*(V36/1.5),IF(N36="ВП",ВПр*AB36*(V36/1.5),IF(N36="РПА",РПА*AB36*(V36/1.5),IF(N36="КПА",кпа*AB36*(V36/1.5),0))))</f>
        <v>0</v>
      </c>
      <c r="AX36" s="48">
        <f t="shared" si="22"/>
        <v>0</v>
      </c>
      <c r="AY36" s="48">
        <f t="shared" si="23"/>
        <v>0</v>
      </c>
      <c r="AZ36" s="48">
        <f t="shared" si="24"/>
        <v>0</v>
      </c>
      <c r="BA36" s="48">
        <f t="shared" si="25"/>
        <v>0</v>
      </c>
      <c r="BB36" s="48">
        <f t="shared" si="26"/>
        <v>0</v>
      </c>
      <c r="BC36" s="48">
        <f t="shared" si="27"/>
        <v>0</v>
      </c>
      <c r="BD36" s="48">
        <f t="shared" si="28"/>
        <v>0</v>
      </c>
      <c r="BE36" s="48">
        <f t="shared" si="29"/>
        <v>0</v>
      </c>
      <c r="BF36" s="49">
        <f t="shared" si="30"/>
        <v>18</v>
      </c>
      <c r="BG36" s="50"/>
      <c r="BH36" s="51">
        <f t="shared" si="31"/>
        <v>18</v>
      </c>
      <c r="BI36" s="51">
        <f t="shared" si="32"/>
        <v>0.5</v>
      </c>
      <c r="BJ36" s="51">
        <f t="shared" si="33"/>
        <v>0</v>
      </c>
      <c r="BK36" s="52">
        <f t="shared" si="34"/>
        <v>0</v>
      </c>
      <c r="BL36" s="52">
        <f t="shared" si="35"/>
        <v>0</v>
      </c>
      <c r="BM36" s="52">
        <f t="shared" si="36"/>
        <v>0</v>
      </c>
    </row>
    <row r="37" spans="1:65" ht="30" customHeight="1" x14ac:dyDescent="0.25">
      <c r="A37" s="31" t="str">
        <f t="shared" si="2"/>
        <v>Д</v>
      </c>
      <c r="B37" s="31" t="str">
        <f t="shared" si="3"/>
        <v>Б</v>
      </c>
      <c r="C37" s="32" t="s">
        <v>75</v>
      </c>
      <c r="D37" s="33" t="str">
        <f t="shared" si="4"/>
        <v>Факультет физико-математических и естественных наук</v>
      </c>
      <c r="E37" s="34" t="str">
        <f t="shared" si="5"/>
        <v>'09.03.03</v>
      </c>
      <c r="F37" s="35" t="str">
        <f t="shared" si="6"/>
        <v>Прикладная информатика</v>
      </c>
      <c r="G37" s="36" t="s">
        <v>76</v>
      </c>
      <c r="H37" s="36" t="s">
        <v>77</v>
      </c>
      <c r="I37" s="37" t="s">
        <v>90</v>
      </c>
      <c r="J37" s="37"/>
      <c r="K37" s="38" t="s">
        <v>105</v>
      </c>
      <c r="L37" s="39">
        <v>3</v>
      </c>
      <c r="M37" s="39">
        <v>18</v>
      </c>
      <c r="N37" s="40" t="s">
        <v>94</v>
      </c>
      <c r="O37" s="39"/>
      <c r="P37" s="39">
        <v>1</v>
      </c>
      <c r="Q37" s="39"/>
      <c r="R37" s="40"/>
      <c r="S37" s="41"/>
      <c r="T37" s="41"/>
      <c r="U37" s="41"/>
      <c r="V37" s="41"/>
      <c r="W37" s="41"/>
      <c r="X37" s="42" t="str">
        <f t="shared" si="7"/>
        <v>НПИбд</v>
      </c>
      <c r="Y37" s="39" t="s">
        <v>107</v>
      </c>
      <c r="Z37" s="39">
        <v>1</v>
      </c>
      <c r="AA37" s="39">
        <v>1</v>
      </c>
      <c r="AB37" s="42">
        <f t="shared" si="8"/>
        <v>0</v>
      </c>
      <c r="AC37" s="39"/>
      <c r="AD37" s="39"/>
      <c r="AE37" s="44">
        <f t="shared" si="9"/>
        <v>12</v>
      </c>
      <c r="AF37" s="45">
        <f t="shared" si="10"/>
        <v>0</v>
      </c>
      <c r="AG37" s="45">
        <f t="shared" si="11"/>
        <v>0</v>
      </c>
      <c r="AH37" s="46" t="s">
        <v>82</v>
      </c>
      <c r="AI37" s="40" t="s">
        <v>83</v>
      </c>
      <c r="AJ37" s="40" t="s">
        <v>84</v>
      </c>
      <c r="AK37" s="53" t="s">
        <v>93</v>
      </c>
      <c r="AL37" s="40"/>
      <c r="AM37" s="48">
        <f t="shared" si="12"/>
        <v>0</v>
      </c>
      <c r="AN37" s="48">
        <f t="shared" si="13"/>
        <v>0</v>
      </c>
      <c r="AO37" s="48">
        <f t="shared" si="14"/>
        <v>0</v>
      </c>
      <c r="AP37" s="48">
        <f t="shared" si="15"/>
        <v>0</v>
      </c>
      <c r="AQ37" s="48">
        <f t="shared" si="16"/>
        <v>0</v>
      </c>
      <c r="AR37" s="48">
        <f t="shared" si="17"/>
        <v>0</v>
      </c>
      <c r="AS37" s="48">
        <f t="shared" si="18"/>
        <v>0</v>
      </c>
      <c r="AT37" s="48">
        <f t="shared" si="19"/>
        <v>0</v>
      </c>
      <c r="AU37" s="48">
        <f t="shared" si="20"/>
        <v>0</v>
      </c>
      <c r="AV37" s="48">
        <f t="shared" si="21"/>
        <v>0</v>
      </c>
      <c r="AW37" s="48">
        <f>IF(N37="ПП",РПП*AB37*(V37/1.5),IF(N37="ВП",ВПр*AB37*(V37/1.5),IF(N37="РПА",РПА*AB37*(V37/1.5),IF(N37="КПА",кпа*AB37*(V37/1.5),0))))</f>
        <v>0</v>
      </c>
      <c r="AX37" s="48">
        <f t="shared" si="22"/>
        <v>0</v>
      </c>
      <c r="AY37" s="48">
        <f t="shared" si="23"/>
        <v>0</v>
      </c>
      <c r="AZ37" s="48">
        <f t="shared" si="24"/>
        <v>0</v>
      </c>
      <c r="BA37" s="48">
        <f t="shared" si="25"/>
        <v>0</v>
      </c>
      <c r="BB37" s="48">
        <f t="shared" si="26"/>
        <v>0</v>
      </c>
      <c r="BC37" s="48">
        <f t="shared" si="27"/>
        <v>0</v>
      </c>
      <c r="BD37" s="48">
        <f t="shared" si="28"/>
        <v>0</v>
      </c>
      <c r="BE37" s="48">
        <f t="shared" si="29"/>
        <v>0</v>
      </c>
      <c r="BF37" s="49">
        <f t="shared" si="30"/>
        <v>0</v>
      </c>
      <c r="BG37" s="50"/>
      <c r="BH37" s="51">
        <f t="shared" si="31"/>
        <v>0</v>
      </c>
      <c r="BI37" s="51">
        <f t="shared" si="32"/>
        <v>0</v>
      </c>
      <c r="BJ37" s="51">
        <f t="shared" si="33"/>
        <v>0</v>
      </c>
      <c r="BK37" s="52">
        <f t="shared" si="34"/>
        <v>0</v>
      </c>
      <c r="BL37" s="52">
        <f t="shared" si="35"/>
        <v>0</v>
      </c>
      <c r="BM37" s="52">
        <f t="shared" si="36"/>
        <v>0</v>
      </c>
    </row>
    <row r="38" spans="1:65" ht="30" customHeight="1" x14ac:dyDescent="0.25">
      <c r="A38" s="31" t="str">
        <f t="shared" si="2"/>
        <v>Д</v>
      </c>
      <c r="B38" s="31" t="str">
        <f t="shared" si="3"/>
        <v>Б</v>
      </c>
      <c r="C38" s="32" t="s">
        <v>75</v>
      </c>
      <c r="D38" s="33" t="str">
        <f t="shared" si="4"/>
        <v>Факультет физико-математических и естественных наук</v>
      </c>
      <c r="E38" s="34" t="str">
        <f t="shared" si="5"/>
        <v>'09.03.03</v>
      </c>
      <c r="F38" s="35" t="str">
        <f t="shared" si="6"/>
        <v>Прикладная информатика</v>
      </c>
      <c r="G38" s="36" t="s">
        <v>76</v>
      </c>
      <c r="H38" s="36" t="s">
        <v>77</v>
      </c>
      <c r="I38" s="37" t="s">
        <v>90</v>
      </c>
      <c r="J38" s="37"/>
      <c r="K38" s="38" t="s">
        <v>105</v>
      </c>
      <c r="L38" s="39">
        <v>3</v>
      </c>
      <c r="M38" s="39">
        <v>18</v>
      </c>
      <c r="N38" s="40" t="s">
        <v>94</v>
      </c>
      <c r="O38" s="39"/>
      <c r="P38" s="39">
        <v>1</v>
      </c>
      <c r="Q38" s="39"/>
      <c r="R38" s="40"/>
      <c r="S38" s="41"/>
      <c r="T38" s="41"/>
      <c r="U38" s="41"/>
      <c r="V38" s="41"/>
      <c r="W38" s="41"/>
      <c r="X38" s="42" t="str">
        <f t="shared" si="7"/>
        <v>НПИбд</v>
      </c>
      <c r="Y38" s="39" t="s">
        <v>108</v>
      </c>
      <c r="Z38" s="39">
        <v>1</v>
      </c>
      <c r="AA38" s="39">
        <v>1</v>
      </c>
      <c r="AB38" s="42">
        <f t="shared" si="8"/>
        <v>23</v>
      </c>
      <c r="AC38" s="39">
        <v>17</v>
      </c>
      <c r="AD38" s="39">
        <v>6</v>
      </c>
      <c r="AE38" s="44">
        <f t="shared" si="9"/>
        <v>12</v>
      </c>
      <c r="AF38" s="45">
        <f t="shared" si="10"/>
        <v>1</v>
      </c>
      <c r="AG38" s="45">
        <f t="shared" si="11"/>
        <v>1.9166666666666667</v>
      </c>
      <c r="AH38" s="46" t="s">
        <v>82</v>
      </c>
      <c r="AI38" s="40" t="s">
        <v>99</v>
      </c>
      <c r="AJ38" s="40" t="s">
        <v>84</v>
      </c>
      <c r="AK38" s="54" t="s">
        <v>109</v>
      </c>
      <c r="AL38" s="40"/>
      <c r="AM38" s="48">
        <f t="shared" si="12"/>
        <v>0</v>
      </c>
      <c r="AN38" s="48">
        <f t="shared" si="13"/>
        <v>0</v>
      </c>
      <c r="AO38" s="48">
        <f t="shared" si="14"/>
        <v>18</v>
      </c>
      <c r="AP38" s="48">
        <f t="shared" si="15"/>
        <v>0</v>
      </c>
      <c r="AQ38" s="48">
        <f t="shared" si="16"/>
        <v>0</v>
      </c>
      <c r="AR38" s="48">
        <f t="shared" si="17"/>
        <v>0</v>
      </c>
      <c r="AS38" s="48">
        <f t="shared" si="18"/>
        <v>0</v>
      </c>
      <c r="AT38" s="48">
        <f t="shared" si="19"/>
        <v>0</v>
      </c>
      <c r="AU38" s="48">
        <f t="shared" si="20"/>
        <v>0</v>
      </c>
      <c r="AV38" s="48">
        <f t="shared" si="21"/>
        <v>0</v>
      </c>
      <c r="AW38" s="48">
        <f>IF(N38="ПП",РПП*AB38*(V38/1.5),IF(N38="ВП",ВПр*AB38*(V38/1.5),IF(N38="РПА",РПА*AB38*(V38/1.5),IF(N38="КПА",кпа*AB38*(V38/1.5),0))))</f>
        <v>0</v>
      </c>
      <c r="AX38" s="48">
        <f t="shared" si="22"/>
        <v>0</v>
      </c>
      <c r="AY38" s="48">
        <f t="shared" si="23"/>
        <v>0</v>
      </c>
      <c r="AZ38" s="48">
        <f t="shared" si="24"/>
        <v>0</v>
      </c>
      <c r="BA38" s="48">
        <f t="shared" si="25"/>
        <v>0</v>
      </c>
      <c r="BB38" s="48">
        <f t="shared" si="26"/>
        <v>0</v>
      </c>
      <c r="BC38" s="48">
        <f t="shared" si="27"/>
        <v>0</v>
      </c>
      <c r="BD38" s="48">
        <f t="shared" si="28"/>
        <v>0</v>
      </c>
      <c r="BE38" s="48">
        <f t="shared" si="29"/>
        <v>0</v>
      </c>
      <c r="BF38" s="49">
        <f t="shared" si="30"/>
        <v>18</v>
      </c>
      <c r="BG38" s="50"/>
      <c r="BH38" s="51">
        <f t="shared" si="31"/>
        <v>18</v>
      </c>
      <c r="BI38" s="51">
        <f t="shared" si="32"/>
        <v>0.5</v>
      </c>
      <c r="BJ38" s="51">
        <f t="shared" si="33"/>
        <v>0</v>
      </c>
      <c r="BK38" s="52">
        <f t="shared" si="34"/>
        <v>0</v>
      </c>
      <c r="BL38" s="52">
        <f t="shared" si="35"/>
        <v>0</v>
      </c>
      <c r="BM38" s="52">
        <f t="shared" si="36"/>
        <v>0</v>
      </c>
    </row>
    <row r="39" spans="1:65" ht="30" customHeight="1" x14ac:dyDescent="0.25">
      <c r="A39" s="31" t="str">
        <f t="shared" si="2"/>
        <v>Д</v>
      </c>
      <c r="B39" s="31" t="str">
        <f t="shared" si="3"/>
        <v>Б</v>
      </c>
      <c r="C39" s="32" t="s">
        <v>75</v>
      </c>
      <c r="D39" s="33" t="str">
        <f t="shared" si="4"/>
        <v>Факультет физико-математических и естественных наук</v>
      </c>
      <c r="E39" s="34" t="str">
        <f t="shared" si="5"/>
        <v>'09.03.03</v>
      </c>
      <c r="F39" s="35" t="str">
        <f t="shared" si="6"/>
        <v>Прикладная информатика</v>
      </c>
      <c r="G39" s="36" t="s">
        <v>76</v>
      </c>
      <c r="H39" s="36" t="s">
        <v>77</v>
      </c>
      <c r="I39" s="37" t="s">
        <v>90</v>
      </c>
      <c r="J39" s="37"/>
      <c r="K39" s="38" t="s">
        <v>105</v>
      </c>
      <c r="L39" s="39">
        <v>3</v>
      </c>
      <c r="M39" s="39">
        <v>18</v>
      </c>
      <c r="N39" s="40" t="s">
        <v>94</v>
      </c>
      <c r="O39" s="39"/>
      <c r="P39" s="39">
        <v>1</v>
      </c>
      <c r="Q39" s="39"/>
      <c r="R39" s="40"/>
      <c r="S39" s="41"/>
      <c r="T39" s="41"/>
      <c r="U39" s="41"/>
      <c r="V39" s="41"/>
      <c r="W39" s="41"/>
      <c r="X39" s="42" t="str">
        <f t="shared" si="7"/>
        <v>НПИбд</v>
      </c>
      <c r="Y39" s="39" t="s">
        <v>108</v>
      </c>
      <c r="Z39" s="39">
        <v>1</v>
      </c>
      <c r="AA39" s="39">
        <v>1</v>
      </c>
      <c r="AB39" s="42">
        <f t="shared" si="8"/>
        <v>0</v>
      </c>
      <c r="AC39" s="39"/>
      <c r="AD39" s="39"/>
      <c r="AE39" s="44">
        <f t="shared" si="9"/>
        <v>12</v>
      </c>
      <c r="AF39" s="45">
        <f t="shared" si="10"/>
        <v>0</v>
      </c>
      <c r="AG39" s="45">
        <f t="shared" si="11"/>
        <v>0</v>
      </c>
      <c r="AH39" s="46" t="s">
        <v>82</v>
      </c>
      <c r="AI39" s="40" t="s">
        <v>99</v>
      </c>
      <c r="AJ39" s="40" t="s">
        <v>84</v>
      </c>
      <c r="AK39" s="47" t="s">
        <v>109</v>
      </c>
      <c r="AL39" s="40"/>
      <c r="AM39" s="48">
        <f t="shared" si="12"/>
        <v>0</v>
      </c>
      <c r="AN39" s="48">
        <f t="shared" si="13"/>
        <v>0</v>
      </c>
      <c r="AO39" s="48">
        <f t="shared" si="14"/>
        <v>0</v>
      </c>
      <c r="AP39" s="48">
        <f t="shared" si="15"/>
        <v>0</v>
      </c>
      <c r="AQ39" s="48">
        <f t="shared" si="16"/>
        <v>0</v>
      </c>
      <c r="AR39" s="48">
        <f t="shared" si="17"/>
        <v>0</v>
      </c>
      <c r="AS39" s="48">
        <f t="shared" si="18"/>
        <v>0</v>
      </c>
      <c r="AT39" s="48">
        <f t="shared" si="19"/>
        <v>0</v>
      </c>
      <c r="AU39" s="48">
        <f t="shared" si="20"/>
        <v>0</v>
      </c>
      <c r="AV39" s="48">
        <f t="shared" si="21"/>
        <v>0</v>
      </c>
      <c r="AW39" s="48">
        <f>IF(N39="ПП",РПП*AB39*(V39/1.5),IF(N39="ВП",ВПр*AB39*(V39/1.5),IF(N39="РПА",РПА*AB39*(V39/1.5),IF(N39="КПА",кпа*AB39*(V39/1.5),0))))</f>
        <v>0</v>
      </c>
      <c r="AX39" s="48">
        <f t="shared" si="22"/>
        <v>0</v>
      </c>
      <c r="AY39" s="48">
        <f t="shared" si="23"/>
        <v>0</v>
      </c>
      <c r="AZ39" s="48">
        <f t="shared" si="24"/>
        <v>0</v>
      </c>
      <c r="BA39" s="48">
        <f t="shared" si="25"/>
        <v>0</v>
      </c>
      <c r="BB39" s="48">
        <f t="shared" si="26"/>
        <v>0</v>
      </c>
      <c r="BC39" s="48">
        <f t="shared" si="27"/>
        <v>0</v>
      </c>
      <c r="BD39" s="48">
        <f t="shared" si="28"/>
        <v>0</v>
      </c>
      <c r="BE39" s="48">
        <f t="shared" si="29"/>
        <v>0</v>
      </c>
      <c r="BF39" s="49">
        <f t="shared" si="30"/>
        <v>0</v>
      </c>
      <c r="BG39" s="50"/>
      <c r="BH39" s="51">
        <f t="shared" si="31"/>
        <v>0</v>
      </c>
      <c r="BI39" s="51">
        <f t="shared" si="32"/>
        <v>0</v>
      </c>
      <c r="BJ39" s="51">
        <f t="shared" si="33"/>
        <v>0</v>
      </c>
      <c r="BK39" s="52">
        <f t="shared" si="34"/>
        <v>0</v>
      </c>
      <c r="BL39" s="52">
        <f t="shared" si="35"/>
        <v>0</v>
      </c>
      <c r="BM39" s="52">
        <f t="shared" si="36"/>
        <v>0</v>
      </c>
    </row>
    <row r="40" spans="1:65" ht="30" customHeight="1" x14ac:dyDescent="0.25">
      <c r="A40" s="31" t="str">
        <f t="shared" si="2"/>
        <v>Д</v>
      </c>
      <c r="B40" s="31" t="str">
        <f t="shared" si="3"/>
        <v>Б</v>
      </c>
      <c r="C40" s="32" t="s">
        <v>75</v>
      </c>
      <c r="D40" s="33" t="str">
        <f t="shared" si="4"/>
        <v>Факультет физико-математических и естественных наук</v>
      </c>
      <c r="E40" s="34" t="str">
        <f t="shared" si="5"/>
        <v>'09.03.03</v>
      </c>
      <c r="F40" s="35" t="str">
        <f t="shared" si="6"/>
        <v>Прикладная информатика</v>
      </c>
      <c r="G40" s="36" t="s">
        <v>76</v>
      </c>
      <c r="H40" s="36" t="s">
        <v>77</v>
      </c>
      <c r="I40" s="37" t="s">
        <v>90</v>
      </c>
      <c r="J40" s="37"/>
      <c r="K40" s="38" t="s">
        <v>105</v>
      </c>
      <c r="L40" s="39">
        <v>3</v>
      </c>
      <c r="M40" s="39">
        <v>18</v>
      </c>
      <c r="N40" s="40" t="s">
        <v>94</v>
      </c>
      <c r="O40" s="39"/>
      <c r="P40" s="39">
        <v>1</v>
      </c>
      <c r="Q40" s="39"/>
      <c r="R40" s="40"/>
      <c r="S40" s="41"/>
      <c r="T40" s="41"/>
      <c r="U40" s="41"/>
      <c r="V40" s="41"/>
      <c r="W40" s="41"/>
      <c r="X40" s="42" t="str">
        <f t="shared" si="7"/>
        <v>НПИбд</v>
      </c>
      <c r="Y40" s="39" t="s">
        <v>110</v>
      </c>
      <c r="Z40" s="39">
        <v>1</v>
      </c>
      <c r="AA40" s="39">
        <v>1</v>
      </c>
      <c r="AB40" s="42">
        <f t="shared" si="8"/>
        <v>22</v>
      </c>
      <c r="AC40" s="39">
        <v>17</v>
      </c>
      <c r="AD40" s="39">
        <v>5</v>
      </c>
      <c r="AE40" s="44">
        <f t="shared" si="9"/>
        <v>12</v>
      </c>
      <c r="AF40" s="45">
        <f t="shared" si="10"/>
        <v>1</v>
      </c>
      <c r="AG40" s="45">
        <f t="shared" si="11"/>
        <v>1.8333333333333333</v>
      </c>
      <c r="AH40" s="46" t="s">
        <v>82</v>
      </c>
      <c r="AI40" s="40" t="s">
        <v>99</v>
      </c>
      <c r="AJ40" s="40" t="s">
        <v>84</v>
      </c>
      <c r="AK40" s="55" t="s">
        <v>109</v>
      </c>
      <c r="AL40" s="40"/>
      <c r="AM40" s="48">
        <f t="shared" si="12"/>
        <v>0</v>
      </c>
      <c r="AN40" s="48">
        <f t="shared" si="13"/>
        <v>0</v>
      </c>
      <c r="AO40" s="48">
        <f t="shared" si="14"/>
        <v>18</v>
      </c>
      <c r="AP40" s="48">
        <f t="shared" si="15"/>
        <v>0</v>
      </c>
      <c r="AQ40" s="48">
        <f t="shared" si="16"/>
        <v>0</v>
      </c>
      <c r="AR40" s="48">
        <f t="shared" si="17"/>
        <v>0</v>
      </c>
      <c r="AS40" s="48">
        <f t="shared" si="18"/>
        <v>0</v>
      </c>
      <c r="AT40" s="48">
        <f t="shared" si="19"/>
        <v>0</v>
      </c>
      <c r="AU40" s="48">
        <f t="shared" si="20"/>
        <v>0</v>
      </c>
      <c r="AV40" s="48">
        <f t="shared" si="21"/>
        <v>0</v>
      </c>
      <c r="AW40" s="48">
        <f>IF(N40="ПП",РПП*AB40*(V40/1.5),IF(N40="ВП",ВПр*AB40*(V40/1.5),IF(N40="РПА",РПА*AB40*(V40/1.5),IF(N40="КПА",кпа*AB40*(V40/1.5),0))))</f>
        <v>0</v>
      </c>
      <c r="AX40" s="48">
        <f t="shared" si="22"/>
        <v>0</v>
      </c>
      <c r="AY40" s="48">
        <f t="shared" si="23"/>
        <v>0</v>
      </c>
      <c r="AZ40" s="48">
        <f t="shared" si="24"/>
        <v>0</v>
      </c>
      <c r="BA40" s="48">
        <f t="shared" si="25"/>
        <v>0</v>
      </c>
      <c r="BB40" s="48">
        <f t="shared" si="26"/>
        <v>0</v>
      </c>
      <c r="BC40" s="48">
        <f t="shared" si="27"/>
        <v>0</v>
      </c>
      <c r="BD40" s="48">
        <f t="shared" si="28"/>
        <v>0</v>
      </c>
      <c r="BE40" s="48">
        <f t="shared" si="29"/>
        <v>0</v>
      </c>
      <c r="BF40" s="49">
        <f t="shared" si="30"/>
        <v>18</v>
      </c>
      <c r="BG40" s="50"/>
      <c r="BH40" s="51">
        <f t="shared" si="31"/>
        <v>18</v>
      </c>
      <c r="BI40" s="51">
        <f t="shared" si="32"/>
        <v>0.5</v>
      </c>
      <c r="BJ40" s="51">
        <f t="shared" si="33"/>
        <v>0</v>
      </c>
      <c r="BK40" s="52">
        <f t="shared" si="34"/>
        <v>0</v>
      </c>
      <c r="BL40" s="52">
        <f t="shared" si="35"/>
        <v>0</v>
      </c>
      <c r="BM40" s="52">
        <f t="shared" si="36"/>
        <v>0</v>
      </c>
    </row>
    <row r="41" spans="1:65" ht="30" customHeight="1" x14ac:dyDescent="0.25">
      <c r="A41" s="31" t="str">
        <f t="shared" si="2"/>
        <v>Д</v>
      </c>
      <c r="B41" s="31" t="str">
        <f t="shared" si="3"/>
        <v>Б</v>
      </c>
      <c r="C41" s="32" t="s">
        <v>75</v>
      </c>
      <c r="D41" s="33" t="str">
        <f t="shared" si="4"/>
        <v>Факультет физико-математических и естественных наук</v>
      </c>
      <c r="E41" s="34" t="str">
        <f t="shared" si="5"/>
        <v>'09.03.03</v>
      </c>
      <c r="F41" s="35" t="str">
        <f t="shared" si="6"/>
        <v>Прикладная информатика</v>
      </c>
      <c r="G41" s="36" t="s">
        <v>76</v>
      </c>
      <c r="H41" s="36" t="s">
        <v>77</v>
      </c>
      <c r="I41" s="37" t="s">
        <v>90</v>
      </c>
      <c r="J41" s="37"/>
      <c r="K41" s="38" t="s">
        <v>105</v>
      </c>
      <c r="L41" s="39">
        <v>3</v>
      </c>
      <c r="M41" s="39">
        <v>18</v>
      </c>
      <c r="N41" s="40" t="s">
        <v>94</v>
      </c>
      <c r="O41" s="39"/>
      <c r="P41" s="39">
        <v>1</v>
      </c>
      <c r="Q41" s="39"/>
      <c r="R41" s="40"/>
      <c r="S41" s="41"/>
      <c r="T41" s="41"/>
      <c r="U41" s="41"/>
      <c r="V41" s="41"/>
      <c r="W41" s="41"/>
      <c r="X41" s="42" t="str">
        <f t="shared" si="7"/>
        <v>НПИбд</v>
      </c>
      <c r="Y41" s="39" t="s">
        <v>110</v>
      </c>
      <c r="Z41" s="39">
        <v>1</v>
      </c>
      <c r="AA41" s="39">
        <v>1</v>
      </c>
      <c r="AB41" s="42">
        <f t="shared" si="8"/>
        <v>0</v>
      </c>
      <c r="AC41" s="39"/>
      <c r="AD41" s="39"/>
      <c r="AE41" s="44">
        <f t="shared" si="9"/>
        <v>12</v>
      </c>
      <c r="AF41" s="45">
        <f t="shared" si="10"/>
        <v>0</v>
      </c>
      <c r="AG41" s="45">
        <f t="shared" si="11"/>
        <v>0</v>
      </c>
      <c r="AH41" s="46" t="s">
        <v>82</v>
      </c>
      <c r="AI41" s="40" t="s">
        <v>99</v>
      </c>
      <c r="AJ41" s="40" t="s">
        <v>84</v>
      </c>
      <c r="AK41" s="55" t="s">
        <v>109</v>
      </c>
      <c r="AL41" s="40"/>
      <c r="AM41" s="48">
        <f t="shared" si="12"/>
        <v>0</v>
      </c>
      <c r="AN41" s="48">
        <f t="shared" si="13"/>
        <v>0</v>
      </c>
      <c r="AO41" s="48">
        <f t="shared" si="14"/>
        <v>0</v>
      </c>
      <c r="AP41" s="48">
        <f t="shared" si="15"/>
        <v>0</v>
      </c>
      <c r="AQ41" s="48">
        <f t="shared" si="16"/>
        <v>0</v>
      </c>
      <c r="AR41" s="48">
        <f t="shared" si="17"/>
        <v>0</v>
      </c>
      <c r="AS41" s="48">
        <f t="shared" si="18"/>
        <v>0</v>
      </c>
      <c r="AT41" s="48">
        <f t="shared" si="19"/>
        <v>0</v>
      </c>
      <c r="AU41" s="48">
        <f t="shared" si="20"/>
        <v>0</v>
      </c>
      <c r="AV41" s="48">
        <f t="shared" si="21"/>
        <v>0</v>
      </c>
      <c r="AW41" s="48">
        <f>IF(N41="ПП",РПП*AB41*(V41/1.5),IF(N41="ВП",ВПр*AB41*(V41/1.5),IF(N41="РПА",РПА*AB41*(V41/1.5),IF(N41="КПА",кпа*AB41*(V41/1.5),0))))</f>
        <v>0</v>
      </c>
      <c r="AX41" s="48">
        <f t="shared" si="22"/>
        <v>0</v>
      </c>
      <c r="AY41" s="48">
        <f t="shared" si="23"/>
        <v>0</v>
      </c>
      <c r="AZ41" s="48">
        <f t="shared" si="24"/>
        <v>0</v>
      </c>
      <c r="BA41" s="48">
        <f t="shared" si="25"/>
        <v>0</v>
      </c>
      <c r="BB41" s="48">
        <f t="shared" si="26"/>
        <v>0</v>
      </c>
      <c r="BC41" s="48">
        <f t="shared" si="27"/>
        <v>0</v>
      </c>
      <c r="BD41" s="48">
        <f t="shared" si="28"/>
        <v>0</v>
      </c>
      <c r="BE41" s="48">
        <f t="shared" si="29"/>
        <v>0</v>
      </c>
      <c r="BF41" s="49">
        <f t="shared" si="30"/>
        <v>0</v>
      </c>
      <c r="BG41" s="50"/>
      <c r="BH41" s="51">
        <f t="shared" si="31"/>
        <v>0</v>
      </c>
      <c r="BI41" s="51">
        <f t="shared" si="32"/>
        <v>0</v>
      </c>
      <c r="BJ41" s="51">
        <f t="shared" si="33"/>
        <v>0</v>
      </c>
      <c r="BK41" s="52">
        <f t="shared" si="34"/>
        <v>0</v>
      </c>
      <c r="BL41" s="52">
        <f t="shared" si="35"/>
        <v>0</v>
      </c>
      <c r="BM41" s="52">
        <f t="shared" si="36"/>
        <v>0</v>
      </c>
    </row>
    <row r="42" spans="1:65" ht="30" customHeight="1" x14ac:dyDescent="0.25">
      <c r="A42" s="31" t="str">
        <f t="shared" si="2"/>
        <v>Д</v>
      </c>
      <c r="B42" s="31" t="str">
        <f t="shared" si="3"/>
        <v>Б</v>
      </c>
      <c r="C42" s="32" t="s">
        <v>75</v>
      </c>
      <c r="D42" s="33" t="str">
        <f t="shared" si="4"/>
        <v>Факультет физико-математических и естественных наук</v>
      </c>
      <c r="E42" s="34" t="str">
        <f t="shared" si="5"/>
        <v>'09.03.03</v>
      </c>
      <c r="F42" s="35" t="str">
        <f t="shared" si="6"/>
        <v>Прикладная информатика</v>
      </c>
      <c r="G42" s="36" t="s">
        <v>76</v>
      </c>
      <c r="H42" s="36" t="s">
        <v>77</v>
      </c>
      <c r="I42" s="37" t="s">
        <v>90</v>
      </c>
      <c r="J42" s="37"/>
      <c r="K42" s="38" t="s">
        <v>111</v>
      </c>
      <c r="L42" s="39">
        <v>3</v>
      </c>
      <c r="M42" s="39">
        <v>18</v>
      </c>
      <c r="N42" s="40" t="s">
        <v>79</v>
      </c>
      <c r="O42" s="39">
        <v>1</v>
      </c>
      <c r="P42" s="39"/>
      <c r="Q42" s="39"/>
      <c r="R42" s="40"/>
      <c r="S42" s="41"/>
      <c r="T42" s="41"/>
      <c r="U42" s="41"/>
      <c r="V42" s="41"/>
      <c r="W42" s="41"/>
      <c r="X42" s="42" t="str">
        <f t="shared" si="7"/>
        <v>НПИбд</v>
      </c>
      <c r="Y42" s="39" t="s">
        <v>106</v>
      </c>
      <c r="Z42" s="39">
        <v>6</v>
      </c>
      <c r="AA42" s="39">
        <v>3</v>
      </c>
      <c r="AB42" s="42">
        <f t="shared" si="8"/>
        <v>68</v>
      </c>
      <c r="AC42" s="39">
        <v>52</v>
      </c>
      <c r="AD42" s="39">
        <v>16</v>
      </c>
      <c r="AE42" s="44">
        <f t="shared" si="9"/>
        <v>68</v>
      </c>
      <c r="AF42" s="45">
        <f t="shared" si="10"/>
        <v>1</v>
      </c>
      <c r="AG42" s="45">
        <f t="shared" si="11"/>
        <v>1</v>
      </c>
      <c r="AH42" s="46" t="s">
        <v>82</v>
      </c>
      <c r="AI42" s="40" t="s">
        <v>112</v>
      </c>
      <c r="AJ42" s="40" t="s">
        <v>84</v>
      </c>
      <c r="AK42" s="47" t="s">
        <v>113</v>
      </c>
      <c r="AL42" s="40"/>
      <c r="AM42" s="48">
        <f t="shared" si="12"/>
        <v>18</v>
      </c>
      <c r="AN42" s="48">
        <f t="shared" si="13"/>
        <v>0</v>
      </c>
      <c r="AO42" s="48">
        <f t="shared" si="14"/>
        <v>0</v>
      </c>
      <c r="AP42" s="48">
        <f t="shared" si="15"/>
        <v>0</v>
      </c>
      <c r="AQ42" s="48">
        <f t="shared" si="16"/>
        <v>0</v>
      </c>
      <c r="AR42" s="48">
        <f t="shared" si="17"/>
        <v>0</v>
      </c>
      <c r="AS42" s="48">
        <f t="shared" si="18"/>
        <v>2.7</v>
      </c>
      <c r="AT42" s="48">
        <f t="shared" si="19"/>
        <v>0</v>
      </c>
      <c r="AU42" s="48">
        <f t="shared" si="20"/>
        <v>0</v>
      </c>
      <c r="AV42" s="48">
        <f t="shared" si="21"/>
        <v>0</v>
      </c>
      <c r="AW42" s="48">
        <f>IF(N42="ПП",РПП*AB42*(V42/1.5),IF(N42="ВП",ВПр*AB42*(V42/1.5),IF(N42="РПА",РПА*AB42*(V42/1.5),IF(N42="КПА",кпа*AB42*(V42/1.5),0))))</f>
        <v>0</v>
      </c>
      <c r="AX42" s="48">
        <f t="shared" si="22"/>
        <v>0</v>
      </c>
      <c r="AY42" s="48">
        <f t="shared" si="23"/>
        <v>0</v>
      </c>
      <c r="AZ42" s="48">
        <f t="shared" si="24"/>
        <v>0</v>
      </c>
      <c r="BA42" s="48">
        <f t="shared" si="25"/>
        <v>0</v>
      </c>
      <c r="BB42" s="48">
        <f t="shared" si="26"/>
        <v>0</v>
      </c>
      <c r="BC42" s="48">
        <f t="shared" si="27"/>
        <v>0</v>
      </c>
      <c r="BD42" s="48">
        <f t="shared" si="28"/>
        <v>0</v>
      </c>
      <c r="BE42" s="48">
        <f t="shared" si="29"/>
        <v>0</v>
      </c>
      <c r="BF42" s="49">
        <f t="shared" si="30"/>
        <v>20.7</v>
      </c>
      <c r="BG42" s="50"/>
      <c r="BH42" s="51">
        <f t="shared" si="31"/>
        <v>18</v>
      </c>
      <c r="BI42" s="51">
        <f t="shared" si="32"/>
        <v>0.5</v>
      </c>
      <c r="BJ42" s="51">
        <f t="shared" si="33"/>
        <v>2.7</v>
      </c>
      <c r="BK42" s="52">
        <f t="shared" si="34"/>
        <v>0</v>
      </c>
      <c r="BL42" s="52">
        <f t="shared" si="35"/>
        <v>0</v>
      </c>
      <c r="BM42" s="52">
        <f t="shared" si="36"/>
        <v>0</v>
      </c>
    </row>
    <row r="43" spans="1:65" ht="30" customHeight="1" x14ac:dyDescent="0.25">
      <c r="A43" s="31" t="str">
        <f t="shared" si="2"/>
        <v>Д</v>
      </c>
      <c r="B43" s="31" t="str">
        <f t="shared" si="3"/>
        <v>Б</v>
      </c>
      <c r="C43" s="32" t="s">
        <v>75</v>
      </c>
      <c r="D43" s="33" t="str">
        <f t="shared" si="4"/>
        <v>Факультет физико-математических и естественных наук</v>
      </c>
      <c r="E43" s="34" t="str">
        <f t="shared" si="5"/>
        <v>'09.03.03</v>
      </c>
      <c r="F43" s="35" t="str">
        <f t="shared" si="6"/>
        <v>Прикладная информатика</v>
      </c>
      <c r="G43" s="36" t="s">
        <v>76</v>
      </c>
      <c r="H43" s="36" t="s">
        <v>77</v>
      </c>
      <c r="I43" s="37" t="s">
        <v>90</v>
      </c>
      <c r="J43" s="37"/>
      <c r="K43" s="38" t="s">
        <v>111</v>
      </c>
      <c r="L43" s="39">
        <v>3</v>
      </c>
      <c r="M43" s="39">
        <v>18</v>
      </c>
      <c r="N43" s="40" t="s">
        <v>86</v>
      </c>
      <c r="O43" s="39"/>
      <c r="P43" s="39"/>
      <c r="Q43" s="39">
        <v>1</v>
      </c>
      <c r="R43" s="40"/>
      <c r="S43" s="41"/>
      <c r="T43" s="41"/>
      <c r="U43" s="41"/>
      <c r="V43" s="41"/>
      <c r="W43" s="41"/>
      <c r="X43" s="42" t="str">
        <f t="shared" si="7"/>
        <v>НПИбд</v>
      </c>
      <c r="Y43" s="39" t="s">
        <v>107</v>
      </c>
      <c r="Z43" s="39">
        <v>2</v>
      </c>
      <c r="AA43" s="39">
        <v>1</v>
      </c>
      <c r="AB43" s="42">
        <f t="shared" si="8"/>
        <v>23</v>
      </c>
      <c r="AC43" s="39">
        <v>18</v>
      </c>
      <c r="AD43" s="39">
        <v>5</v>
      </c>
      <c r="AE43" s="44">
        <f t="shared" si="9"/>
        <v>24</v>
      </c>
      <c r="AF43" s="45">
        <f t="shared" si="10"/>
        <v>0.95833333333333337</v>
      </c>
      <c r="AG43" s="45">
        <f t="shared" si="11"/>
        <v>0.95833333333333337</v>
      </c>
      <c r="AH43" s="46" t="s">
        <v>82</v>
      </c>
      <c r="AI43" s="40" t="s">
        <v>112</v>
      </c>
      <c r="AJ43" s="40" t="s">
        <v>84</v>
      </c>
      <c r="AK43" s="47" t="s">
        <v>113</v>
      </c>
      <c r="AL43" s="40"/>
      <c r="AM43" s="48">
        <f t="shared" si="12"/>
        <v>0</v>
      </c>
      <c r="AN43" s="48">
        <f t="shared" si="13"/>
        <v>17.25</v>
      </c>
      <c r="AO43" s="48">
        <f t="shared" si="14"/>
        <v>0</v>
      </c>
      <c r="AP43" s="48">
        <f t="shared" si="15"/>
        <v>0</v>
      </c>
      <c r="AQ43" s="48">
        <f t="shared" si="16"/>
        <v>0</v>
      </c>
      <c r="AR43" s="48">
        <f t="shared" si="17"/>
        <v>0</v>
      </c>
      <c r="AS43" s="48">
        <f t="shared" si="18"/>
        <v>0</v>
      </c>
      <c r="AT43" s="48">
        <f t="shared" si="19"/>
        <v>0</v>
      </c>
      <c r="AU43" s="48">
        <f t="shared" si="20"/>
        <v>0</v>
      </c>
      <c r="AV43" s="48">
        <f t="shared" si="21"/>
        <v>0</v>
      </c>
      <c r="AW43" s="48">
        <f>IF(N43="ПП",РПП*AB43*(V43/1.5),IF(N43="ВП",ВПр*AB43*(V43/1.5),IF(N43="РПА",РПА*AB43*(V43/1.5),IF(N43="КПА",кпа*AB43*(V43/1.5),0))))</f>
        <v>0</v>
      </c>
      <c r="AX43" s="48">
        <f t="shared" si="22"/>
        <v>0</v>
      </c>
      <c r="AY43" s="48">
        <f t="shared" si="23"/>
        <v>0</v>
      </c>
      <c r="AZ43" s="48">
        <f t="shared" si="24"/>
        <v>0</v>
      </c>
      <c r="BA43" s="48">
        <f t="shared" si="25"/>
        <v>0</v>
      </c>
      <c r="BB43" s="48">
        <f t="shared" si="26"/>
        <v>0</v>
      </c>
      <c r="BC43" s="48">
        <f t="shared" si="27"/>
        <v>0</v>
      </c>
      <c r="BD43" s="48">
        <f t="shared" si="28"/>
        <v>0</v>
      </c>
      <c r="BE43" s="48">
        <f t="shared" si="29"/>
        <v>0</v>
      </c>
      <c r="BF43" s="49">
        <f t="shared" si="30"/>
        <v>17.25</v>
      </c>
      <c r="BG43" s="50"/>
      <c r="BH43" s="51">
        <f t="shared" si="31"/>
        <v>17.25</v>
      </c>
      <c r="BI43" s="51">
        <f t="shared" si="32"/>
        <v>0.5</v>
      </c>
      <c r="BJ43" s="51">
        <f t="shared" si="33"/>
        <v>0</v>
      </c>
      <c r="BK43" s="52">
        <f t="shared" si="34"/>
        <v>0</v>
      </c>
      <c r="BL43" s="52">
        <f t="shared" si="35"/>
        <v>0</v>
      </c>
      <c r="BM43" s="52">
        <f t="shared" si="36"/>
        <v>0</v>
      </c>
    </row>
    <row r="44" spans="1:65" ht="30" customHeight="1" x14ac:dyDescent="0.25">
      <c r="A44" s="31" t="str">
        <f t="shared" si="2"/>
        <v>Д</v>
      </c>
      <c r="B44" s="31" t="str">
        <f t="shared" si="3"/>
        <v>Б</v>
      </c>
      <c r="C44" s="32" t="s">
        <v>75</v>
      </c>
      <c r="D44" s="33" t="str">
        <f t="shared" si="4"/>
        <v>Факультет физико-математических и естественных наук</v>
      </c>
      <c r="E44" s="34" t="str">
        <f t="shared" si="5"/>
        <v>'09.03.03</v>
      </c>
      <c r="F44" s="35" t="str">
        <f t="shared" si="6"/>
        <v>Прикладная информатика</v>
      </c>
      <c r="G44" s="36" t="s">
        <v>76</v>
      </c>
      <c r="H44" s="36" t="s">
        <v>77</v>
      </c>
      <c r="I44" s="37" t="s">
        <v>90</v>
      </c>
      <c r="J44" s="37"/>
      <c r="K44" s="38" t="s">
        <v>111</v>
      </c>
      <c r="L44" s="39">
        <v>3</v>
      </c>
      <c r="M44" s="39">
        <v>18</v>
      </c>
      <c r="N44" s="40" t="s">
        <v>86</v>
      </c>
      <c r="O44" s="39"/>
      <c r="P44" s="39"/>
      <c r="Q44" s="39">
        <v>1</v>
      </c>
      <c r="R44" s="40"/>
      <c r="S44" s="41"/>
      <c r="T44" s="41"/>
      <c r="U44" s="41"/>
      <c r="V44" s="41"/>
      <c r="W44" s="41"/>
      <c r="X44" s="42" t="str">
        <f t="shared" si="7"/>
        <v>НПИбд</v>
      </c>
      <c r="Y44" s="39" t="s">
        <v>108</v>
      </c>
      <c r="Z44" s="39">
        <v>2</v>
      </c>
      <c r="AA44" s="39">
        <v>1</v>
      </c>
      <c r="AB44" s="42">
        <f t="shared" si="8"/>
        <v>23</v>
      </c>
      <c r="AC44" s="39">
        <v>17</v>
      </c>
      <c r="AD44" s="39">
        <v>6</v>
      </c>
      <c r="AE44" s="44">
        <f t="shared" si="9"/>
        <v>24</v>
      </c>
      <c r="AF44" s="45">
        <f t="shared" si="10"/>
        <v>0.95833333333333337</v>
      </c>
      <c r="AG44" s="45">
        <f t="shared" si="11"/>
        <v>0.95833333333333337</v>
      </c>
      <c r="AH44" s="46" t="s">
        <v>82</v>
      </c>
      <c r="AI44" s="40" t="s">
        <v>112</v>
      </c>
      <c r="AJ44" s="40" t="s">
        <v>84</v>
      </c>
      <c r="AK44" s="47" t="s">
        <v>113</v>
      </c>
      <c r="AL44" s="40"/>
      <c r="AM44" s="48">
        <f t="shared" si="12"/>
        <v>0</v>
      </c>
      <c r="AN44" s="48">
        <f t="shared" si="13"/>
        <v>17.25</v>
      </c>
      <c r="AO44" s="48">
        <f t="shared" si="14"/>
        <v>0</v>
      </c>
      <c r="AP44" s="48">
        <f t="shared" si="15"/>
        <v>0</v>
      </c>
      <c r="AQ44" s="48">
        <f t="shared" si="16"/>
        <v>0</v>
      </c>
      <c r="AR44" s="48">
        <f t="shared" si="17"/>
        <v>0</v>
      </c>
      <c r="AS44" s="48">
        <f t="shared" si="18"/>
        <v>0</v>
      </c>
      <c r="AT44" s="48">
        <f t="shared" si="19"/>
        <v>0</v>
      </c>
      <c r="AU44" s="48">
        <f t="shared" si="20"/>
        <v>0</v>
      </c>
      <c r="AV44" s="48">
        <f t="shared" si="21"/>
        <v>0</v>
      </c>
      <c r="AW44" s="48">
        <f>IF(N44="ПП",РПП*AB44*(V44/1.5),IF(N44="ВП",ВПр*AB44*(V44/1.5),IF(N44="РПА",РПА*AB44*(V44/1.5),IF(N44="КПА",кпа*AB44*(V44/1.5),0))))</f>
        <v>0</v>
      </c>
      <c r="AX44" s="48">
        <f t="shared" si="22"/>
        <v>0</v>
      </c>
      <c r="AY44" s="48">
        <f t="shared" si="23"/>
        <v>0</v>
      </c>
      <c r="AZ44" s="48">
        <f t="shared" si="24"/>
        <v>0</v>
      </c>
      <c r="BA44" s="48">
        <f t="shared" si="25"/>
        <v>0</v>
      </c>
      <c r="BB44" s="48">
        <f t="shared" si="26"/>
        <v>0</v>
      </c>
      <c r="BC44" s="48">
        <f t="shared" si="27"/>
        <v>0</v>
      </c>
      <c r="BD44" s="48">
        <f t="shared" si="28"/>
        <v>0</v>
      </c>
      <c r="BE44" s="48">
        <f t="shared" si="29"/>
        <v>0</v>
      </c>
      <c r="BF44" s="49">
        <f t="shared" si="30"/>
        <v>17.25</v>
      </c>
      <c r="BG44" s="50"/>
      <c r="BH44" s="51">
        <f t="shared" si="31"/>
        <v>17.25</v>
      </c>
      <c r="BI44" s="51">
        <f t="shared" si="32"/>
        <v>0.5</v>
      </c>
      <c r="BJ44" s="51">
        <f t="shared" si="33"/>
        <v>0</v>
      </c>
      <c r="BK44" s="52">
        <f t="shared" si="34"/>
        <v>0</v>
      </c>
      <c r="BL44" s="52">
        <f t="shared" si="35"/>
        <v>0</v>
      </c>
      <c r="BM44" s="52">
        <f t="shared" si="36"/>
        <v>0</v>
      </c>
    </row>
    <row r="45" spans="1:65" ht="30" customHeight="1" x14ac:dyDescent="0.25">
      <c r="A45" s="31" t="str">
        <f t="shared" si="2"/>
        <v>Д</v>
      </c>
      <c r="B45" s="31" t="str">
        <f t="shared" si="3"/>
        <v>Б</v>
      </c>
      <c r="C45" s="32" t="s">
        <v>75</v>
      </c>
      <c r="D45" s="33" t="str">
        <f t="shared" si="4"/>
        <v>Факультет физико-математических и естественных наук</v>
      </c>
      <c r="E45" s="34" t="str">
        <f t="shared" si="5"/>
        <v>'09.03.03</v>
      </c>
      <c r="F45" s="35" t="str">
        <f t="shared" si="6"/>
        <v>Прикладная информатика</v>
      </c>
      <c r="G45" s="36" t="s">
        <v>76</v>
      </c>
      <c r="H45" s="36" t="s">
        <v>77</v>
      </c>
      <c r="I45" s="37" t="s">
        <v>90</v>
      </c>
      <c r="J45" s="37"/>
      <c r="K45" s="38" t="s">
        <v>111</v>
      </c>
      <c r="L45" s="39">
        <v>3</v>
      </c>
      <c r="M45" s="39">
        <v>18</v>
      </c>
      <c r="N45" s="40" t="s">
        <v>86</v>
      </c>
      <c r="O45" s="39"/>
      <c r="P45" s="39"/>
      <c r="Q45" s="39">
        <v>1</v>
      </c>
      <c r="R45" s="40"/>
      <c r="S45" s="41"/>
      <c r="T45" s="41"/>
      <c r="U45" s="41"/>
      <c r="V45" s="41"/>
      <c r="W45" s="41"/>
      <c r="X45" s="42" t="str">
        <f t="shared" si="7"/>
        <v>НПИбд</v>
      </c>
      <c r="Y45" s="39" t="s">
        <v>110</v>
      </c>
      <c r="Z45" s="39">
        <v>2</v>
      </c>
      <c r="AA45" s="39">
        <v>1</v>
      </c>
      <c r="AB45" s="42">
        <f t="shared" si="8"/>
        <v>22</v>
      </c>
      <c r="AC45" s="39">
        <v>17</v>
      </c>
      <c r="AD45" s="39">
        <v>5</v>
      </c>
      <c r="AE45" s="44">
        <f t="shared" si="9"/>
        <v>24</v>
      </c>
      <c r="AF45" s="45">
        <f t="shared" si="10"/>
        <v>0.91666666666666663</v>
      </c>
      <c r="AG45" s="45">
        <f t="shared" si="11"/>
        <v>0.91666666666666663</v>
      </c>
      <c r="AH45" s="46" t="s">
        <v>82</v>
      </c>
      <c r="AI45" s="40" t="s">
        <v>112</v>
      </c>
      <c r="AJ45" s="40" t="s">
        <v>84</v>
      </c>
      <c r="AK45" s="47" t="s">
        <v>113</v>
      </c>
      <c r="AL45" s="40"/>
      <c r="AM45" s="48">
        <f t="shared" si="12"/>
        <v>0</v>
      </c>
      <c r="AN45" s="48">
        <f t="shared" si="13"/>
        <v>16.5</v>
      </c>
      <c r="AO45" s="48">
        <f t="shared" si="14"/>
        <v>0</v>
      </c>
      <c r="AP45" s="48">
        <f t="shared" si="15"/>
        <v>0</v>
      </c>
      <c r="AQ45" s="48">
        <f t="shared" si="16"/>
        <v>0</v>
      </c>
      <c r="AR45" s="48">
        <f t="shared" si="17"/>
        <v>0</v>
      </c>
      <c r="AS45" s="48">
        <f t="shared" si="18"/>
        <v>0</v>
      </c>
      <c r="AT45" s="48">
        <f t="shared" si="19"/>
        <v>0</v>
      </c>
      <c r="AU45" s="48">
        <f t="shared" si="20"/>
        <v>0</v>
      </c>
      <c r="AV45" s="48">
        <f t="shared" si="21"/>
        <v>0</v>
      </c>
      <c r="AW45" s="48">
        <f>IF(N45="ПП",РПП*AB45*(V45/1.5),IF(N45="ВП",ВПр*AB45*(V45/1.5),IF(N45="РПА",РПА*AB45*(V45/1.5),IF(N45="КПА",кпа*AB45*(V45/1.5),0))))</f>
        <v>0</v>
      </c>
      <c r="AX45" s="48">
        <f t="shared" si="22"/>
        <v>0</v>
      </c>
      <c r="AY45" s="48">
        <f t="shared" si="23"/>
        <v>0</v>
      </c>
      <c r="AZ45" s="48">
        <f t="shared" si="24"/>
        <v>0</v>
      </c>
      <c r="BA45" s="48">
        <f t="shared" si="25"/>
        <v>0</v>
      </c>
      <c r="BB45" s="48">
        <f t="shared" si="26"/>
        <v>0</v>
      </c>
      <c r="BC45" s="48">
        <f t="shared" si="27"/>
        <v>0</v>
      </c>
      <c r="BD45" s="48">
        <f t="shared" si="28"/>
        <v>0</v>
      </c>
      <c r="BE45" s="48">
        <f t="shared" si="29"/>
        <v>0</v>
      </c>
      <c r="BF45" s="49">
        <f t="shared" si="30"/>
        <v>16.5</v>
      </c>
      <c r="BG45" s="50"/>
      <c r="BH45" s="51">
        <f t="shared" si="31"/>
        <v>16.5</v>
      </c>
      <c r="BI45" s="51">
        <f t="shared" si="32"/>
        <v>0.5</v>
      </c>
      <c r="BJ45" s="51">
        <f t="shared" si="33"/>
        <v>0</v>
      </c>
      <c r="BK45" s="52">
        <f t="shared" si="34"/>
        <v>0</v>
      </c>
      <c r="BL45" s="52">
        <f t="shared" si="35"/>
        <v>0</v>
      </c>
      <c r="BM45" s="52">
        <f t="shared" si="36"/>
        <v>0</v>
      </c>
    </row>
    <row r="46" spans="1:65" ht="30" customHeight="1" x14ac:dyDescent="0.25">
      <c r="A46" s="31" t="str">
        <f t="shared" si="2"/>
        <v>Д</v>
      </c>
      <c r="B46" s="31" t="str">
        <f t="shared" si="3"/>
        <v>Б</v>
      </c>
      <c r="C46" s="32" t="s">
        <v>75</v>
      </c>
      <c r="D46" s="33" t="str">
        <f t="shared" si="4"/>
        <v>Факультет физико-математических и естественных наук</v>
      </c>
      <c r="E46" s="34" t="str">
        <f t="shared" si="5"/>
        <v>'09.03.03</v>
      </c>
      <c r="F46" s="35" t="str">
        <f t="shared" si="6"/>
        <v>Прикладная информатика</v>
      </c>
      <c r="G46" s="36" t="s">
        <v>76</v>
      </c>
      <c r="H46" s="36" t="s">
        <v>77</v>
      </c>
      <c r="I46" s="37" t="s">
        <v>90</v>
      </c>
      <c r="J46" s="37"/>
      <c r="K46" s="38" t="s">
        <v>114</v>
      </c>
      <c r="L46" s="39">
        <v>3</v>
      </c>
      <c r="M46" s="39">
        <v>18</v>
      </c>
      <c r="N46" s="40" t="s">
        <v>79</v>
      </c>
      <c r="O46" s="39">
        <v>1</v>
      </c>
      <c r="P46" s="39"/>
      <c r="Q46" s="39"/>
      <c r="R46" s="40"/>
      <c r="S46" s="41"/>
      <c r="T46" s="41"/>
      <c r="U46" s="41"/>
      <c r="V46" s="41"/>
      <c r="W46" s="41"/>
      <c r="X46" s="42" t="str">
        <f t="shared" si="7"/>
        <v>НПИбд</v>
      </c>
      <c r="Y46" s="39" t="s">
        <v>106</v>
      </c>
      <c r="Z46" s="39">
        <v>6</v>
      </c>
      <c r="AA46" s="39">
        <v>3</v>
      </c>
      <c r="AB46" s="42">
        <f t="shared" si="8"/>
        <v>68</v>
      </c>
      <c r="AC46" s="39">
        <v>52</v>
      </c>
      <c r="AD46" s="39">
        <v>16</v>
      </c>
      <c r="AE46" s="44">
        <f t="shared" si="9"/>
        <v>68</v>
      </c>
      <c r="AF46" s="45">
        <f t="shared" si="10"/>
        <v>1</v>
      </c>
      <c r="AG46" s="45">
        <f t="shared" si="11"/>
        <v>1</v>
      </c>
      <c r="AH46" s="46" t="s">
        <v>82</v>
      </c>
      <c r="AI46" s="40" t="s">
        <v>115</v>
      </c>
      <c r="AJ46" s="40" t="s">
        <v>116</v>
      </c>
      <c r="AK46" s="47" t="s">
        <v>117</v>
      </c>
      <c r="AL46" s="40"/>
      <c r="AM46" s="48">
        <f t="shared" si="12"/>
        <v>18</v>
      </c>
      <c r="AN46" s="48">
        <f t="shared" si="13"/>
        <v>0</v>
      </c>
      <c r="AO46" s="48">
        <f t="shared" si="14"/>
        <v>0</v>
      </c>
      <c r="AP46" s="48">
        <f t="shared" si="15"/>
        <v>0</v>
      </c>
      <c r="AQ46" s="48">
        <f t="shared" si="16"/>
        <v>0</v>
      </c>
      <c r="AR46" s="48">
        <f t="shared" si="17"/>
        <v>0</v>
      </c>
      <c r="AS46" s="48">
        <f t="shared" si="18"/>
        <v>2.7</v>
      </c>
      <c r="AT46" s="48">
        <f t="shared" si="19"/>
        <v>0</v>
      </c>
      <c r="AU46" s="48">
        <f t="shared" si="20"/>
        <v>0</v>
      </c>
      <c r="AV46" s="48">
        <f t="shared" si="21"/>
        <v>0</v>
      </c>
      <c r="AW46" s="48">
        <f>IF(N46="ПП",РПП*AB46*(V46/1.5),IF(N46="ВП",ВПр*AB46*(V46/1.5),IF(N46="РПА",РПА*AB46*(V46/1.5),IF(N46="КПА",кпа*AB46*(V46/1.5),0))))</f>
        <v>0</v>
      </c>
      <c r="AX46" s="48">
        <f t="shared" si="22"/>
        <v>0</v>
      </c>
      <c r="AY46" s="48">
        <f t="shared" si="23"/>
        <v>0</v>
      </c>
      <c r="AZ46" s="48">
        <f t="shared" si="24"/>
        <v>0</v>
      </c>
      <c r="BA46" s="48">
        <f t="shared" si="25"/>
        <v>0</v>
      </c>
      <c r="BB46" s="48">
        <f t="shared" si="26"/>
        <v>0</v>
      </c>
      <c r="BC46" s="48">
        <f t="shared" si="27"/>
        <v>0</v>
      </c>
      <c r="BD46" s="48">
        <f t="shared" si="28"/>
        <v>0</v>
      </c>
      <c r="BE46" s="48">
        <f t="shared" si="29"/>
        <v>0</v>
      </c>
      <c r="BF46" s="49">
        <f t="shared" si="30"/>
        <v>20.7</v>
      </c>
      <c r="BG46" s="50"/>
      <c r="BH46" s="51">
        <f t="shared" si="31"/>
        <v>18</v>
      </c>
      <c r="BI46" s="51">
        <f t="shared" si="32"/>
        <v>0.5</v>
      </c>
      <c r="BJ46" s="51">
        <f t="shared" si="33"/>
        <v>2.7</v>
      </c>
      <c r="BK46" s="52">
        <f t="shared" si="34"/>
        <v>0</v>
      </c>
      <c r="BL46" s="52">
        <f t="shared" si="35"/>
        <v>0</v>
      </c>
      <c r="BM46" s="52">
        <f t="shared" si="36"/>
        <v>0</v>
      </c>
    </row>
    <row r="47" spans="1:65" ht="30" customHeight="1" x14ac:dyDescent="0.25">
      <c r="A47" s="31" t="str">
        <f t="shared" si="2"/>
        <v>Д</v>
      </c>
      <c r="B47" s="31" t="str">
        <f t="shared" si="3"/>
        <v>Б</v>
      </c>
      <c r="C47" s="32" t="s">
        <v>75</v>
      </c>
      <c r="D47" s="33" t="str">
        <f t="shared" si="4"/>
        <v>Факультет физико-математических и естественных наук</v>
      </c>
      <c r="E47" s="34" t="str">
        <f t="shared" si="5"/>
        <v>'09.03.03</v>
      </c>
      <c r="F47" s="35" t="str">
        <f t="shared" si="6"/>
        <v>Прикладная информатика</v>
      </c>
      <c r="G47" s="36" t="s">
        <v>76</v>
      </c>
      <c r="H47" s="36" t="s">
        <v>77</v>
      </c>
      <c r="I47" s="37" t="s">
        <v>90</v>
      </c>
      <c r="J47" s="37"/>
      <c r="K47" s="38" t="s">
        <v>114</v>
      </c>
      <c r="L47" s="39">
        <v>3</v>
      </c>
      <c r="M47" s="39">
        <v>18</v>
      </c>
      <c r="N47" s="40" t="s">
        <v>86</v>
      </c>
      <c r="O47" s="39"/>
      <c r="P47" s="39"/>
      <c r="Q47" s="39">
        <v>1</v>
      </c>
      <c r="R47" s="40" t="s">
        <v>95</v>
      </c>
      <c r="S47" s="41"/>
      <c r="T47" s="41"/>
      <c r="U47" s="41"/>
      <c r="V47" s="41"/>
      <c r="W47" s="41"/>
      <c r="X47" s="42" t="str">
        <f t="shared" si="7"/>
        <v>НПИбд</v>
      </c>
      <c r="Y47" s="39" t="s">
        <v>107</v>
      </c>
      <c r="Z47" s="39">
        <v>2</v>
      </c>
      <c r="AA47" s="39">
        <v>1</v>
      </c>
      <c r="AB47" s="42">
        <f t="shared" si="8"/>
        <v>23</v>
      </c>
      <c r="AC47" s="39">
        <v>18</v>
      </c>
      <c r="AD47" s="39">
        <v>5</v>
      </c>
      <c r="AE47" s="44">
        <f t="shared" si="9"/>
        <v>24</v>
      </c>
      <c r="AF47" s="45">
        <f t="shared" si="10"/>
        <v>0.95833333333333337</v>
      </c>
      <c r="AG47" s="45">
        <f t="shared" si="11"/>
        <v>0.95833333333333337</v>
      </c>
      <c r="AH47" s="46" t="s">
        <v>82</v>
      </c>
      <c r="AI47" s="40" t="s">
        <v>115</v>
      </c>
      <c r="AJ47" s="40" t="s">
        <v>116</v>
      </c>
      <c r="AK47" s="47" t="s">
        <v>117</v>
      </c>
      <c r="AL47" s="40"/>
      <c r="AM47" s="48">
        <f t="shared" si="12"/>
        <v>0</v>
      </c>
      <c r="AN47" s="48">
        <f t="shared" si="13"/>
        <v>17.25</v>
      </c>
      <c r="AO47" s="48">
        <f t="shared" si="14"/>
        <v>0</v>
      </c>
      <c r="AP47" s="48">
        <f t="shared" si="15"/>
        <v>7.5900000000000007</v>
      </c>
      <c r="AQ47" s="48">
        <f t="shared" si="16"/>
        <v>11.5</v>
      </c>
      <c r="AR47" s="48">
        <f t="shared" si="17"/>
        <v>0.95833333333333337</v>
      </c>
      <c r="AS47" s="48">
        <f t="shared" si="18"/>
        <v>0</v>
      </c>
      <c r="AT47" s="48">
        <f t="shared" si="19"/>
        <v>0</v>
      </c>
      <c r="AU47" s="48">
        <f t="shared" si="20"/>
        <v>0</v>
      </c>
      <c r="AV47" s="48">
        <f t="shared" si="21"/>
        <v>0</v>
      </c>
      <c r="AW47" s="48">
        <f>IF(N47="ПП",РПП*AB47*(V47/1.5),IF(N47="ВП",ВПр*AB47*(V47/1.5),IF(N47="РПА",РПА*AB47*(V47/1.5),IF(N47="КПА",кпа*AB47*(V47/1.5),0))))</f>
        <v>0</v>
      </c>
      <c r="AX47" s="48">
        <f t="shared" si="22"/>
        <v>0</v>
      </c>
      <c r="AY47" s="48">
        <f t="shared" si="23"/>
        <v>0</v>
      </c>
      <c r="AZ47" s="48">
        <f t="shared" si="24"/>
        <v>0</v>
      </c>
      <c r="BA47" s="48">
        <f t="shared" si="25"/>
        <v>0</v>
      </c>
      <c r="BB47" s="48">
        <f t="shared" si="26"/>
        <v>0</v>
      </c>
      <c r="BC47" s="48">
        <f t="shared" si="27"/>
        <v>0</v>
      </c>
      <c r="BD47" s="48">
        <f t="shared" si="28"/>
        <v>0</v>
      </c>
      <c r="BE47" s="48">
        <f t="shared" si="29"/>
        <v>0</v>
      </c>
      <c r="BF47" s="49">
        <f t="shared" si="30"/>
        <v>37.298333333333339</v>
      </c>
      <c r="BG47" s="50"/>
      <c r="BH47" s="51">
        <f t="shared" si="31"/>
        <v>17.25</v>
      </c>
      <c r="BI47" s="51">
        <f t="shared" si="32"/>
        <v>0.5</v>
      </c>
      <c r="BJ47" s="51">
        <f t="shared" si="33"/>
        <v>20.048333333333332</v>
      </c>
      <c r="BK47" s="52">
        <f t="shared" si="34"/>
        <v>0</v>
      </c>
      <c r="BL47" s="52">
        <f t="shared" si="35"/>
        <v>0</v>
      </c>
      <c r="BM47" s="52">
        <f t="shared" si="36"/>
        <v>0</v>
      </c>
    </row>
    <row r="48" spans="1:65" ht="30" customHeight="1" x14ac:dyDescent="0.25">
      <c r="A48" s="31" t="str">
        <f t="shared" si="2"/>
        <v>Д</v>
      </c>
      <c r="B48" s="31" t="str">
        <f t="shared" si="3"/>
        <v>Б</v>
      </c>
      <c r="C48" s="32" t="s">
        <v>75</v>
      </c>
      <c r="D48" s="33" t="str">
        <f t="shared" si="4"/>
        <v>Факультет физико-математических и естественных наук</v>
      </c>
      <c r="E48" s="34" t="str">
        <f t="shared" si="5"/>
        <v>'09.03.03</v>
      </c>
      <c r="F48" s="35" t="str">
        <f t="shared" si="6"/>
        <v>Прикладная информатика</v>
      </c>
      <c r="G48" s="36" t="s">
        <v>76</v>
      </c>
      <c r="H48" s="36" t="s">
        <v>77</v>
      </c>
      <c r="I48" s="37" t="s">
        <v>90</v>
      </c>
      <c r="J48" s="37"/>
      <c r="K48" s="38" t="s">
        <v>114</v>
      </c>
      <c r="L48" s="39">
        <v>3</v>
      </c>
      <c r="M48" s="39">
        <v>18</v>
      </c>
      <c r="N48" s="40" t="s">
        <v>86</v>
      </c>
      <c r="O48" s="39"/>
      <c r="P48" s="39"/>
      <c r="Q48" s="39">
        <v>1</v>
      </c>
      <c r="R48" s="40" t="s">
        <v>95</v>
      </c>
      <c r="S48" s="41"/>
      <c r="T48" s="41"/>
      <c r="U48" s="41"/>
      <c r="V48" s="41"/>
      <c r="W48" s="41"/>
      <c r="X48" s="42" t="str">
        <f t="shared" si="7"/>
        <v>НПИбд</v>
      </c>
      <c r="Y48" s="39" t="s">
        <v>108</v>
      </c>
      <c r="Z48" s="39">
        <v>2</v>
      </c>
      <c r="AA48" s="39">
        <v>1</v>
      </c>
      <c r="AB48" s="42">
        <f t="shared" si="8"/>
        <v>23</v>
      </c>
      <c r="AC48" s="39">
        <v>17</v>
      </c>
      <c r="AD48" s="39">
        <v>6</v>
      </c>
      <c r="AE48" s="44">
        <f t="shared" si="9"/>
        <v>24</v>
      </c>
      <c r="AF48" s="45">
        <f t="shared" si="10"/>
        <v>0.95833333333333337</v>
      </c>
      <c r="AG48" s="45">
        <f t="shared" si="11"/>
        <v>0.95833333333333337</v>
      </c>
      <c r="AH48" s="46" t="s">
        <v>82</v>
      </c>
      <c r="AI48" s="40" t="s">
        <v>115</v>
      </c>
      <c r="AJ48" s="40" t="s">
        <v>116</v>
      </c>
      <c r="AK48" s="47" t="s">
        <v>117</v>
      </c>
      <c r="AL48" s="40"/>
      <c r="AM48" s="48">
        <f t="shared" si="12"/>
        <v>0</v>
      </c>
      <c r="AN48" s="48">
        <f t="shared" si="13"/>
        <v>17.25</v>
      </c>
      <c r="AO48" s="48">
        <f t="shared" si="14"/>
        <v>0</v>
      </c>
      <c r="AP48" s="48">
        <f t="shared" si="15"/>
        <v>7.5900000000000007</v>
      </c>
      <c r="AQ48" s="48">
        <f t="shared" si="16"/>
        <v>11.5</v>
      </c>
      <c r="AR48" s="48">
        <f t="shared" si="17"/>
        <v>0.95833333333333337</v>
      </c>
      <c r="AS48" s="48">
        <f t="shared" si="18"/>
        <v>0</v>
      </c>
      <c r="AT48" s="48">
        <f t="shared" si="19"/>
        <v>0</v>
      </c>
      <c r="AU48" s="48">
        <f t="shared" si="20"/>
        <v>0</v>
      </c>
      <c r="AV48" s="48">
        <f t="shared" si="21"/>
        <v>0</v>
      </c>
      <c r="AW48" s="48">
        <f>IF(N48="ПП",РПП*AB48*(V48/1.5),IF(N48="ВП",ВПр*AB48*(V48/1.5),IF(N48="РПА",РПА*AB48*(V48/1.5),IF(N48="КПА",кпа*AB48*(V48/1.5),0))))</f>
        <v>0</v>
      </c>
      <c r="AX48" s="48">
        <f t="shared" si="22"/>
        <v>0</v>
      </c>
      <c r="AY48" s="48">
        <f t="shared" si="23"/>
        <v>0</v>
      </c>
      <c r="AZ48" s="48">
        <f t="shared" si="24"/>
        <v>0</v>
      </c>
      <c r="BA48" s="48">
        <f t="shared" si="25"/>
        <v>0</v>
      </c>
      <c r="BB48" s="48">
        <f t="shared" si="26"/>
        <v>0</v>
      </c>
      <c r="BC48" s="48">
        <f t="shared" si="27"/>
        <v>0</v>
      </c>
      <c r="BD48" s="48">
        <f t="shared" si="28"/>
        <v>0</v>
      </c>
      <c r="BE48" s="48">
        <f t="shared" si="29"/>
        <v>0</v>
      </c>
      <c r="BF48" s="49">
        <f t="shared" si="30"/>
        <v>37.298333333333339</v>
      </c>
      <c r="BG48" s="50"/>
      <c r="BH48" s="51">
        <f t="shared" si="31"/>
        <v>17.25</v>
      </c>
      <c r="BI48" s="51">
        <f t="shared" si="32"/>
        <v>0.5</v>
      </c>
      <c r="BJ48" s="51">
        <f t="shared" si="33"/>
        <v>20.048333333333332</v>
      </c>
      <c r="BK48" s="52">
        <f t="shared" si="34"/>
        <v>0</v>
      </c>
      <c r="BL48" s="52">
        <f t="shared" si="35"/>
        <v>0</v>
      </c>
      <c r="BM48" s="52">
        <f t="shared" si="36"/>
        <v>0</v>
      </c>
    </row>
    <row r="49" spans="1:65" ht="30" customHeight="1" x14ac:dyDescent="0.25">
      <c r="A49" s="31" t="str">
        <f t="shared" si="2"/>
        <v>Д</v>
      </c>
      <c r="B49" s="31" t="str">
        <f t="shared" si="3"/>
        <v>Б</v>
      </c>
      <c r="C49" s="32" t="s">
        <v>75</v>
      </c>
      <c r="D49" s="33" t="str">
        <f t="shared" si="4"/>
        <v>Факультет физико-математических и естественных наук</v>
      </c>
      <c r="E49" s="34" t="str">
        <f t="shared" si="5"/>
        <v>'09.03.03</v>
      </c>
      <c r="F49" s="35" t="str">
        <f t="shared" si="6"/>
        <v>Прикладная информатика</v>
      </c>
      <c r="G49" s="36" t="s">
        <v>76</v>
      </c>
      <c r="H49" s="36" t="s">
        <v>77</v>
      </c>
      <c r="I49" s="37" t="s">
        <v>90</v>
      </c>
      <c r="J49" s="37"/>
      <c r="K49" s="38" t="s">
        <v>114</v>
      </c>
      <c r="L49" s="39">
        <v>3</v>
      </c>
      <c r="M49" s="39">
        <v>18</v>
      </c>
      <c r="N49" s="40" t="s">
        <v>86</v>
      </c>
      <c r="O49" s="39"/>
      <c r="P49" s="39"/>
      <c r="Q49" s="39">
        <v>1</v>
      </c>
      <c r="R49" s="40" t="s">
        <v>95</v>
      </c>
      <c r="S49" s="41"/>
      <c r="T49" s="41"/>
      <c r="U49" s="41"/>
      <c r="V49" s="41"/>
      <c r="W49" s="41"/>
      <c r="X49" s="42" t="str">
        <f t="shared" si="7"/>
        <v>НПИбд</v>
      </c>
      <c r="Y49" s="39" t="s">
        <v>110</v>
      </c>
      <c r="Z49" s="39">
        <v>2</v>
      </c>
      <c r="AA49" s="39">
        <v>1</v>
      </c>
      <c r="AB49" s="42">
        <f t="shared" si="8"/>
        <v>22</v>
      </c>
      <c r="AC49" s="39">
        <v>17</v>
      </c>
      <c r="AD49" s="39">
        <v>5</v>
      </c>
      <c r="AE49" s="44">
        <f t="shared" si="9"/>
        <v>24</v>
      </c>
      <c r="AF49" s="45">
        <f t="shared" si="10"/>
        <v>0.91666666666666663</v>
      </c>
      <c r="AG49" s="45">
        <f t="shared" si="11"/>
        <v>0.91666666666666663</v>
      </c>
      <c r="AH49" s="46" t="s">
        <v>82</v>
      </c>
      <c r="AI49" s="40" t="s">
        <v>115</v>
      </c>
      <c r="AJ49" s="40" t="s">
        <v>116</v>
      </c>
      <c r="AK49" s="47" t="s">
        <v>117</v>
      </c>
      <c r="AL49" s="40"/>
      <c r="AM49" s="48">
        <f t="shared" si="12"/>
        <v>0</v>
      </c>
      <c r="AN49" s="48">
        <f t="shared" si="13"/>
        <v>16.5</v>
      </c>
      <c r="AO49" s="48">
        <f t="shared" si="14"/>
        <v>0</v>
      </c>
      <c r="AP49" s="48">
        <f t="shared" si="15"/>
        <v>7.2600000000000007</v>
      </c>
      <c r="AQ49" s="48">
        <f t="shared" si="16"/>
        <v>11</v>
      </c>
      <c r="AR49" s="48">
        <f t="shared" si="17"/>
        <v>0.91666666666666663</v>
      </c>
      <c r="AS49" s="48">
        <f t="shared" si="18"/>
        <v>0</v>
      </c>
      <c r="AT49" s="48">
        <f t="shared" si="19"/>
        <v>0</v>
      </c>
      <c r="AU49" s="48">
        <f t="shared" si="20"/>
        <v>0</v>
      </c>
      <c r="AV49" s="48">
        <f t="shared" si="21"/>
        <v>0</v>
      </c>
      <c r="AW49" s="48">
        <f>IF(N49="ПП",РПП*AB49*(V49/1.5),IF(N49="ВП",ВПр*AB49*(V49/1.5),IF(N49="РПА",РПА*AB49*(V49/1.5),IF(N49="КПА",кпа*AB49*(V49/1.5),0))))</f>
        <v>0</v>
      </c>
      <c r="AX49" s="48">
        <f t="shared" si="22"/>
        <v>0</v>
      </c>
      <c r="AY49" s="48">
        <f t="shared" si="23"/>
        <v>0</v>
      </c>
      <c r="AZ49" s="48">
        <f t="shared" si="24"/>
        <v>0</v>
      </c>
      <c r="BA49" s="48">
        <f t="shared" si="25"/>
        <v>0</v>
      </c>
      <c r="BB49" s="48">
        <f t="shared" si="26"/>
        <v>0</v>
      </c>
      <c r="BC49" s="48">
        <f t="shared" si="27"/>
        <v>0</v>
      </c>
      <c r="BD49" s="48">
        <f t="shared" si="28"/>
        <v>0</v>
      </c>
      <c r="BE49" s="48">
        <f t="shared" si="29"/>
        <v>0</v>
      </c>
      <c r="BF49" s="49">
        <f t="shared" si="30"/>
        <v>35.676666666666669</v>
      </c>
      <c r="BG49" s="50"/>
      <c r="BH49" s="51">
        <f t="shared" si="31"/>
        <v>16.5</v>
      </c>
      <c r="BI49" s="51">
        <f t="shared" si="32"/>
        <v>0.5</v>
      </c>
      <c r="BJ49" s="51">
        <f t="shared" si="33"/>
        <v>19.176666666666669</v>
      </c>
      <c r="BK49" s="52">
        <f t="shared" si="34"/>
        <v>0</v>
      </c>
      <c r="BL49" s="52">
        <f t="shared" si="35"/>
        <v>0</v>
      </c>
      <c r="BM49" s="52">
        <f t="shared" si="36"/>
        <v>0</v>
      </c>
    </row>
    <row r="50" spans="1:65" ht="30" customHeight="1" x14ac:dyDescent="0.25">
      <c r="A50" s="31" t="str">
        <f t="shared" si="2"/>
        <v>Д</v>
      </c>
      <c r="B50" s="31" t="str">
        <f t="shared" si="3"/>
        <v>Б</v>
      </c>
      <c r="C50" s="32" t="s">
        <v>75</v>
      </c>
      <c r="D50" s="33" t="str">
        <f t="shared" si="4"/>
        <v>Факультет физико-математических и естественных наук</v>
      </c>
      <c r="E50" s="34" t="str">
        <f t="shared" si="5"/>
        <v>'09.03.03</v>
      </c>
      <c r="F50" s="35" t="str">
        <f t="shared" si="6"/>
        <v>Прикладная информатика</v>
      </c>
      <c r="G50" s="36" t="s">
        <v>76</v>
      </c>
      <c r="H50" s="36" t="s">
        <v>77</v>
      </c>
      <c r="I50" s="37" t="s">
        <v>90</v>
      </c>
      <c r="J50" s="37"/>
      <c r="K50" s="38" t="s">
        <v>118</v>
      </c>
      <c r="L50" s="39">
        <v>3</v>
      </c>
      <c r="M50" s="39">
        <v>18</v>
      </c>
      <c r="N50" s="40" t="s">
        <v>79</v>
      </c>
      <c r="O50" s="39">
        <v>1</v>
      </c>
      <c r="P50" s="39"/>
      <c r="Q50" s="39"/>
      <c r="R50" s="40" t="s">
        <v>80</v>
      </c>
      <c r="S50" s="41"/>
      <c r="T50" s="41"/>
      <c r="U50" s="41"/>
      <c r="V50" s="41"/>
      <c r="W50" s="41"/>
      <c r="X50" s="42" t="str">
        <f t="shared" si="7"/>
        <v>НПИбд</v>
      </c>
      <c r="Y50" s="39" t="s">
        <v>106</v>
      </c>
      <c r="Z50" s="39">
        <v>6</v>
      </c>
      <c r="AA50" s="39">
        <v>3</v>
      </c>
      <c r="AB50" s="42">
        <f t="shared" si="8"/>
        <v>64</v>
      </c>
      <c r="AC50" s="39">
        <v>52</v>
      </c>
      <c r="AD50" s="39">
        <v>12</v>
      </c>
      <c r="AE50" s="44">
        <f t="shared" si="9"/>
        <v>64</v>
      </c>
      <c r="AF50" s="45">
        <f t="shared" si="10"/>
        <v>1</v>
      </c>
      <c r="AG50" s="45">
        <f t="shared" si="11"/>
        <v>1</v>
      </c>
      <c r="AH50" s="46" t="s">
        <v>82</v>
      </c>
      <c r="AI50" s="40" t="s">
        <v>83</v>
      </c>
      <c r="AJ50" s="40" t="s">
        <v>116</v>
      </c>
      <c r="AK50" s="56" t="s">
        <v>119</v>
      </c>
      <c r="AL50" s="40"/>
      <c r="AM50" s="48">
        <f t="shared" si="12"/>
        <v>18</v>
      </c>
      <c r="AN50" s="48">
        <f t="shared" si="13"/>
        <v>0</v>
      </c>
      <c r="AO50" s="48">
        <f t="shared" si="14"/>
        <v>0</v>
      </c>
      <c r="AP50" s="48">
        <f t="shared" si="15"/>
        <v>21.12</v>
      </c>
      <c r="AQ50" s="48">
        <f t="shared" si="16"/>
        <v>32</v>
      </c>
      <c r="AR50" s="48">
        <f t="shared" si="17"/>
        <v>3</v>
      </c>
      <c r="AS50" s="48">
        <f t="shared" si="18"/>
        <v>2.7</v>
      </c>
      <c r="AT50" s="48">
        <f t="shared" si="19"/>
        <v>0</v>
      </c>
      <c r="AU50" s="48">
        <f t="shared" si="20"/>
        <v>0</v>
      </c>
      <c r="AV50" s="48">
        <f t="shared" si="21"/>
        <v>0</v>
      </c>
      <c r="AW50" s="48">
        <f>IF(N50="ПП",РПП*AB50*(V50/1.5),IF(N50="ВП",ВПр*AB50*(V50/1.5),IF(N50="РПА",РПА*AB50*(V50/1.5),IF(N50="КПА",кпа*AB50*(V50/1.5),0))))</f>
        <v>0</v>
      </c>
      <c r="AX50" s="48">
        <f t="shared" si="22"/>
        <v>0</v>
      </c>
      <c r="AY50" s="48">
        <f t="shared" si="23"/>
        <v>0</v>
      </c>
      <c r="AZ50" s="48">
        <f t="shared" si="24"/>
        <v>0</v>
      </c>
      <c r="BA50" s="48">
        <f t="shared" si="25"/>
        <v>0</v>
      </c>
      <c r="BB50" s="48">
        <f t="shared" si="26"/>
        <v>0</v>
      </c>
      <c r="BC50" s="48">
        <f t="shared" si="27"/>
        <v>0</v>
      </c>
      <c r="BD50" s="48">
        <f t="shared" si="28"/>
        <v>0</v>
      </c>
      <c r="BE50" s="48">
        <f t="shared" si="29"/>
        <v>0</v>
      </c>
      <c r="BF50" s="49">
        <f t="shared" si="30"/>
        <v>76.820000000000007</v>
      </c>
      <c r="BG50" s="50"/>
      <c r="BH50" s="51">
        <f t="shared" si="31"/>
        <v>18</v>
      </c>
      <c r="BI50" s="51">
        <f t="shared" si="32"/>
        <v>0.5</v>
      </c>
      <c r="BJ50" s="51">
        <f t="shared" si="33"/>
        <v>58.820000000000007</v>
      </c>
      <c r="BK50" s="52">
        <f t="shared" si="34"/>
        <v>0</v>
      </c>
      <c r="BL50" s="52">
        <f t="shared" si="35"/>
        <v>0</v>
      </c>
      <c r="BM50" s="52">
        <f t="shared" si="36"/>
        <v>0</v>
      </c>
    </row>
    <row r="51" spans="1:65" ht="30" customHeight="1" x14ac:dyDescent="0.25">
      <c r="A51" s="31" t="str">
        <f t="shared" si="2"/>
        <v>Д</v>
      </c>
      <c r="B51" s="31" t="str">
        <f t="shared" si="3"/>
        <v>Б</v>
      </c>
      <c r="C51" s="32" t="s">
        <v>75</v>
      </c>
      <c r="D51" s="33" t="str">
        <f t="shared" si="4"/>
        <v>Факультет физико-математических и естественных наук</v>
      </c>
      <c r="E51" s="34" t="str">
        <f t="shared" si="5"/>
        <v>'09.03.03</v>
      </c>
      <c r="F51" s="35" t="str">
        <f t="shared" si="6"/>
        <v>Прикладная информатика</v>
      </c>
      <c r="G51" s="36" t="s">
        <v>76</v>
      </c>
      <c r="H51" s="36" t="s">
        <v>77</v>
      </c>
      <c r="I51" s="37" t="s">
        <v>90</v>
      </c>
      <c r="J51" s="37"/>
      <c r="K51" s="38" t="s">
        <v>118</v>
      </c>
      <c r="L51" s="39">
        <v>3</v>
      </c>
      <c r="M51" s="39">
        <v>18</v>
      </c>
      <c r="N51" s="40" t="s">
        <v>94</v>
      </c>
      <c r="O51" s="39"/>
      <c r="P51" s="39">
        <v>2</v>
      </c>
      <c r="Q51" s="39"/>
      <c r="R51" s="40"/>
      <c r="S51" s="41"/>
      <c r="T51" s="41"/>
      <c r="U51" s="41"/>
      <c r="V51" s="41"/>
      <c r="W51" s="41"/>
      <c r="X51" s="42" t="str">
        <f t="shared" si="7"/>
        <v>НПИбд</v>
      </c>
      <c r="Y51" s="39" t="s">
        <v>107</v>
      </c>
      <c r="Z51" s="39">
        <v>1</v>
      </c>
      <c r="AA51" s="39">
        <v>1</v>
      </c>
      <c r="AB51" s="42">
        <f t="shared" si="8"/>
        <v>23</v>
      </c>
      <c r="AC51" s="39">
        <v>18</v>
      </c>
      <c r="AD51" s="39">
        <v>5</v>
      </c>
      <c r="AE51" s="44">
        <f t="shared" si="9"/>
        <v>12</v>
      </c>
      <c r="AF51" s="45">
        <f t="shared" si="10"/>
        <v>1</v>
      </c>
      <c r="AG51" s="45">
        <f t="shared" si="11"/>
        <v>1.9166666666666667</v>
      </c>
      <c r="AH51" s="46" t="s">
        <v>82</v>
      </c>
      <c r="AI51" s="40" t="s">
        <v>99</v>
      </c>
      <c r="AJ51" s="40" t="s">
        <v>116</v>
      </c>
      <c r="AK51" s="47" t="s">
        <v>120</v>
      </c>
      <c r="AL51" s="40"/>
      <c r="AM51" s="48">
        <f t="shared" si="12"/>
        <v>0</v>
      </c>
      <c r="AN51" s="48">
        <f t="shared" si="13"/>
        <v>0</v>
      </c>
      <c r="AO51" s="48">
        <f t="shared" si="14"/>
        <v>36</v>
      </c>
      <c r="AP51" s="48">
        <f t="shared" si="15"/>
        <v>0</v>
      </c>
      <c r="AQ51" s="48">
        <f t="shared" si="16"/>
        <v>0</v>
      </c>
      <c r="AR51" s="48">
        <f t="shared" si="17"/>
        <v>0</v>
      </c>
      <c r="AS51" s="48">
        <f t="shared" si="18"/>
        <v>0</v>
      </c>
      <c r="AT51" s="48">
        <f t="shared" si="19"/>
        <v>0</v>
      </c>
      <c r="AU51" s="48">
        <f t="shared" si="20"/>
        <v>0</v>
      </c>
      <c r="AV51" s="48">
        <f t="shared" si="21"/>
        <v>0</v>
      </c>
      <c r="AW51" s="48">
        <f>IF(N51="ПП",РПП*AB51*(V51/1.5),IF(N51="ВП",ВПр*AB51*(V51/1.5),IF(N51="РПА",РПА*AB51*(V51/1.5),IF(N51="КПА",кпа*AB51*(V51/1.5),0))))</f>
        <v>0</v>
      </c>
      <c r="AX51" s="48">
        <f t="shared" si="22"/>
        <v>0</v>
      </c>
      <c r="AY51" s="48">
        <f t="shared" si="23"/>
        <v>0</v>
      </c>
      <c r="AZ51" s="48">
        <f t="shared" si="24"/>
        <v>0</v>
      </c>
      <c r="BA51" s="48">
        <f t="shared" si="25"/>
        <v>0</v>
      </c>
      <c r="BB51" s="48">
        <f t="shared" si="26"/>
        <v>0</v>
      </c>
      <c r="BC51" s="48">
        <f t="shared" si="27"/>
        <v>0</v>
      </c>
      <c r="BD51" s="48">
        <f t="shared" si="28"/>
        <v>0</v>
      </c>
      <c r="BE51" s="48">
        <f t="shared" si="29"/>
        <v>0</v>
      </c>
      <c r="BF51" s="49">
        <f t="shared" si="30"/>
        <v>36</v>
      </c>
      <c r="BG51" s="50"/>
      <c r="BH51" s="51">
        <f t="shared" si="31"/>
        <v>36</v>
      </c>
      <c r="BI51" s="51">
        <f t="shared" si="32"/>
        <v>1</v>
      </c>
      <c r="BJ51" s="51">
        <f t="shared" si="33"/>
        <v>0</v>
      </c>
      <c r="BK51" s="52">
        <f t="shared" si="34"/>
        <v>0</v>
      </c>
      <c r="BL51" s="52">
        <f t="shared" si="35"/>
        <v>0</v>
      </c>
      <c r="BM51" s="52">
        <f t="shared" si="36"/>
        <v>0</v>
      </c>
    </row>
    <row r="52" spans="1:65" ht="30" customHeight="1" x14ac:dyDescent="0.25">
      <c r="A52" s="31" t="str">
        <f t="shared" si="2"/>
        <v>Д</v>
      </c>
      <c r="B52" s="31" t="str">
        <f t="shared" si="3"/>
        <v>Б</v>
      </c>
      <c r="C52" s="32" t="s">
        <v>75</v>
      </c>
      <c r="D52" s="33" t="str">
        <f t="shared" si="4"/>
        <v>Факультет физико-математических и естественных наук</v>
      </c>
      <c r="E52" s="34" t="str">
        <f t="shared" si="5"/>
        <v>'09.03.03</v>
      </c>
      <c r="F52" s="35" t="str">
        <f t="shared" si="6"/>
        <v>Прикладная информатика</v>
      </c>
      <c r="G52" s="36" t="s">
        <v>76</v>
      </c>
      <c r="H52" s="36" t="s">
        <v>77</v>
      </c>
      <c r="I52" s="37" t="s">
        <v>90</v>
      </c>
      <c r="J52" s="37"/>
      <c r="K52" s="38" t="s">
        <v>118</v>
      </c>
      <c r="L52" s="39">
        <v>3</v>
      </c>
      <c r="M52" s="39">
        <v>18</v>
      </c>
      <c r="N52" s="40" t="s">
        <v>94</v>
      </c>
      <c r="O52" s="39"/>
      <c r="P52" s="39">
        <v>2</v>
      </c>
      <c r="Q52" s="39"/>
      <c r="R52" s="40"/>
      <c r="S52" s="41"/>
      <c r="T52" s="41"/>
      <c r="U52" s="41"/>
      <c r="V52" s="41"/>
      <c r="W52" s="41"/>
      <c r="X52" s="42" t="str">
        <f t="shared" si="7"/>
        <v>НПИбд</v>
      </c>
      <c r="Y52" s="39" t="s">
        <v>107</v>
      </c>
      <c r="Z52" s="39">
        <v>1</v>
      </c>
      <c r="AA52" s="39">
        <v>1</v>
      </c>
      <c r="AB52" s="42">
        <f t="shared" si="8"/>
        <v>0</v>
      </c>
      <c r="AC52" s="39"/>
      <c r="AD52" s="39"/>
      <c r="AE52" s="44">
        <f t="shared" si="9"/>
        <v>12</v>
      </c>
      <c r="AF52" s="45">
        <f t="shared" si="10"/>
        <v>0</v>
      </c>
      <c r="AG52" s="45">
        <f t="shared" si="11"/>
        <v>0</v>
      </c>
      <c r="AH52" s="46" t="s">
        <v>82</v>
      </c>
      <c r="AI52" s="40" t="s">
        <v>99</v>
      </c>
      <c r="AJ52" s="40" t="s">
        <v>116</v>
      </c>
      <c r="AK52" s="47" t="s">
        <v>120</v>
      </c>
      <c r="AL52" s="40"/>
      <c r="AM52" s="48">
        <f t="shared" si="12"/>
        <v>0</v>
      </c>
      <c r="AN52" s="48">
        <f t="shared" si="13"/>
        <v>0</v>
      </c>
      <c r="AO52" s="48">
        <f t="shared" si="14"/>
        <v>0</v>
      </c>
      <c r="AP52" s="48">
        <f t="shared" si="15"/>
        <v>0</v>
      </c>
      <c r="AQ52" s="48">
        <f t="shared" si="16"/>
        <v>0</v>
      </c>
      <c r="AR52" s="48">
        <f t="shared" si="17"/>
        <v>0</v>
      </c>
      <c r="AS52" s="48">
        <f t="shared" si="18"/>
        <v>0</v>
      </c>
      <c r="AT52" s="48">
        <f t="shared" si="19"/>
        <v>0</v>
      </c>
      <c r="AU52" s="48">
        <f t="shared" si="20"/>
        <v>0</v>
      </c>
      <c r="AV52" s="48">
        <f t="shared" si="21"/>
        <v>0</v>
      </c>
      <c r="AW52" s="48">
        <f>IF(N52="ПП",РПП*AB52*(V52/1.5),IF(N52="ВП",ВПр*AB52*(V52/1.5),IF(N52="РПА",РПА*AB52*(V52/1.5),IF(N52="КПА",кпа*AB52*(V52/1.5),0))))</f>
        <v>0</v>
      </c>
      <c r="AX52" s="48">
        <f t="shared" si="22"/>
        <v>0</v>
      </c>
      <c r="AY52" s="48">
        <f t="shared" si="23"/>
        <v>0</v>
      </c>
      <c r="AZ52" s="48">
        <f t="shared" si="24"/>
        <v>0</v>
      </c>
      <c r="BA52" s="48">
        <f t="shared" si="25"/>
        <v>0</v>
      </c>
      <c r="BB52" s="48">
        <f t="shared" si="26"/>
        <v>0</v>
      </c>
      <c r="BC52" s="48">
        <f t="shared" si="27"/>
        <v>0</v>
      </c>
      <c r="BD52" s="48">
        <f t="shared" si="28"/>
        <v>0</v>
      </c>
      <c r="BE52" s="48">
        <f t="shared" si="29"/>
        <v>0</v>
      </c>
      <c r="BF52" s="49">
        <f t="shared" si="30"/>
        <v>0</v>
      </c>
      <c r="BG52" s="50"/>
      <c r="BH52" s="51">
        <f t="shared" si="31"/>
        <v>0</v>
      </c>
      <c r="BI52" s="51">
        <f t="shared" si="32"/>
        <v>0</v>
      </c>
      <c r="BJ52" s="51">
        <f t="shared" si="33"/>
        <v>0</v>
      </c>
      <c r="BK52" s="52">
        <f t="shared" si="34"/>
        <v>0</v>
      </c>
      <c r="BL52" s="52">
        <f t="shared" si="35"/>
        <v>0</v>
      </c>
      <c r="BM52" s="52">
        <f t="shared" si="36"/>
        <v>0</v>
      </c>
    </row>
    <row r="53" spans="1:65" ht="30" customHeight="1" x14ac:dyDescent="0.25">
      <c r="A53" s="31" t="str">
        <f t="shared" si="2"/>
        <v>Д</v>
      </c>
      <c r="B53" s="31" t="str">
        <f t="shared" si="3"/>
        <v>Б</v>
      </c>
      <c r="C53" s="32" t="s">
        <v>75</v>
      </c>
      <c r="D53" s="33" t="str">
        <f t="shared" si="4"/>
        <v>Факультет физико-математических и естественных наук</v>
      </c>
      <c r="E53" s="34" t="str">
        <f t="shared" si="5"/>
        <v>'09.03.03</v>
      </c>
      <c r="F53" s="35" t="str">
        <f t="shared" si="6"/>
        <v>Прикладная информатика</v>
      </c>
      <c r="G53" s="36" t="s">
        <v>76</v>
      </c>
      <c r="H53" s="36" t="s">
        <v>77</v>
      </c>
      <c r="I53" s="37" t="s">
        <v>90</v>
      </c>
      <c r="J53" s="37"/>
      <c r="K53" s="38" t="s">
        <v>118</v>
      </c>
      <c r="L53" s="39">
        <v>3</v>
      </c>
      <c r="M53" s="39">
        <v>18</v>
      </c>
      <c r="N53" s="40" t="s">
        <v>94</v>
      </c>
      <c r="O53" s="39"/>
      <c r="P53" s="39">
        <v>2</v>
      </c>
      <c r="Q53" s="39"/>
      <c r="R53" s="40"/>
      <c r="S53" s="41"/>
      <c r="T53" s="41"/>
      <c r="U53" s="41"/>
      <c r="V53" s="41"/>
      <c r="W53" s="41"/>
      <c r="X53" s="42" t="str">
        <f t="shared" si="7"/>
        <v>НПИбд</v>
      </c>
      <c r="Y53" s="39" t="s">
        <v>108</v>
      </c>
      <c r="Z53" s="39">
        <v>1</v>
      </c>
      <c r="AA53" s="39">
        <v>1</v>
      </c>
      <c r="AB53" s="42">
        <f t="shared" si="8"/>
        <v>23</v>
      </c>
      <c r="AC53" s="39">
        <v>17</v>
      </c>
      <c r="AD53" s="39">
        <v>6</v>
      </c>
      <c r="AE53" s="44">
        <f t="shared" si="9"/>
        <v>12</v>
      </c>
      <c r="AF53" s="45">
        <f t="shared" si="10"/>
        <v>1</v>
      </c>
      <c r="AG53" s="45">
        <f t="shared" si="11"/>
        <v>1.9166666666666667</v>
      </c>
      <c r="AH53" s="46" t="s">
        <v>82</v>
      </c>
      <c r="AI53" s="40" t="s">
        <v>99</v>
      </c>
      <c r="AJ53" s="40" t="s">
        <v>116</v>
      </c>
      <c r="AK53" s="47" t="s">
        <v>120</v>
      </c>
      <c r="AL53" s="40"/>
      <c r="AM53" s="48">
        <f t="shared" si="12"/>
        <v>0</v>
      </c>
      <c r="AN53" s="48">
        <f t="shared" si="13"/>
        <v>0</v>
      </c>
      <c r="AO53" s="48">
        <f t="shared" si="14"/>
        <v>36</v>
      </c>
      <c r="AP53" s="48">
        <f t="shared" si="15"/>
        <v>0</v>
      </c>
      <c r="AQ53" s="48">
        <f t="shared" si="16"/>
        <v>0</v>
      </c>
      <c r="AR53" s="48">
        <f t="shared" si="17"/>
        <v>0</v>
      </c>
      <c r="AS53" s="48">
        <f t="shared" si="18"/>
        <v>0</v>
      </c>
      <c r="AT53" s="48">
        <f t="shared" si="19"/>
        <v>0</v>
      </c>
      <c r="AU53" s="48">
        <f t="shared" si="20"/>
        <v>0</v>
      </c>
      <c r="AV53" s="48">
        <f t="shared" si="21"/>
        <v>0</v>
      </c>
      <c r="AW53" s="48">
        <f>IF(N53="ПП",РПП*AB53*(V53/1.5),IF(N53="ВП",ВПр*AB53*(V53/1.5),IF(N53="РПА",РПА*AB53*(V53/1.5),IF(N53="КПА",кпа*AB53*(V53/1.5),0))))</f>
        <v>0</v>
      </c>
      <c r="AX53" s="48">
        <f t="shared" si="22"/>
        <v>0</v>
      </c>
      <c r="AY53" s="48">
        <f t="shared" si="23"/>
        <v>0</v>
      </c>
      <c r="AZ53" s="48">
        <f t="shared" si="24"/>
        <v>0</v>
      </c>
      <c r="BA53" s="48">
        <f t="shared" si="25"/>
        <v>0</v>
      </c>
      <c r="BB53" s="48">
        <f t="shared" si="26"/>
        <v>0</v>
      </c>
      <c r="BC53" s="48">
        <f t="shared" si="27"/>
        <v>0</v>
      </c>
      <c r="BD53" s="48">
        <f t="shared" si="28"/>
        <v>0</v>
      </c>
      <c r="BE53" s="48">
        <f t="shared" si="29"/>
        <v>0</v>
      </c>
      <c r="BF53" s="49">
        <f t="shared" si="30"/>
        <v>36</v>
      </c>
      <c r="BG53" s="50"/>
      <c r="BH53" s="51">
        <f t="shared" si="31"/>
        <v>36</v>
      </c>
      <c r="BI53" s="51">
        <f t="shared" si="32"/>
        <v>1</v>
      </c>
      <c r="BJ53" s="51">
        <f t="shared" si="33"/>
        <v>0</v>
      </c>
      <c r="BK53" s="52">
        <f t="shared" si="34"/>
        <v>0</v>
      </c>
      <c r="BL53" s="52">
        <f t="shared" si="35"/>
        <v>0</v>
      </c>
      <c r="BM53" s="52">
        <f t="shared" si="36"/>
        <v>0</v>
      </c>
    </row>
    <row r="54" spans="1:65" ht="30" customHeight="1" x14ac:dyDescent="0.25">
      <c r="A54" s="31" t="str">
        <f t="shared" si="2"/>
        <v>Д</v>
      </c>
      <c r="B54" s="31" t="str">
        <f t="shared" si="3"/>
        <v>Б</v>
      </c>
      <c r="C54" s="32" t="s">
        <v>75</v>
      </c>
      <c r="D54" s="33" t="str">
        <f t="shared" si="4"/>
        <v>Факультет физико-математических и естественных наук</v>
      </c>
      <c r="E54" s="34" t="str">
        <f t="shared" si="5"/>
        <v>'09.03.03</v>
      </c>
      <c r="F54" s="35" t="str">
        <f t="shared" si="6"/>
        <v>Прикладная информатика</v>
      </c>
      <c r="G54" s="36" t="s">
        <v>76</v>
      </c>
      <c r="H54" s="36" t="s">
        <v>77</v>
      </c>
      <c r="I54" s="37" t="s">
        <v>90</v>
      </c>
      <c r="J54" s="37"/>
      <c r="K54" s="38" t="s">
        <v>118</v>
      </c>
      <c r="L54" s="39">
        <v>3</v>
      </c>
      <c r="M54" s="39">
        <v>18</v>
      </c>
      <c r="N54" s="40" t="s">
        <v>94</v>
      </c>
      <c r="O54" s="39"/>
      <c r="P54" s="39">
        <v>2</v>
      </c>
      <c r="Q54" s="39"/>
      <c r="R54" s="40"/>
      <c r="S54" s="41"/>
      <c r="T54" s="41"/>
      <c r="U54" s="41"/>
      <c r="V54" s="41"/>
      <c r="W54" s="41"/>
      <c r="X54" s="42" t="str">
        <f t="shared" si="7"/>
        <v>НПИбд</v>
      </c>
      <c r="Y54" s="39" t="s">
        <v>108</v>
      </c>
      <c r="Z54" s="39">
        <v>1</v>
      </c>
      <c r="AA54" s="39">
        <v>1</v>
      </c>
      <c r="AB54" s="42">
        <f t="shared" si="8"/>
        <v>0</v>
      </c>
      <c r="AC54" s="39"/>
      <c r="AD54" s="39"/>
      <c r="AE54" s="44">
        <f t="shared" si="9"/>
        <v>12</v>
      </c>
      <c r="AF54" s="45">
        <f t="shared" si="10"/>
        <v>0</v>
      </c>
      <c r="AG54" s="45">
        <f t="shared" si="11"/>
        <v>0</v>
      </c>
      <c r="AH54" s="46" t="s">
        <v>82</v>
      </c>
      <c r="AI54" s="40" t="s">
        <v>99</v>
      </c>
      <c r="AJ54" s="40" t="s">
        <v>116</v>
      </c>
      <c r="AK54" s="47" t="s">
        <v>120</v>
      </c>
      <c r="AL54" s="40"/>
      <c r="AM54" s="48">
        <f t="shared" si="12"/>
        <v>0</v>
      </c>
      <c r="AN54" s="48">
        <f t="shared" si="13"/>
        <v>0</v>
      </c>
      <c r="AO54" s="48">
        <f t="shared" si="14"/>
        <v>0</v>
      </c>
      <c r="AP54" s="48">
        <f t="shared" si="15"/>
        <v>0</v>
      </c>
      <c r="AQ54" s="48">
        <f t="shared" si="16"/>
        <v>0</v>
      </c>
      <c r="AR54" s="48">
        <f t="shared" si="17"/>
        <v>0</v>
      </c>
      <c r="AS54" s="48">
        <f t="shared" si="18"/>
        <v>0</v>
      </c>
      <c r="AT54" s="48">
        <f t="shared" si="19"/>
        <v>0</v>
      </c>
      <c r="AU54" s="48">
        <f t="shared" si="20"/>
        <v>0</v>
      </c>
      <c r="AV54" s="48">
        <f t="shared" si="21"/>
        <v>0</v>
      </c>
      <c r="AW54" s="48">
        <f>IF(N54="ПП",РПП*AB54*(V54/1.5),IF(N54="ВП",ВПр*AB54*(V54/1.5),IF(N54="РПА",РПА*AB54*(V54/1.5),IF(N54="КПА",кпа*AB54*(V54/1.5),0))))</f>
        <v>0</v>
      </c>
      <c r="AX54" s="48">
        <f t="shared" si="22"/>
        <v>0</v>
      </c>
      <c r="AY54" s="48">
        <f t="shared" si="23"/>
        <v>0</v>
      </c>
      <c r="AZ54" s="48">
        <f t="shared" si="24"/>
        <v>0</v>
      </c>
      <c r="BA54" s="48">
        <f t="shared" si="25"/>
        <v>0</v>
      </c>
      <c r="BB54" s="48">
        <f t="shared" si="26"/>
        <v>0</v>
      </c>
      <c r="BC54" s="48">
        <f t="shared" si="27"/>
        <v>0</v>
      </c>
      <c r="BD54" s="48">
        <f t="shared" si="28"/>
        <v>0</v>
      </c>
      <c r="BE54" s="48">
        <f t="shared" si="29"/>
        <v>0</v>
      </c>
      <c r="BF54" s="49">
        <f t="shared" si="30"/>
        <v>0</v>
      </c>
      <c r="BG54" s="50"/>
      <c r="BH54" s="51">
        <f t="shared" si="31"/>
        <v>0</v>
      </c>
      <c r="BI54" s="51">
        <f t="shared" si="32"/>
        <v>0</v>
      </c>
      <c r="BJ54" s="51">
        <f t="shared" si="33"/>
        <v>0</v>
      </c>
      <c r="BK54" s="52">
        <f t="shared" si="34"/>
        <v>0</v>
      </c>
      <c r="BL54" s="52">
        <f t="shared" si="35"/>
        <v>0</v>
      </c>
      <c r="BM54" s="52">
        <f t="shared" si="36"/>
        <v>0</v>
      </c>
    </row>
    <row r="55" spans="1:65" ht="30" customHeight="1" x14ac:dyDescent="0.25">
      <c r="A55" s="31" t="str">
        <f t="shared" si="2"/>
        <v>Д</v>
      </c>
      <c r="B55" s="31" t="str">
        <f t="shared" si="3"/>
        <v>Б</v>
      </c>
      <c r="C55" s="32" t="s">
        <v>75</v>
      </c>
      <c r="D55" s="33" t="str">
        <f t="shared" si="4"/>
        <v>Факультет физико-математических и естественных наук</v>
      </c>
      <c r="E55" s="34" t="str">
        <f t="shared" si="5"/>
        <v>'09.03.03</v>
      </c>
      <c r="F55" s="35" t="str">
        <f t="shared" si="6"/>
        <v>Прикладная информатика</v>
      </c>
      <c r="G55" s="36" t="s">
        <v>76</v>
      </c>
      <c r="H55" s="36" t="s">
        <v>77</v>
      </c>
      <c r="I55" s="37" t="s">
        <v>90</v>
      </c>
      <c r="J55" s="37"/>
      <c r="K55" s="38" t="s">
        <v>118</v>
      </c>
      <c r="L55" s="39">
        <v>3</v>
      </c>
      <c r="M55" s="39">
        <v>18</v>
      </c>
      <c r="N55" s="40" t="s">
        <v>94</v>
      </c>
      <c r="O55" s="39"/>
      <c r="P55" s="39">
        <v>2</v>
      </c>
      <c r="Q55" s="39"/>
      <c r="R55" s="40"/>
      <c r="S55" s="41"/>
      <c r="T55" s="41"/>
      <c r="U55" s="41"/>
      <c r="V55" s="41"/>
      <c r="W55" s="41"/>
      <c r="X55" s="42" t="str">
        <f t="shared" si="7"/>
        <v>НПИбд</v>
      </c>
      <c r="Y55" s="39" t="s">
        <v>110</v>
      </c>
      <c r="Z55" s="39">
        <v>1</v>
      </c>
      <c r="AA55" s="39">
        <v>1</v>
      </c>
      <c r="AB55" s="42">
        <f t="shared" si="8"/>
        <v>22</v>
      </c>
      <c r="AC55" s="39">
        <v>17</v>
      </c>
      <c r="AD55" s="39">
        <v>5</v>
      </c>
      <c r="AE55" s="44">
        <f t="shared" si="9"/>
        <v>12</v>
      </c>
      <c r="AF55" s="45">
        <f t="shared" si="10"/>
        <v>1</v>
      </c>
      <c r="AG55" s="45">
        <f t="shared" si="11"/>
        <v>1.8333333333333333</v>
      </c>
      <c r="AH55" s="46" t="s">
        <v>82</v>
      </c>
      <c r="AI55" s="40" t="s">
        <v>99</v>
      </c>
      <c r="AJ55" s="40" t="s">
        <v>116</v>
      </c>
      <c r="AK55" s="47" t="s">
        <v>120</v>
      </c>
      <c r="AL55" s="40"/>
      <c r="AM55" s="48">
        <f t="shared" si="12"/>
        <v>0</v>
      </c>
      <c r="AN55" s="48">
        <f t="shared" si="13"/>
        <v>0</v>
      </c>
      <c r="AO55" s="48">
        <f t="shared" si="14"/>
        <v>36</v>
      </c>
      <c r="AP55" s="48">
        <f t="shared" si="15"/>
        <v>0</v>
      </c>
      <c r="AQ55" s="48">
        <f t="shared" si="16"/>
        <v>0</v>
      </c>
      <c r="AR55" s="48">
        <f t="shared" si="17"/>
        <v>0</v>
      </c>
      <c r="AS55" s="48">
        <f t="shared" si="18"/>
        <v>0</v>
      </c>
      <c r="AT55" s="48">
        <f t="shared" si="19"/>
        <v>0</v>
      </c>
      <c r="AU55" s="48">
        <f t="shared" si="20"/>
        <v>0</v>
      </c>
      <c r="AV55" s="48">
        <f t="shared" si="21"/>
        <v>0</v>
      </c>
      <c r="AW55" s="48">
        <f>IF(N55="ПП",РПП*AB55*(V55/1.5),IF(N55="ВП",ВПр*AB55*(V55/1.5),IF(N55="РПА",РПА*AB55*(V55/1.5),IF(N55="КПА",кпа*AB55*(V55/1.5),0))))</f>
        <v>0</v>
      </c>
      <c r="AX55" s="48">
        <f t="shared" si="22"/>
        <v>0</v>
      </c>
      <c r="AY55" s="48">
        <f t="shared" si="23"/>
        <v>0</v>
      </c>
      <c r="AZ55" s="48">
        <f t="shared" si="24"/>
        <v>0</v>
      </c>
      <c r="BA55" s="48">
        <f t="shared" si="25"/>
        <v>0</v>
      </c>
      <c r="BB55" s="48">
        <f t="shared" si="26"/>
        <v>0</v>
      </c>
      <c r="BC55" s="48">
        <f t="shared" si="27"/>
        <v>0</v>
      </c>
      <c r="BD55" s="48">
        <f t="shared" si="28"/>
        <v>0</v>
      </c>
      <c r="BE55" s="48">
        <f t="shared" si="29"/>
        <v>0</v>
      </c>
      <c r="BF55" s="49">
        <f t="shared" si="30"/>
        <v>36</v>
      </c>
      <c r="BG55" s="50"/>
      <c r="BH55" s="51">
        <f t="shared" si="31"/>
        <v>36</v>
      </c>
      <c r="BI55" s="51">
        <f t="shared" si="32"/>
        <v>1</v>
      </c>
      <c r="BJ55" s="51">
        <f t="shared" si="33"/>
        <v>0</v>
      </c>
      <c r="BK55" s="52">
        <f t="shared" si="34"/>
        <v>0</v>
      </c>
      <c r="BL55" s="52">
        <f t="shared" si="35"/>
        <v>0</v>
      </c>
      <c r="BM55" s="52">
        <f t="shared" si="36"/>
        <v>0</v>
      </c>
    </row>
    <row r="56" spans="1:65" ht="30" customHeight="1" x14ac:dyDescent="0.25">
      <c r="A56" s="31" t="str">
        <f t="shared" si="2"/>
        <v>Д</v>
      </c>
      <c r="B56" s="31" t="str">
        <f t="shared" si="3"/>
        <v>Б</v>
      </c>
      <c r="C56" s="32" t="s">
        <v>75</v>
      </c>
      <c r="D56" s="33" t="str">
        <f t="shared" si="4"/>
        <v>Факультет физико-математических и естественных наук</v>
      </c>
      <c r="E56" s="34" t="str">
        <f t="shared" si="5"/>
        <v>'09.03.03</v>
      </c>
      <c r="F56" s="35" t="str">
        <f t="shared" si="6"/>
        <v>Прикладная информатика</v>
      </c>
      <c r="G56" s="36" t="s">
        <v>76</v>
      </c>
      <c r="H56" s="36" t="s">
        <v>77</v>
      </c>
      <c r="I56" s="37" t="s">
        <v>90</v>
      </c>
      <c r="J56" s="37"/>
      <c r="K56" s="38" t="s">
        <v>118</v>
      </c>
      <c r="L56" s="39">
        <v>3</v>
      </c>
      <c r="M56" s="39">
        <v>18</v>
      </c>
      <c r="N56" s="40" t="s">
        <v>94</v>
      </c>
      <c r="O56" s="39"/>
      <c r="P56" s="39">
        <v>2</v>
      </c>
      <c r="Q56" s="39"/>
      <c r="R56" s="40"/>
      <c r="S56" s="41"/>
      <c r="T56" s="41"/>
      <c r="U56" s="41"/>
      <c r="V56" s="41"/>
      <c r="W56" s="41"/>
      <c r="X56" s="42" t="str">
        <f t="shared" si="7"/>
        <v>НПИбд</v>
      </c>
      <c r="Y56" s="39" t="s">
        <v>110</v>
      </c>
      <c r="Z56" s="39">
        <v>1</v>
      </c>
      <c r="AA56" s="39">
        <v>1</v>
      </c>
      <c r="AB56" s="42">
        <f t="shared" si="8"/>
        <v>0</v>
      </c>
      <c r="AC56" s="39"/>
      <c r="AD56" s="39"/>
      <c r="AE56" s="44">
        <f t="shared" si="9"/>
        <v>12</v>
      </c>
      <c r="AF56" s="45">
        <f t="shared" si="10"/>
        <v>0</v>
      </c>
      <c r="AG56" s="45">
        <f t="shared" si="11"/>
        <v>0</v>
      </c>
      <c r="AH56" s="46" t="s">
        <v>82</v>
      </c>
      <c r="AI56" s="40" t="s">
        <v>99</v>
      </c>
      <c r="AJ56" s="40" t="s">
        <v>116</v>
      </c>
      <c r="AK56" s="47" t="s">
        <v>120</v>
      </c>
      <c r="AL56" s="40"/>
      <c r="AM56" s="48">
        <f t="shared" si="12"/>
        <v>0</v>
      </c>
      <c r="AN56" s="48">
        <f t="shared" si="13"/>
        <v>0</v>
      </c>
      <c r="AO56" s="48">
        <f t="shared" si="14"/>
        <v>0</v>
      </c>
      <c r="AP56" s="48">
        <f t="shared" si="15"/>
        <v>0</v>
      </c>
      <c r="AQ56" s="48">
        <f t="shared" si="16"/>
        <v>0</v>
      </c>
      <c r="AR56" s="48">
        <f t="shared" si="17"/>
        <v>0</v>
      </c>
      <c r="AS56" s="48">
        <f t="shared" si="18"/>
        <v>0</v>
      </c>
      <c r="AT56" s="48">
        <f t="shared" si="19"/>
        <v>0</v>
      </c>
      <c r="AU56" s="48">
        <f t="shared" si="20"/>
        <v>0</v>
      </c>
      <c r="AV56" s="48">
        <f t="shared" si="21"/>
        <v>0</v>
      </c>
      <c r="AW56" s="48">
        <f>IF(N56="ПП",РПП*AB56*(V56/1.5),IF(N56="ВП",ВПр*AB56*(V56/1.5),IF(N56="РПА",РПА*AB56*(V56/1.5),IF(N56="КПА",кпа*AB56*(V56/1.5),0))))</f>
        <v>0</v>
      </c>
      <c r="AX56" s="48">
        <f t="shared" si="22"/>
        <v>0</v>
      </c>
      <c r="AY56" s="48">
        <f t="shared" si="23"/>
        <v>0</v>
      </c>
      <c r="AZ56" s="48">
        <f t="shared" si="24"/>
        <v>0</v>
      </c>
      <c r="BA56" s="48">
        <f t="shared" si="25"/>
        <v>0</v>
      </c>
      <c r="BB56" s="48">
        <f t="shared" si="26"/>
        <v>0</v>
      </c>
      <c r="BC56" s="48">
        <f t="shared" si="27"/>
        <v>0</v>
      </c>
      <c r="BD56" s="48">
        <f t="shared" si="28"/>
        <v>0</v>
      </c>
      <c r="BE56" s="48">
        <f t="shared" si="29"/>
        <v>0</v>
      </c>
      <c r="BF56" s="49">
        <f t="shared" si="30"/>
        <v>0</v>
      </c>
      <c r="BG56" s="50"/>
      <c r="BH56" s="51">
        <f t="shared" si="31"/>
        <v>0</v>
      </c>
      <c r="BI56" s="51">
        <f t="shared" si="32"/>
        <v>0</v>
      </c>
      <c r="BJ56" s="51">
        <f t="shared" si="33"/>
        <v>0</v>
      </c>
      <c r="BK56" s="52">
        <f t="shared" si="34"/>
        <v>0</v>
      </c>
      <c r="BL56" s="52">
        <f t="shared" si="35"/>
        <v>0</v>
      </c>
      <c r="BM56" s="52">
        <f t="shared" si="36"/>
        <v>0</v>
      </c>
    </row>
    <row r="57" spans="1:65" ht="30" customHeight="1" x14ac:dyDescent="0.25">
      <c r="A57" s="31" t="str">
        <f t="shared" si="2"/>
        <v>Д</v>
      </c>
      <c r="B57" s="31" t="str">
        <f t="shared" si="3"/>
        <v>Б</v>
      </c>
      <c r="C57" s="32" t="s">
        <v>75</v>
      </c>
      <c r="D57" s="33" t="str">
        <f t="shared" si="4"/>
        <v>Факультет физико-математических и естественных наук</v>
      </c>
      <c r="E57" s="34" t="str">
        <f t="shared" si="5"/>
        <v>'09.03.03</v>
      </c>
      <c r="F57" s="35" t="str">
        <f t="shared" si="6"/>
        <v>Прикладная информатика</v>
      </c>
      <c r="G57" s="36" t="s">
        <v>76</v>
      </c>
      <c r="H57" s="36" t="s">
        <v>77</v>
      </c>
      <c r="I57" s="37" t="s">
        <v>90</v>
      </c>
      <c r="J57" s="37"/>
      <c r="K57" s="38" t="s">
        <v>121</v>
      </c>
      <c r="L57" s="39">
        <v>4</v>
      </c>
      <c r="M57" s="39">
        <v>18</v>
      </c>
      <c r="N57" s="40" t="s">
        <v>79</v>
      </c>
      <c r="O57" s="39">
        <v>1</v>
      </c>
      <c r="P57" s="39"/>
      <c r="Q57" s="39"/>
      <c r="R57" s="40" t="s">
        <v>80</v>
      </c>
      <c r="S57" s="41"/>
      <c r="T57" s="41"/>
      <c r="U57" s="41"/>
      <c r="V57" s="41"/>
      <c r="W57" s="41"/>
      <c r="X57" s="42" t="str">
        <f t="shared" si="7"/>
        <v>НПИбд</v>
      </c>
      <c r="Y57" s="39" t="s">
        <v>106</v>
      </c>
      <c r="Z57" s="39">
        <v>6</v>
      </c>
      <c r="AA57" s="39">
        <v>3</v>
      </c>
      <c r="AB57" s="42">
        <f t="shared" si="8"/>
        <v>64</v>
      </c>
      <c r="AC57" s="39">
        <v>52</v>
      </c>
      <c r="AD57" s="39">
        <v>12</v>
      </c>
      <c r="AE57" s="44">
        <f t="shared" si="9"/>
        <v>64</v>
      </c>
      <c r="AF57" s="45">
        <f t="shared" si="10"/>
        <v>1</v>
      </c>
      <c r="AG57" s="45">
        <f t="shared" si="11"/>
        <v>1</v>
      </c>
      <c r="AH57" s="46" t="s">
        <v>82</v>
      </c>
      <c r="AI57" s="40" t="s">
        <v>83</v>
      </c>
      <c r="AJ57" s="40" t="s">
        <v>116</v>
      </c>
      <c r="AK57" s="47" t="s">
        <v>122</v>
      </c>
      <c r="AL57" s="40"/>
      <c r="AM57" s="48">
        <f t="shared" si="12"/>
        <v>18</v>
      </c>
      <c r="AN57" s="48">
        <f t="shared" si="13"/>
        <v>0</v>
      </c>
      <c r="AO57" s="48">
        <f t="shared" si="14"/>
        <v>0</v>
      </c>
      <c r="AP57" s="48">
        <f t="shared" si="15"/>
        <v>21.12</v>
      </c>
      <c r="AQ57" s="48">
        <f t="shared" si="16"/>
        <v>32</v>
      </c>
      <c r="AR57" s="48">
        <f t="shared" si="17"/>
        <v>3</v>
      </c>
      <c r="AS57" s="48">
        <f t="shared" si="18"/>
        <v>2.7</v>
      </c>
      <c r="AT57" s="48">
        <f t="shared" si="19"/>
        <v>0</v>
      </c>
      <c r="AU57" s="48">
        <f t="shared" si="20"/>
        <v>0</v>
      </c>
      <c r="AV57" s="48">
        <f t="shared" si="21"/>
        <v>0</v>
      </c>
      <c r="AW57" s="48">
        <f>IF(N57="ПП",РПП*AB57*(V57/1.5),IF(N57="ВП",ВПр*AB57*(V57/1.5),IF(N57="РПА",РПА*AB57*(V57/1.5),IF(N57="КПА",кпа*AB57*(V57/1.5),0))))</f>
        <v>0</v>
      </c>
      <c r="AX57" s="48">
        <f t="shared" si="22"/>
        <v>0</v>
      </c>
      <c r="AY57" s="48">
        <f t="shared" si="23"/>
        <v>0</v>
      </c>
      <c r="AZ57" s="48">
        <f t="shared" si="24"/>
        <v>0</v>
      </c>
      <c r="BA57" s="48">
        <f t="shared" si="25"/>
        <v>0</v>
      </c>
      <c r="BB57" s="48">
        <f t="shared" si="26"/>
        <v>0</v>
      </c>
      <c r="BC57" s="48">
        <f t="shared" si="27"/>
        <v>0</v>
      </c>
      <c r="BD57" s="48">
        <f t="shared" si="28"/>
        <v>0</v>
      </c>
      <c r="BE57" s="48">
        <f t="shared" si="29"/>
        <v>0</v>
      </c>
      <c r="BF57" s="49">
        <f t="shared" si="30"/>
        <v>76.820000000000007</v>
      </c>
      <c r="BG57" s="50"/>
      <c r="BH57" s="51">
        <f t="shared" si="31"/>
        <v>0</v>
      </c>
      <c r="BI57" s="51">
        <f t="shared" si="32"/>
        <v>0</v>
      </c>
      <c r="BJ57" s="51">
        <f t="shared" si="33"/>
        <v>0</v>
      </c>
      <c r="BK57" s="52">
        <f t="shared" si="34"/>
        <v>18</v>
      </c>
      <c r="BL57" s="52">
        <f t="shared" si="35"/>
        <v>0.5</v>
      </c>
      <c r="BM57" s="52">
        <f t="shared" si="36"/>
        <v>58.820000000000007</v>
      </c>
    </row>
    <row r="58" spans="1:65" ht="30" customHeight="1" x14ac:dyDescent="0.25">
      <c r="A58" s="31" t="str">
        <f t="shared" si="2"/>
        <v>Д</v>
      </c>
      <c r="B58" s="31" t="str">
        <f t="shared" si="3"/>
        <v>Б</v>
      </c>
      <c r="C58" s="32" t="s">
        <v>75</v>
      </c>
      <c r="D58" s="33" t="str">
        <f t="shared" si="4"/>
        <v>Факультет физико-математических и естественных наук</v>
      </c>
      <c r="E58" s="34" t="str">
        <f t="shared" si="5"/>
        <v>'09.03.03</v>
      </c>
      <c r="F58" s="35" t="str">
        <f t="shared" si="6"/>
        <v>Прикладная информатика</v>
      </c>
      <c r="G58" s="36" t="s">
        <v>76</v>
      </c>
      <c r="H58" s="36" t="s">
        <v>77</v>
      </c>
      <c r="I58" s="37" t="s">
        <v>90</v>
      </c>
      <c r="J58" s="37"/>
      <c r="K58" s="38" t="s">
        <v>121</v>
      </c>
      <c r="L58" s="39">
        <v>4</v>
      </c>
      <c r="M58" s="39">
        <v>18</v>
      </c>
      <c r="N58" s="40" t="s">
        <v>94</v>
      </c>
      <c r="O58" s="39"/>
      <c r="P58" s="39">
        <v>2</v>
      </c>
      <c r="Q58" s="39"/>
      <c r="R58" s="40"/>
      <c r="S58" s="41"/>
      <c r="T58" s="41"/>
      <c r="U58" s="41"/>
      <c r="V58" s="41"/>
      <c r="W58" s="41"/>
      <c r="X58" s="42" t="str">
        <f t="shared" si="7"/>
        <v>НПИбд</v>
      </c>
      <c r="Y58" s="39" t="s">
        <v>107</v>
      </c>
      <c r="Z58" s="39">
        <v>1</v>
      </c>
      <c r="AA58" s="39">
        <v>1</v>
      </c>
      <c r="AB58" s="42">
        <f t="shared" si="8"/>
        <v>23</v>
      </c>
      <c r="AC58" s="39">
        <v>18</v>
      </c>
      <c r="AD58" s="39">
        <v>5</v>
      </c>
      <c r="AE58" s="44">
        <f t="shared" si="9"/>
        <v>12</v>
      </c>
      <c r="AF58" s="45">
        <f t="shared" si="10"/>
        <v>1</v>
      </c>
      <c r="AG58" s="45">
        <f t="shared" si="11"/>
        <v>1.9166666666666667</v>
      </c>
      <c r="AH58" s="46" t="s">
        <v>82</v>
      </c>
      <c r="AI58" s="40" t="s">
        <v>83</v>
      </c>
      <c r="AJ58" s="40" t="s">
        <v>116</v>
      </c>
      <c r="AK58" s="47" t="s">
        <v>122</v>
      </c>
      <c r="AL58" s="40"/>
      <c r="AM58" s="48">
        <f t="shared" si="12"/>
        <v>0</v>
      </c>
      <c r="AN58" s="48">
        <f t="shared" si="13"/>
        <v>0</v>
      </c>
      <c r="AO58" s="48">
        <f t="shared" si="14"/>
        <v>36</v>
      </c>
      <c r="AP58" s="48">
        <f t="shared" si="15"/>
        <v>0</v>
      </c>
      <c r="AQ58" s="48">
        <f t="shared" si="16"/>
        <v>0</v>
      </c>
      <c r="AR58" s="48">
        <f t="shared" si="17"/>
        <v>0</v>
      </c>
      <c r="AS58" s="48">
        <f t="shared" si="18"/>
        <v>0</v>
      </c>
      <c r="AT58" s="48">
        <f t="shared" si="19"/>
        <v>0</v>
      </c>
      <c r="AU58" s="48">
        <f t="shared" si="20"/>
        <v>0</v>
      </c>
      <c r="AV58" s="48">
        <f t="shared" si="21"/>
        <v>0</v>
      </c>
      <c r="AW58" s="48">
        <f>IF(N58="ПП",РПП*AB58*(V58/1.5),IF(N58="ВП",ВПр*AB58*(V58/1.5),IF(N58="РПА",РПА*AB58*(V58/1.5),IF(N58="КПА",кпа*AB58*(V58/1.5),0))))</f>
        <v>0</v>
      </c>
      <c r="AX58" s="48">
        <f t="shared" si="22"/>
        <v>0</v>
      </c>
      <c r="AY58" s="48">
        <f t="shared" si="23"/>
        <v>0</v>
      </c>
      <c r="AZ58" s="48">
        <f t="shared" si="24"/>
        <v>0</v>
      </c>
      <c r="BA58" s="48">
        <f t="shared" si="25"/>
        <v>0</v>
      </c>
      <c r="BB58" s="48">
        <f t="shared" si="26"/>
        <v>0</v>
      </c>
      <c r="BC58" s="48">
        <f t="shared" si="27"/>
        <v>0</v>
      </c>
      <c r="BD58" s="48">
        <f t="shared" si="28"/>
        <v>0</v>
      </c>
      <c r="BE58" s="48">
        <f t="shared" si="29"/>
        <v>0</v>
      </c>
      <c r="BF58" s="49">
        <f t="shared" si="30"/>
        <v>36</v>
      </c>
      <c r="BG58" s="50"/>
      <c r="BH58" s="51">
        <f t="shared" si="31"/>
        <v>0</v>
      </c>
      <c r="BI58" s="51">
        <f t="shared" si="32"/>
        <v>0</v>
      </c>
      <c r="BJ58" s="51">
        <f t="shared" si="33"/>
        <v>0</v>
      </c>
      <c r="BK58" s="52">
        <f t="shared" si="34"/>
        <v>36</v>
      </c>
      <c r="BL58" s="52">
        <f t="shared" si="35"/>
        <v>1</v>
      </c>
      <c r="BM58" s="52">
        <f t="shared" si="36"/>
        <v>0</v>
      </c>
    </row>
    <row r="59" spans="1:65" ht="30" customHeight="1" x14ac:dyDescent="0.25">
      <c r="A59" s="31" t="str">
        <f t="shared" si="2"/>
        <v>Д</v>
      </c>
      <c r="B59" s="31" t="str">
        <f t="shared" si="3"/>
        <v>Б</v>
      </c>
      <c r="C59" s="32" t="s">
        <v>75</v>
      </c>
      <c r="D59" s="33" t="str">
        <f t="shared" si="4"/>
        <v>Факультет физико-математических и естественных наук</v>
      </c>
      <c r="E59" s="34" t="str">
        <f t="shared" si="5"/>
        <v>'09.03.03</v>
      </c>
      <c r="F59" s="35" t="str">
        <f t="shared" si="6"/>
        <v>Прикладная информатика</v>
      </c>
      <c r="G59" s="36" t="s">
        <v>76</v>
      </c>
      <c r="H59" s="36" t="s">
        <v>77</v>
      </c>
      <c r="I59" s="37" t="s">
        <v>90</v>
      </c>
      <c r="J59" s="37"/>
      <c r="K59" s="38" t="s">
        <v>121</v>
      </c>
      <c r="L59" s="39">
        <v>4</v>
      </c>
      <c r="M59" s="39">
        <v>18</v>
      </c>
      <c r="N59" s="40" t="s">
        <v>94</v>
      </c>
      <c r="O59" s="39"/>
      <c r="P59" s="39">
        <v>2</v>
      </c>
      <c r="Q59" s="39"/>
      <c r="R59" s="40"/>
      <c r="S59" s="41"/>
      <c r="T59" s="41"/>
      <c r="U59" s="41"/>
      <c r="V59" s="41"/>
      <c r="W59" s="41"/>
      <c r="X59" s="42" t="str">
        <f t="shared" si="7"/>
        <v>НПИбд</v>
      </c>
      <c r="Y59" s="39" t="s">
        <v>107</v>
      </c>
      <c r="Z59" s="39">
        <v>1</v>
      </c>
      <c r="AA59" s="39">
        <v>1</v>
      </c>
      <c r="AB59" s="42">
        <f t="shared" si="8"/>
        <v>0</v>
      </c>
      <c r="AC59" s="39"/>
      <c r="AD59" s="39"/>
      <c r="AE59" s="44">
        <f t="shared" si="9"/>
        <v>12</v>
      </c>
      <c r="AF59" s="45">
        <f t="shared" si="10"/>
        <v>0</v>
      </c>
      <c r="AG59" s="45">
        <f t="shared" si="11"/>
        <v>0</v>
      </c>
      <c r="AH59" s="46" t="s">
        <v>82</v>
      </c>
      <c r="AI59" s="40" t="s">
        <v>83</v>
      </c>
      <c r="AJ59" s="40" t="s">
        <v>116</v>
      </c>
      <c r="AK59" s="47" t="s">
        <v>122</v>
      </c>
      <c r="AL59" s="40"/>
      <c r="AM59" s="48">
        <f t="shared" si="12"/>
        <v>0</v>
      </c>
      <c r="AN59" s="48">
        <f t="shared" si="13"/>
        <v>0</v>
      </c>
      <c r="AO59" s="48">
        <f t="shared" si="14"/>
        <v>0</v>
      </c>
      <c r="AP59" s="48">
        <f t="shared" si="15"/>
        <v>0</v>
      </c>
      <c r="AQ59" s="48">
        <f t="shared" si="16"/>
        <v>0</v>
      </c>
      <c r="AR59" s="48">
        <f t="shared" si="17"/>
        <v>0</v>
      </c>
      <c r="AS59" s="48">
        <f t="shared" si="18"/>
        <v>0</v>
      </c>
      <c r="AT59" s="48">
        <f t="shared" si="19"/>
        <v>0</v>
      </c>
      <c r="AU59" s="48">
        <f t="shared" si="20"/>
        <v>0</v>
      </c>
      <c r="AV59" s="48">
        <f t="shared" si="21"/>
        <v>0</v>
      </c>
      <c r="AW59" s="48">
        <f>IF(N59="ПП",РПП*AB59*(V59/1.5),IF(N59="ВП",ВПр*AB59*(V59/1.5),IF(N59="РПА",РПА*AB59*(V59/1.5),IF(N59="КПА",кпа*AB59*(V59/1.5),0))))</f>
        <v>0</v>
      </c>
      <c r="AX59" s="48">
        <f t="shared" si="22"/>
        <v>0</v>
      </c>
      <c r="AY59" s="48">
        <f t="shared" si="23"/>
        <v>0</v>
      </c>
      <c r="AZ59" s="48">
        <f t="shared" si="24"/>
        <v>0</v>
      </c>
      <c r="BA59" s="48">
        <f t="shared" si="25"/>
        <v>0</v>
      </c>
      <c r="BB59" s="48">
        <f t="shared" si="26"/>
        <v>0</v>
      </c>
      <c r="BC59" s="48">
        <f t="shared" si="27"/>
        <v>0</v>
      </c>
      <c r="BD59" s="48">
        <f t="shared" si="28"/>
        <v>0</v>
      </c>
      <c r="BE59" s="48">
        <f t="shared" si="29"/>
        <v>0</v>
      </c>
      <c r="BF59" s="49">
        <f t="shared" si="30"/>
        <v>0</v>
      </c>
      <c r="BG59" s="50"/>
      <c r="BH59" s="51">
        <f t="shared" si="31"/>
        <v>0</v>
      </c>
      <c r="BI59" s="51">
        <f t="shared" si="32"/>
        <v>0</v>
      </c>
      <c r="BJ59" s="51">
        <f t="shared" si="33"/>
        <v>0</v>
      </c>
      <c r="BK59" s="52">
        <f t="shared" si="34"/>
        <v>0</v>
      </c>
      <c r="BL59" s="52">
        <f t="shared" si="35"/>
        <v>0</v>
      </c>
      <c r="BM59" s="52">
        <f t="shared" si="36"/>
        <v>0</v>
      </c>
    </row>
    <row r="60" spans="1:65" ht="30" customHeight="1" x14ac:dyDescent="0.25">
      <c r="A60" s="31" t="str">
        <f t="shared" si="2"/>
        <v>Д</v>
      </c>
      <c r="B60" s="31" t="str">
        <f t="shared" si="3"/>
        <v>Б</v>
      </c>
      <c r="C60" s="32" t="s">
        <v>75</v>
      </c>
      <c r="D60" s="33" t="str">
        <f t="shared" si="4"/>
        <v>Факультет физико-математических и естественных наук</v>
      </c>
      <c r="E60" s="34" t="str">
        <f t="shared" si="5"/>
        <v>'09.03.03</v>
      </c>
      <c r="F60" s="35" t="str">
        <f t="shared" si="6"/>
        <v>Прикладная информатика</v>
      </c>
      <c r="G60" s="36" t="s">
        <v>76</v>
      </c>
      <c r="H60" s="36" t="s">
        <v>77</v>
      </c>
      <c r="I60" s="37" t="s">
        <v>90</v>
      </c>
      <c r="J60" s="37"/>
      <c r="K60" s="38" t="s">
        <v>121</v>
      </c>
      <c r="L60" s="39">
        <v>4</v>
      </c>
      <c r="M60" s="39">
        <v>18</v>
      </c>
      <c r="N60" s="40" t="s">
        <v>94</v>
      </c>
      <c r="O60" s="39"/>
      <c r="P60" s="39">
        <v>2</v>
      </c>
      <c r="Q60" s="39"/>
      <c r="R60" s="40"/>
      <c r="S60" s="41"/>
      <c r="T60" s="41"/>
      <c r="U60" s="41"/>
      <c r="V60" s="41"/>
      <c r="W60" s="41"/>
      <c r="X60" s="42" t="str">
        <f t="shared" si="7"/>
        <v>НПИбд</v>
      </c>
      <c r="Y60" s="39" t="s">
        <v>108</v>
      </c>
      <c r="Z60" s="39">
        <v>1</v>
      </c>
      <c r="AA60" s="39">
        <v>1</v>
      </c>
      <c r="AB60" s="42">
        <f t="shared" si="8"/>
        <v>23</v>
      </c>
      <c r="AC60" s="39">
        <v>17</v>
      </c>
      <c r="AD60" s="39">
        <v>6</v>
      </c>
      <c r="AE60" s="44">
        <f t="shared" si="9"/>
        <v>12</v>
      </c>
      <c r="AF60" s="45">
        <f t="shared" si="10"/>
        <v>1</v>
      </c>
      <c r="AG60" s="45">
        <f t="shared" si="11"/>
        <v>1.9166666666666667</v>
      </c>
      <c r="AH60" s="46" t="s">
        <v>82</v>
      </c>
      <c r="AI60" s="40" t="s">
        <v>83</v>
      </c>
      <c r="AJ60" s="40" t="s">
        <v>116</v>
      </c>
      <c r="AK60" s="47" t="s">
        <v>122</v>
      </c>
      <c r="AL60" s="40"/>
      <c r="AM60" s="48">
        <f t="shared" si="12"/>
        <v>0</v>
      </c>
      <c r="AN60" s="48">
        <f t="shared" si="13"/>
        <v>0</v>
      </c>
      <c r="AO60" s="48">
        <f t="shared" si="14"/>
        <v>36</v>
      </c>
      <c r="AP60" s="48">
        <f t="shared" si="15"/>
        <v>0</v>
      </c>
      <c r="AQ60" s="48">
        <f t="shared" si="16"/>
        <v>0</v>
      </c>
      <c r="AR60" s="48">
        <f t="shared" si="17"/>
        <v>0</v>
      </c>
      <c r="AS60" s="48">
        <f t="shared" si="18"/>
        <v>0</v>
      </c>
      <c r="AT60" s="48">
        <f t="shared" si="19"/>
        <v>0</v>
      </c>
      <c r="AU60" s="48">
        <f t="shared" si="20"/>
        <v>0</v>
      </c>
      <c r="AV60" s="48">
        <f t="shared" si="21"/>
        <v>0</v>
      </c>
      <c r="AW60" s="48">
        <f>IF(N60="ПП",РПП*AB60*(V60/1.5),IF(N60="ВП",ВПр*AB60*(V60/1.5),IF(N60="РПА",РПА*AB60*(V60/1.5),IF(N60="КПА",кпа*AB60*(V60/1.5),0))))</f>
        <v>0</v>
      </c>
      <c r="AX60" s="48">
        <f t="shared" si="22"/>
        <v>0</v>
      </c>
      <c r="AY60" s="48">
        <f t="shared" si="23"/>
        <v>0</v>
      </c>
      <c r="AZ60" s="48">
        <f t="shared" si="24"/>
        <v>0</v>
      </c>
      <c r="BA60" s="48">
        <f t="shared" si="25"/>
        <v>0</v>
      </c>
      <c r="BB60" s="48">
        <f t="shared" si="26"/>
        <v>0</v>
      </c>
      <c r="BC60" s="48">
        <f t="shared" si="27"/>
        <v>0</v>
      </c>
      <c r="BD60" s="48">
        <f t="shared" si="28"/>
        <v>0</v>
      </c>
      <c r="BE60" s="48">
        <f t="shared" si="29"/>
        <v>0</v>
      </c>
      <c r="BF60" s="49">
        <f t="shared" si="30"/>
        <v>36</v>
      </c>
      <c r="BG60" s="50"/>
      <c r="BH60" s="51">
        <f t="shared" si="31"/>
        <v>0</v>
      </c>
      <c r="BI60" s="51">
        <f t="shared" si="32"/>
        <v>0</v>
      </c>
      <c r="BJ60" s="51">
        <f t="shared" si="33"/>
        <v>0</v>
      </c>
      <c r="BK60" s="52">
        <f t="shared" si="34"/>
        <v>36</v>
      </c>
      <c r="BL60" s="52">
        <f t="shared" si="35"/>
        <v>1</v>
      </c>
      <c r="BM60" s="52">
        <f t="shared" si="36"/>
        <v>0</v>
      </c>
    </row>
    <row r="61" spans="1:65" ht="30" customHeight="1" x14ac:dyDescent="0.25">
      <c r="A61" s="31" t="str">
        <f t="shared" si="2"/>
        <v>Д</v>
      </c>
      <c r="B61" s="31" t="str">
        <f t="shared" si="3"/>
        <v>Б</v>
      </c>
      <c r="C61" s="32" t="s">
        <v>75</v>
      </c>
      <c r="D61" s="33" t="str">
        <f t="shared" si="4"/>
        <v>Факультет физико-математических и естественных наук</v>
      </c>
      <c r="E61" s="34" t="str">
        <f t="shared" si="5"/>
        <v>'09.03.03</v>
      </c>
      <c r="F61" s="35" t="str">
        <f t="shared" si="6"/>
        <v>Прикладная информатика</v>
      </c>
      <c r="G61" s="36" t="s">
        <v>76</v>
      </c>
      <c r="H61" s="36" t="s">
        <v>77</v>
      </c>
      <c r="I61" s="37" t="s">
        <v>90</v>
      </c>
      <c r="J61" s="37"/>
      <c r="K61" s="38" t="s">
        <v>121</v>
      </c>
      <c r="L61" s="39">
        <v>4</v>
      </c>
      <c r="M61" s="39">
        <v>18</v>
      </c>
      <c r="N61" s="40" t="s">
        <v>94</v>
      </c>
      <c r="O61" s="39"/>
      <c r="P61" s="39">
        <v>2</v>
      </c>
      <c r="Q61" s="39"/>
      <c r="R61" s="40"/>
      <c r="S61" s="41"/>
      <c r="T61" s="41"/>
      <c r="U61" s="41"/>
      <c r="V61" s="41"/>
      <c r="W61" s="41"/>
      <c r="X61" s="42" t="str">
        <f t="shared" si="7"/>
        <v>НПИбд</v>
      </c>
      <c r="Y61" s="39" t="s">
        <v>108</v>
      </c>
      <c r="Z61" s="39">
        <v>1</v>
      </c>
      <c r="AA61" s="39">
        <v>1</v>
      </c>
      <c r="AB61" s="42">
        <f t="shared" si="8"/>
        <v>0</v>
      </c>
      <c r="AC61" s="39"/>
      <c r="AD61" s="39"/>
      <c r="AE61" s="44">
        <f t="shared" si="9"/>
        <v>12</v>
      </c>
      <c r="AF61" s="45">
        <f t="shared" si="10"/>
        <v>0</v>
      </c>
      <c r="AG61" s="45">
        <f t="shared" si="11"/>
        <v>0</v>
      </c>
      <c r="AH61" s="46" t="s">
        <v>82</v>
      </c>
      <c r="AI61" s="40" t="s">
        <v>83</v>
      </c>
      <c r="AJ61" s="40" t="s">
        <v>116</v>
      </c>
      <c r="AK61" s="47" t="s">
        <v>122</v>
      </c>
      <c r="AL61" s="40"/>
      <c r="AM61" s="48">
        <f t="shared" si="12"/>
        <v>0</v>
      </c>
      <c r="AN61" s="48">
        <f t="shared" si="13"/>
        <v>0</v>
      </c>
      <c r="AO61" s="48">
        <f t="shared" si="14"/>
        <v>0</v>
      </c>
      <c r="AP61" s="48">
        <f t="shared" si="15"/>
        <v>0</v>
      </c>
      <c r="AQ61" s="48">
        <f t="shared" si="16"/>
        <v>0</v>
      </c>
      <c r="AR61" s="48">
        <f t="shared" si="17"/>
        <v>0</v>
      </c>
      <c r="AS61" s="48">
        <f t="shared" si="18"/>
        <v>0</v>
      </c>
      <c r="AT61" s="48">
        <f t="shared" si="19"/>
        <v>0</v>
      </c>
      <c r="AU61" s="48">
        <f t="shared" si="20"/>
        <v>0</v>
      </c>
      <c r="AV61" s="48">
        <f t="shared" si="21"/>
        <v>0</v>
      </c>
      <c r="AW61" s="48">
        <f>IF(N61="ПП",РПП*AB61*(V61/1.5),IF(N61="ВП",ВПр*AB61*(V61/1.5),IF(N61="РПА",РПА*AB61*(V61/1.5),IF(N61="КПА",кпа*AB61*(V61/1.5),0))))</f>
        <v>0</v>
      </c>
      <c r="AX61" s="48">
        <f t="shared" si="22"/>
        <v>0</v>
      </c>
      <c r="AY61" s="48">
        <f t="shared" si="23"/>
        <v>0</v>
      </c>
      <c r="AZ61" s="48">
        <f t="shared" si="24"/>
        <v>0</v>
      </c>
      <c r="BA61" s="48">
        <f t="shared" si="25"/>
        <v>0</v>
      </c>
      <c r="BB61" s="48">
        <f t="shared" si="26"/>
        <v>0</v>
      </c>
      <c r="BC61" s="48">
        <f t="shared" si="27"/>
        <v>0</v>
      </c>
      <c r="BD61" s="48">
        <f t="shared" si="28"/>
        <v>0</v>
      </c>
      <c r="BE61" s="48">
        <f t="shared" si="29"/>
        <v>0</v>
      </c>
      <c r="BF61" s="49">
        <f t="shared" si="30"/>
        <v>0</v>
      </c>
      <c r="BG61" s="50"/>
      <c r="BH61" s="51">
        <f t="shared" si="31"/>
        <v>0</v>
      </c>
      <c r="BI61" s="51">
        <f t="shared" si="32"/>
        <v>0</v>
      </c>
      <c r="BJ61" s="51">
        <f t="shared" si="33"/>
        <v>0</v>
      </c>
      <c r="BK61" s="52">
        <f t="shared" si="34"/>
        <v>0</v>
      </c>
      <c r="BL61" s="52">
        <f t="shared" si="35"/>
        <v>0</v>
      </c>
      <c r="BM61" s="52">
        <f t="shared" si="36"/>
        <v>0</v>
      </c>
    </row>
    <row r="62" spans="1:65" ht="30" customHeight="1" x14ac:dyDescent="0.25">
      <c r="A62" s="31" t="str">
        <f t="shared" si="2"/>
        <v>Д</v>
      </c>
      <c r="B62" s="31" t="str">
        <f t="shared" si="3"/>
        <v>Б</v>
      </c>
      <c r="C62" s="32" t="s">
        <v>75</v>
      </c>
      <c r="D62" s="33" t="str">
        <f t="shared" si="4"/>
        <v>Факультет физико-математических и естественных наук</v>
      </c>
      <c r="E62" s="34" t="str">
        <f t="shared" si="5"/>
        <v>'09.03.03</v>
      </c>
      <c r="F62" s="35" t="str">
        <f t="shared" si="6"/>
        <v>Прикладная информатика</v>
      </c>
      <c r="G62" s="36" t="s">
        <v>76</v>
      </c>
      <c r="H62" s="36" t="s">
        <v>77</v>
      </c>
      <c r="I62" s="37" t="s">
        <v>90</v>
      </c>
      <c r="J62" s="37"/>
      <c r="K62" s="38" t="s">
        <v>121</v>
      </c>
      <c r="L62" s="39">
        <v>4</v>
      </c>
      <c r="M62" s="39">
        <v>18</v>
      </c>
      <c r="N62" s="40" t="s">
        <v>94</v>
      </c>
      <c r="O62" s="39"/>
      <c r="P62" s="39">
        <v>2</v>
      </c>
      <c r="Q62" s="39"/>
      <c r="R62" s="40"/>
      <c r="S62" s="41"/>
      <c r="T62" s="41"/>
      <c r="U62" s="41"/>
      <c r="V62" s="41"/>
      <c r="W62" s="41"/>
      <c r="X62" s="42" t="str">
        <f t="shared" si="7"/>
        <v>НПИбд</v>
      </c>
      <c r="Y62" s="39" t="s">
        <v>110</v>
      </c>
      <c r="Z62" s="39">
        <v>1</v>
      </c>
      <c r="AA62" s="39">
        <v>1</v>
      </c>
      <c r="AB62" s="42">
        <f t="shared" si="8"/>
        <v>22</v>
      </c>
      <c r="AC62" s="39">
        <v>17</v>
      </c>
      <c r="AD62" s="39">
        <v>5</v>
      </c>
      <c r="AE62" s="44">
        <f t="shared" si="9"/>
        <v>12</v>
      </c>
      <c r="AF62" s="45">
        <f t="shared" si="10"/>
        <v>1</v>
      </c>
      <c r="AG62" s="45">
        <f t="shared" si="11"/>
        <v>1.8333333333333333</v>
      </c>
      <c r="AH62" s="46" t="s">
        <v>82</v>
      </c>
      <c r="AI62" s="40" t="s">
        <v>99</v>
      </c>
      <c r="AJ62" s="40" t="s">
        <v>116</v>
      </c>
      <c r="AK62" s="47" t="s">
        <v>123</v>
      </c>
      <c r="AL62" s="40"/>
      <c r="AM62" s="48">
        <f t="shared" si="12"/>
        <v>0</v>
      </c>
      <c r="AN62" s="48">
        <f t="shared" si="13"/>
        <v>0</v>
      </c>
      <c r="AO62" s="48">
        <f t="shared" si="14"/>
        <v>36</v>
      </c>
      <c r="AP62" s="48">
        <f t="shared" si="15"/>
        <v>0</v>
      </c>
      <c r="AQ62" s="48">
        <f t="shared" si="16"/>
        <v>0</v>
      </c>
      <c r="AR62" s="48">
        <f t="shared" si="17"/>
        <v>0</v>
      </c>
      <c r="AS62" s="48">
        <f t="shared" si="18"/>
        <v>0</v>
      </c>
      <c r="AT62" s="48">
        <f t="shared" si="19"/>
        <v>0</v>
      </c>
      <c r="AU62" s="48">
        <f t="shared" si="20"/>
        <v>0</v>
      </c>
      <c r="AV62" s="48">
        <f t="shared" si="21"/>
        <v>0</v>
      </c>
      <c r="AW62" s="48">
        <f>IF(N62="ПП",РПП*AB62*(V62/1.5),IF(N62="ВП",ВПр*AB62*(V62/1.5),IF(N62="РПА",РПА*AB62*(V62/1.5),IF(N62="КПА",кпа*AB62*(V62/1.5),0))))</f>
        <v>0</v>
      </c>
      <c r="AX62" s="48">
        <f t="shared" si="22"/>
        <v>0</v>
      </c>
      <c r="AY62" s="48">
        <f t="shared" si="23"/>
        <v>0</v>
      </c>
      <c r="AZ62" s="48">
        <f t="shared" si="24"/>
        <v>0</v>
      </c>
      <c r="BA62" s="48">
        <f t="shared" si="25"/>
        <v>0</v>
      </c>
      <c r="BB62" s="48">
        <f t="shared" si="26"/>
        <v>0</v>
      </c>
      <c r="BC62" s="48">
        <f t="shared" si="27"/>
        <v>0</v>
      </c>
      <c r="BD62" s="48">
        <f t="shared" si="28"/>
        <v>0</v>
      </c>
      <c r="BE62" s="48">
        <f t="shared" si="29"/>
        <v>0</v>
      </c>
      <c r="BF62" s="49">
        <f t="shared" si="30"/>
        <v>36</v>
      </c>
      <c r="BG62" s="50"/>
      <c r="BH62" s="51">
        <f t="shared" si="31"/>
        <v>0</v>
      </c>
      <c r="BI62" s="51">
        <f t="shared" si="32"/>
        <v>0</v>
      </c>
      <c r="BJ62" s="51">
        <f t="shared" si="33"/>
        <v>0</v>
      </c>
      <c r="BK62" s="52">
        <f t="shared" si="34"/>
        <v>36</v>
      </c>
      <c r="BL62" s="52">
        <f t="shared" si="35"/>
        <v>1</v>
      </c>
      <c r="BM62" s="52">
        <f t="shared" si="36"/>
        <v>0</v>
      </c>
    </row>
    <row r="63" spans="1:65" ht="30" customHeight="1" x14ac:dyDescent="0.25">
      <c r="A63" s="31" t="str">
        <f t="shared" si="2"/>
        <v>Д</v>
      </c>
      <c r="B63" s="31" t="str">
        <f t="shared" si="3"/>
        <v>Б</v>
      </c>
      <c r="C63" s="32" t="s">
        <v>75</v>
      </c>
      <c r="D63" s="33" t="str">
        <f t="shared" si="4"/>
        <v>Факультет физико-математических и естественных наук</v>
      </c>
      <c r="E63" s="34" t="str">
        <f t="shared" si="5"/>
        <v>'09.03.03</v>
      </c>
      <c r="F63" s="35" t="str">
        <f t="shared" si="6"/>
        <v>Прикладная информатика</v>
      </c>
      <c r="G63" s="36" t="s">
        <v>76</v>
      </c>
      <c r="H63" s="36" t="s">
        <v>77</v>
      </c>
      <c r="I63" s="37" t="s">
        <v>90</v>
      </c>
      <c r="J63" s="37"/>
      <c r="K63" s="38" t="s">
        <v>121</v>
      </c>
      <c r="L63" s="39">
        <v>4</v>
      </c>
      <c r="M63" s="39">
        <v>18</v>
      </c>
      <c r="N63" s="40" t="s">
        <v>94</v>
      </c>
      <c r="O63" s="39"/>
      <c r="P63" s="39">
        <v>2</v>
      </c>
      <c r="Q63" s="39"/>
      <c r="R63" s="40"/>
      <c r="S63" s="41"/>
      <c r="T63" s="41"/>
      <c r="U63" s="41"/>
      <c r="V63" s="41"/>
      <c r="W63" s="41"/>
      <c r="X63" s="42" t="str">
        <f t="shared" si="7"/>
        <v>НПИбд</v>
      </c>
      <c r="Y63" s="39" t="s">
        <v>110</v>
      </c>
      <c r="Z63" s="39">
        <v>1</v>
      </c>
      <c r="AA63" s="39">
        <v>1</v>
      </c>
      <c r="AB63" s="42">
        <f t="shared" si="8"/>
        <v>0</v>
      </c>
      <c r="AC63" s="39"/>
      <c r="AD63" s="39"/>
      <c r="AE63" s="44">
        <f t="shared" si="9"/>
        <v>12</v>
      </c>
      <c r="AF63" s="45">
        <f t="shared" si="10"/>
        <v>0</v>
      </c>
      <c r="AG63" s="45">
        <f t="shared" si="11"/>
        <v>0</v>
      </c>
      <c r="AH63" s="46" t="s">
        <v>82</v>
      </c>
      <c r="AI63" s="40" t="s">
        <v>99</v>
      </c>
      <c r="AJ63" s="40" t="s">
        <v>116</v>
      </c>
      <c r="AK63" s="47" t="s">
        <v>123</v>
      </c>
      <c r="AL63" s="40"/>
      <c r="AM63" s="48">
        <f t="shared" si="12"/>
        <v>0</v>
      </c>
      <c r="AN63" s="48">
        <f t="shared" si="13"/>
        <v>0</v>
      </c>
      <c r="AO63" s="48">
        <f t="shared" si="14"/>
        <v>0</v>
      </c>
      <c r="AP63" s="48">
        <f t="shared" si="15"/>
        <v>0</v>
      </c>
      <c r="AQ63" s="48">
        <f t="shared" si="16"/>
        <v>0</v>
      </c>
      <c r="AR63" s="48">
        <f t="shared" si="17"/>
        <v>0</v>
      </c>
      <c r="AS63" s="48">
        <f t="shared" si="18"/>
        <v>0</v>
      </c>
      <c r="AT63" s="48">
        <f t="shared" si="19"/>
        <v>0</v>
      </c>
      <c r="AU63" s="48">
        <f t="shared" si="20"/>
        <v>0</v>
      </c>
      <c r="AV63" s="48">
        <f t="shared" si="21"/>
        <v>0</v>
      </c>
      <c r="AW63" s="48">
        <f>IF(N63="ПП",РПП*AB63*(V63/1.5),IF(N63="ВП",ВПр*AB63*(V63/1.5),IF(N63="РПА",РПА*AB63*(V63/1.5),IF(N63="КПА",кпа*AB63*(V63/1.5),0))))</f>
        <v>0</v>
      </c>
      <c r="AX63" s="48">
        <f t="shared" si="22"/>
        <v>0</v>
      </c>
      <c r="AY63" s="48">
        <f t="shared" si="23"/>
        <v>0</v>
      </c>
      <c r="AZ63" s="48">
        <f t="shared" si="24"/>
        <v>0</v>
      </c>
      <c r="BA63" s="48">
        <f t="shared" si="25"/>
        <v>0</v>
      </c>
      <c r="BB63" s="48">
        <f t="shared" si="26"/>
        <v>0</v>
      </c>
      <c r="BC63" s="48">
        <f t="shared" si="27"/>
        <v>0</v>
      </c>
      <c r="BD63" s="48">
        <f t="shared" si="28"/>
        <v>0</v>
      </c>
      <c r="BE63" s="48">
        <f t="shared" si="29"/>
        <v>0</v>
      </c>
      <c r="BF63" s="49">
        <f t="shared" si="30"/>
        <v>0</v>
      </c>
      <c r="BG63" s="50"/>
      <c r="BH63" s="51">
        <f t="shared" si="31"/>
        <v>0</v>
      </c>
      <c r="BI63" s="51">
        <f t="shared" si="32"/>
        <v>0</v>
      </c>
      <c r="BJ63" s="51">
        <f t="shared" si="33"/>
        <v>0</v>
      </c>
      <c r="BK63" s="52">
        <f t="shared" si="34"/>
        <v>0</v>
      </c>
      <c r="BL63" s="52">
        <f t="shared" si="35"/>
        <v>0</v>
      </c>
      <c r="BM63" s="52">
        <f t="shared" si="36"/>
        <v>0</v>
      </c>
    </row>
    <row r="64" spans="1:65" ht="30" customHeight="1" x14ac:dyDescent="0.25">
      <c r="A64" s="31" t="str">
        <f t="shared" si="2"/>
        <v>Д</v>
      </c>
      <c r="B64" s="31" t="str">
        <f t="shared" si="3"/>
        <v>Б</v>
      </c>
      <c r="C64" s="32" t="s">
        <v>75</v>
      </c>
      <c r="D64" s="33" t="str">
        <f t="shared" si="4"/>
        <v>Факультет физико-математических и естественных наук</v>
      </c>
      <c r="E64" s="34" t="str">
        <f t="shared" si="5"/>
        <v>'09.03.03</v>
      </c>
      <c r="F64" s="35" t="str">
        <f t="shared" si="6"/>
        <v>Прикладная информатика</v>
      </c>
      <c r="G64" s="36" t="s">
        <v>76</v>
      </c>
      <c r="H64" s="36" t="s">
        <v>77</v>
      </c>
      <c r="I64" s="37" t="s">
        <v>90</v>
      </c>
      <c r="J64" s="37"/>
      <c r="K64" s="38" t="s">
        <v>124</v>
      </c>
      <c r="L64" s="39">
        <v>4</v>
      </c>
      <c r="M64" s="39">
        <v>18</v>
      </c>
      <c r="N64" s="40" t="s">
        <v>79</v>
      </c>
      <c r="O64" s="39">
        <v>1</v>
      </c>
      <c r="P64" s="39"/>
      <c r="Q64" s="39"/>
      <c r="R64" s="40" t="s">
        <v>80</v>
      </c>
      <c r="S64" s="41"/>
      <c r="T64" s="41"/>
      <c r="U64" s="41"/>
      <c r="V64" s="41"/>
      <c r="W64" s="41"/>
      <c r="X64" s="42" t="str">
        <f t="shared" si="7"/>
        <v>НПИбд</v>
      </c>
      <c r="Y64" s="39" t="s">
        <v>106</v>
      </c>
      <c r="Z64" s="39">
        <v>6</v>
      </c>
      <c r="AA64" s="39">
        <v>3</v>
      </c>
      <c r="AB64" s="42">
        <f t="shared" si="8"/>
        <v>64</v>
      </c>
      <c r="AC64" s="39">
        <v>52</v>
      </c>
      <c r="AD64" s="39">
        <v>12</v>
      </c>
      <c r="AE64" s="44">
        <f t="shared" si="9"/>
        <v>64</v>
      </c>
      <c r="AF64" s="45">
        <f t="shared" si="10"/>
        <v>1</v>
      </c>
      <c r="AG64" s="45">
        <f t="shared" si="11"/>
        <v>1</v>
      </c>
      <c r="AH64" s="46" t="s">
        <v>82</v>
      </c>
      <c r="AI64" s="40" t="s">
        <v>83</v>
      </c>
      <c r="AJ64" s="40" t="s">
        <v>84</v>
      </c>
      <c r="AK64" s="53" t="s">
        <v>93</v>
      </c>
      <c r="AL64" s="40"/>
      <c r="AM64" s="48">
        <f t="shared" si="12"/>
        <v>18</v>
      </c>
      <c r="AN64" s="48">
        <f t="shared" si="13"/>
        <v>0</v>
      </c>
      <c r="AO64" s="48">
        <f t="shared" si="14"/>
        <v>0</v>
      </c>
      <c r="AP64" s="48">
        <f t="shared" si="15"/>
        <v>21.12</v>
      </c>
      <c r="AQ64" s="48">
        <f t="shared" si="16"/>
        <v>32</v>
      </c>
      <c r="AR64" s="48">
        <f t="shared" si="17"/>
        <v>3</v>
      </c>
      <c r="AS64" s="48">
        <f t="shared" si="18"/>
        <v>2.7</v>
      </c>
      <c r="AT64" s="48">
        <f t="shared" si="19"/>
        <v>0</v>
      </c>
      <c r="AU64" s="48">
        <f t="shared" si="20"/>
        <v>0</v>
      </c>
      <c r="AV64" s="48">
        <f t="shared" si="21"/>
        <v>0</v>
      </c>
      <c r="AW64" s="48">
        <f>IF(N64="ПП",РПП*AB64*(V64/1.5),IF(N64="ВП",ВПр*AB64*(V64/1.5),IF(N64="РПА",РПА*AB64*(V64/1.5),IF(N64="КПА",кпа*AB64*(V64/1.5),0))))</f>
        <v>0</v>
      </c>
      <c r="AX64" s="48">
        <f t="shared" si="22"/>
        <v>0</v>
      </c>
      <c r="AY64" s="48">
        <f t="shared" si="23"/>
        <v>0</v>
      </c>
      <c r="AZ64" s="48">
        <f t="shared" si="24"/>
        <v>0</v>
      </c>
      <c r="BA64" s="48">
        <f t="shared" si="25"/>
        <v>0</v>
      </c>
      <c r="BB64" s="48">
        <f t="shared" si="26"/>
        <v>0</v>
      </c>
      <c r="BC64" s="48">
        <f t="shared" si="27"/>
        <v>0</v>
      </c>
      <c r="BD64" s="48">
        <f t="shared" si="28"/>
        <v>0</v>
      </c>
      <c r="BE64" s="48">
        <f t="shared" si="29"/>
        <v>0</v>
      </c>
      <c r="BF64" s="49">
        <f t="shared" si="30"/>
        <v>76.820000000000007</v>
      </c>
      <c r="BG64" s="50"/>
      <c r="BH64" s="51">
        <f t="shared" si="31"/>
        <v>0</v>
      </c>
      <c r="BI64" s="51">
        <f t="shared" si="32"/>
        <v>0</v>
      </c>
      <c r="BJ64" s="51">
        <f t="shared" si="33"/>
        <v>0</v>
      </c>
      <c r="BK64" s="52">
        <f t="shared" si="34"/>
        <v>18</v>
      </c>
      <c r="BL64" s="52">
        <f t="shared" si="35"/>
        <v>0.5</v>
      </c>
      <c r="BM64" s="52">
        <f t="shared" si="36"/>
        <v>58.820000000000007</v>
      </c>
    </row>
    <row r="65" spans="1:65" ht="30" customHeight="1" x14ac:dyDescent="0.25">
      <c r="A65" s="31" t="str">
        <f t="shared" si="2"/>
        <v>Д</v>
      </c>
      <c r="B65" s="31" t="str">
        <f t="shared" si="3"/>
        <v>Б</v>
      </c>
      <c r="C65" s="32" t="s">
        <v>75</v>
      </c>
      <c r="D65" s="33" t="str">
        <f t="shared" si="4"/>
        <v>Факультет физико-математических и естественных наук</v>
      </c>
      <c r="E65" s="34" t="str">
        <f t="shared" si="5"/>
        <v>'09.03.03</v>
      </c>
      <c r="F65" s="35" t="str">
        <f t="shared" si="6"/>
        <v>Прикладная информатика</v>
      </c>
      <c r="G65" s="36" t="s">
        <v>76</v>
      </c>
      <c r="H65" s="36" t="s">
        <v>77</v>
      </c>
      <c r="I65" s="37" t="s">
        <v>90</v>
      </c>
      <c r="J65" s="37"/>
      <c r="K65" s="38" t="s">
        <v>124</v>
      </c>
      <c r="L65" s="39">
        <v>4</v>
      </c>
      <c r="M65" s="39">
        <v>18</v>
      </c>
      <c r="N65" s="40" t="s">
        <v>94</v>
      </c>
      <c r="O65" s="39"/>
      <c r="P65" s="39">
        <v>2</v>
      </c>
      <c r="Q65" s="39"/>
      <c r="R65" s="40"/>
      <c r="S65" s="41"/>
      <c r="T65" s="41"/>
      <c r="U65" s="41"/>
      <c r="V65" s="41"/>
      <c r="W65" s="41"/>
      <c r="X65" s="42" t="str">
        <f t="shared" si="7"/>
        <v>НПИбд</v>
      </c>
      <c r="Y65" s="39" t="s">
        <v>107</v>
      </c>
      <c r="Z65" s="39">
        <v>1</v>
      </c>
      <c r="AA65" s="39">
        <v>1</v>
      </c>
      <c r="AB65" s="42">
        <f t="shared" si="8"/>
        <v>23</v>
      </c>
      <c r="AC65" s="39">
        <v>18</v>
      </c>
      <c r="AD65" s="39">
        <v>5</v>
      </c>
      <c r="AE65" s="44">
        <f t="shared" si="9"/>
        <v>12</v>
      </c>
      <c r="AF65" s="45">
        <f t="shared" si="10"/>
        <v>1</v>
      </c>
      <c r="AG65" s="45">
        <f t="shared" si="11"/>
        <v>1.9166666666666667</v>
      </c>
      <c r="AH65" s="46" t="s">
        <v>82</v>
      </c>
      <c r="AI65" s="40" t="s">
        <v>83</v>
      </c>
      <c r="AJ65" s="40" t="s">
        <v>84</v>
      </c>
      <c r="AK65" s="53" t="s">
        <v>93</v>
      </c>
      <c r="AL65" s="40"/>
      <c r="AM65" s="48">
        <f t="shared" si="12"/>
        <v>0</v>
      </c>
      <c r="AN65" s="48">
        <f t="shared" si="13"/>
        <v>0</v>
      </c>
      <c r="AO65" s="48">
        <f t="shared" si="14"/>
        <v>36</v>
      </c>
      <c r="AP65" s="48">
        <f t="shared" si="15"/>
        <v>0</v>
      </c>
      <c r="AQ65" s="48">
        <f t="shared" si="16"/>
        <v>0</v>
      </c>
      <c r="AR65" s="48">
        <f t="shared" si="17"/>
        <v>0</v>
      </c>
      <c r="AS65" s="48">
        <f t="shared" si="18"/>
        <v>0</v>
      </c>
      <c r="AT65" s="48">
        <f t="shared" si="19"/>
        <v>0</v>
      </c>
      <c r="AU65" s="48">
        <f t="shared" si="20"/>
        <v>0</v>
      </c>
      <c r="AV65" s="48">
        <f t="shared" si="21"/>
        <v>0</v>
      </c>
      <c r="AW65" s="48">
        <f>IF(N65="ПП",РПП*AB65*(V65/1.5),IF(N65="ВП",ВПр*AB65*(V65/1.5),IF(N65="РПА",РПА*AB65*(V65/1.5),IF(N65="КПА",кпа*AB65*(V65/1.5),0))))</f>
        <v>0</v>
      </c>
      <c r="AX65" s="48">
        <f t="shared" si="22"/>
        <v>0</v>
      </c>
      <c r="AY65" s="48">
        <f t="shared" si="23"/>
        <v>0</v>
      </c>
      <c r="AZ65" s="48">
        <f t="shared" si="24"/>
        <v>0</v>
      </c>
      <c r="BA65" s="48">
        <f t="shared" si="25"/>
        <v>0</v>
      </c>
      <c r="BB65" s="48">
        <f t="shared" si="26"/>
        <v>0</v>
      </c>
      <c r="BC65" s="48">
        <f t="shared" si="27"/>
        <v>0</v>
      </c>
      <c r="BD65" s="48">
        <f t="shared" si="28"/>
        <v>0</v>
      </c>
      <c r="BE65" s="48">
        <f t="shared" si="29"/>
        <v>0</v>
      </c>
      <c r="BF65" s="49">
        <f t="shared" si="30"/>
        <v>36</v>
      </c>
      <c r="BG65" s="50"/>
      <c r="BH65" s="51">
        <f t="shared" si="31"/>
        <v>0</v>
      </c>
      <c r="BI65" s="51">
        <f t="shared" si="32"/>
        <v>0</v>
      </c>
      <c r="BJ65" s="51">
        <f t="shared" si="33"/>
        <v>0</v>
      </c>
      <c r="BK65" s="52">
        <f t="shared" si="34"/>
        <v>36</v>
      </c>
      <c r="BL65" s="52">
        <f t="shared" si="35"/>
        <v>1</v>
      </c>
      <c r="BM65" s="52">
        <f t="shared" si="36"/>
        <v>0</v>
      </c>
    </row>
    <row r="66" spans="1:65" ht="30" customHeight="1" x14ac:dyDescent="0.25">
      <c r="A66" s="31" t="str">
        <f t="shared" si="2"/>
        <v>Д</v>
      </c>
      <c r="B66" s="31" t="str">
        <f t="shared" si="3"/>
        <v>Б</v>
      </c>
      <c r="C66" s="32" t="s">
        <v>75</v>
      </c>
      <c r="D66" s="33" t="str">
        <f t="shared" si="4"/>
        <v>Факультет физико-математических и естественных наук</v>
      </c>
      <c r="E66" s="34" t="str">
        <f t="shared" si="5"/>
        <v>'09.03.03</v>
      </c>
      <c r="F66" s="35" t="str">
        <f t="shared" si="6"/>
        <v>Прикладная информатика</v>
      </c>
      <c r="G66" s="36" t="s">
        <v>76</v>
      </c>
      <c r="H66" s="36" t="s">
        <v>77</v>
      </c>
      <c r="I66" s="37" t="s">
        <v>90</v>
      </c>
      <c r="J66" s="37"/>
      <c r="K66" s="38" t="s">
        <v>124</v>
      </c>
      <c r="L66" s="39">
        <v>4</v>
      </c>
      <c r="M66" s="39">
        <v>18</v>
      </c>
      <c r="N66" s="40" t="s">
        <v>94</v>
      </c>
      <c r="O66" s="39"/>
      <c r="P66" s="39">
        <v>2</v>
      </c>
      <c r="Q66" s="39"/>
      <c r="R66" s="40"/>
      <c r="S66" s="41"/>
      <c r="T66" s="41"/>
      <c r="U66" s="41"/>
      <c r="V66" s="41"/>
      <c r="W66" s="41"/>
      <c r="X66" s="42" t="str">
        <f t="shared" si="7"/>
        <v>НПИбд</v>
      </c>
      <c r="Y66" s="39" t="s">
        <v>107</v>
      </c>
      <c r="Z66" s="39">
        <v>1</v>
      </c>
      <c r="AA66" s="39">
        <v>1</v>
      </c>
      <c r="AB66" s="42">
        <f t="shared" si="8"/>
        <v>0</v>
      </c>
      <c r="AC66" s="39"/>
      <c r="AD66" s="39"/>
      <c r="AE66" s="44">
        <f t="shared" si="9"/>
        <v>12</v>
      </c>
      <c r="AF66" s="45">
        <f t="shared" si="10"/>
        <v>0</v>
      </c>
      <c r="AG66" s="45">
        <f t="shared" si="11"/>
        <v>0</v>
      </c>
      <c r="AH66" s="46" t="s">
        <v>82</v>
      </c>
      <c r="AI66" s="40" t="s">
        <v>83</v>
      </c>
      <c r="AJ66" s="40" t="s">
        <v>84</v>
      </c>
      <c r="AK66" s="53" t="s">
        <v>93</v>
      </c>
      <c r="AL66" s="40"/>
      <c r="AM66" s="48">
        <f t="shared" si="12"/>
        <v>0</v>
      </c>
      <c r="AN66" s="48">
        <f t="shared" si="13"/>
        <v>0</v>
      </c>
      <c r="AO66" s="48">
        <f t="shared" si="14"/>
        <v>0</v>
      </c>
      <c r="AP66" s="48">
        <f t="shared" si="15"/>
        <v>0</v>
      </c>
      <c r="AQ66" s="48">
        <f t="shared" si="16"/>
        <v>0</v>
      </c>
      <c r="AR66" s="48">
        <f t="shared" si="17"/>
        <v>0</v>
      </c>
      <c r="AS66" s="48">
        <f t="shared" si="18"/>
        <v>0</v>
      </c>
      <c r="AT66" s="48">
        <f t="shared" si="19"/>
        <v>0</v>
      </c>
      <c r="AU66" s="48">
        <f t="shared" si="20"/>
        <v>0</v>
      </c>
      <c r="AV66" s="48">
        <f t="shared" si="21"/>
        <v>0</v>
      </c>
      <c r="AW66" s="48">
        <f>IF(N66="ПП",РПП*AB66*(V66/1.5),IF(N66="ВП",ВПр*AB66*(V66/1.5),IF(N66="РПА",РПА*AB66*(V66/1.5),IF(N66="КПА",кпа*AB66*(V66/1.5),0))))</f>
        <v>0</v>
      </c>
      <c r="AX66" s="48">
        <f t="shared" si="22"/>
        <v>0</v>
      </c>
      <c r="AY66" s="48">
        <f t="shared" si="23"/>
        <v>0</v>
      </c>
      <c r="AZ66" s="48">
        <f t="shared" si="24"/>
        <v>0</v>
      </c>
      <c r="BA66" s="48">
        <f t="shared" si="25"/>
        <v>0</v>
      </c>
      <c r="BB66" s="48">
        <f t="shared" si="26"/>
        <v>0</v>
      </c>
      <c r="BC66" s="48">
        <f t="shared" si="27"/>
        <v>0</v>
      </c>
      <c r="BD66" s="48">
        <f t="shared" si="28"/>
        <v>0</v>
      </c>
      <c r="BE66" s="48">
        <f t="shared" si="29"/>
        <v>0</v>
      </c>
      <c r="BF66" s="49">
        <f t="shared" si="30"/>
        <v>0</v>
      </c>
      <c r="BG66" s="50"/>
      <c r="BH66" s="51">
        <f t="shared" si="31"/>
        <v>0</v>
      </c>
      <c r="BI66" s="51">
        <f t="shared" si="32"/>
        <v>0</v>
      </c>
      <c r="BJ66" s="51">
        <f t="shared" si="33"/>
        <v>0</v>
      </c>
      <c r="BK66" s="52">
        <f t="shared" si="34"/>
        <v>0</v>
      </c>
      <c r="BL66" s="52">
        <f t="shared" si="35"/>
        <v>0</v>
      </c>
      <c r="BM66" s="52">
        <f t="shared" si="36"/>
        <v>0</v>
      </c>
    </row>
    <row r="67" spans="1:65" ht="30" customHeight="1" x14ac:dyDescent="0.25">
      <c r="A67" s="31" t="str">
        <f t="shared" si="2"/>
        <v>Д</v>
      </c>
      <c r="B67" s="31" t="str">
        <f t="shared" si="3"/>
        <v>Б</v>
      </c>
      <c r="C67" s="32" t="s">
        <v>75</v>
      </c>
      <c r="D67" s="33" t="str">
        <f t="shared" si="4"/>
        <v>Факультет физико-математических и естественных наук</v>
      </c>
      <c r="E67" s="34" t="str">
        <f t="shared" si="5"/>
        <v>'09.03.03</v>
      </c>
      <c r="F67" s="35" t="str">
        <f t="shared" si="6"/>
        <v>Прикладная информатика</v>
      </c>
      <c r="G67" s="36" t="s">
        <v>76</v>
      </c>
      <c r="H67" s="36" t="s">
        <v>77</v>
      </c>
      <c r="I67" s="37" t="s">
        <v>90</v>
      </c>
      <c r="J67" s="37"/>
      <c r="K67" s="38" t="s">
        <v>124</v>
      </c>
      <c r="L67" s="39">
        <v>4</v>
      </c>
      <c r="M67" s="39">
        <v>18</v>
      </c>
      <c r="N67" s="40" t="s">
        <v>94</v>
      </c>
      <c r="O67" s="39"/>
      <c r="P67" s="39">
        <v>2</v>
      </c>
      <c r="Q67" s="39"/>
      <c r="R67" s="40"/>
      <c r="S67" s="41"/>
      <c r="T67" s="41"/>
      <c r="U67" s="41"/>
      <c r="V67" s="41"/>
      <c r="W67" s="41"/>
      <c r="X67" s="42" t="str">
        <f t="shared" si="7"/>
        <v>НПИбд</v>
      </c>
      <c r="Y67" s="39" t="s">
        <v>108</v>
      </c>
      <c r="Z67" s="39">
        <v>1</v>
      </c>
      <c r="AA67" s="39">
        <v>1</v>
      </c>
      <c r="AB67" s="42">
        <f t="shared" si="8"/>
        <v>23</v>
      </c>
      <c r="AC67" s="39">
        <v>17</v>
      </c>
      <c r="AD67" s="39">
        <v>6</v>
      </c>
      <c r="AE67" s="44">
        <f t="shared" si="9"/>
        <v>12</v>
      </c>
      <c r="AF67" s="45">
        <f t="shared" si="10"/>
        <v>1</v>
      </c>
      <c r="AG67" s="45">
        <f t="shared" si="11"/>
        <v>1.9166666666666667</v>
      </c>
      <c r="AH67" s="46" t="s">
        <v>82</v>
      </c>
      <c r="AI67" s="40" t="s">
        <v>83</v>
      </c>
      <c r="AJ67" s="40" t="s">
        <v>84</v>
      </c>
      <c r="AK67" s="53" t="s">
        <v>93</v>
      </c>
      <c r="AL67" s="40"/>
      <c r="AM67" s="48">
        <f t="shared" si="12"/>
        <v>0</v>
      </c>
      <c r="AN67" s="48">
        <f t="shared" si="13"/>
        <v>0</v>
      </c>
      <c r="AO67" s="48">
        <f t="shared" si="14"/>
        <v>36</v>
      </c>
      <c r="AP67" s="48">
        <f t="shared" si="15"/>
        <v>0</v>
      </c>
      <c r="AQ67" s="48">
        <f t="shared" si="16"/>
        <v>0</v>
      </c>
      <c r="AR67" s="48">
        <f t="shared" si="17"/>
        <v>0</v>
      </c>
      <c r="AS67" s="48">
        <f t="shared" si="18"/>
        <v>0</v>
      </c>
      <c r="AT67" s="48">
        <f t="shared" si="19"/>
        <v>0</v>
      </c>
      <c r="AU67" s="48">
        <f t="shared" si="20"/>
        <v>0</v>
      </c>
      <c r="AV67" s="48">
        <f t="shared" si="21"/>
        <v>0</v>
      </c>
      <c r="AW67" s="48">
        <f>IF(N67="ПП",РПП*AB67*(V67/1.5),IF(N67="ВП",ВПр*AB67*(V67/1.5),IF(N67="РПА",РПА*AB67*(V67/1.5),IF(N67="КПА",кпа*AB67*(V67/1.5),0))))</f>
        <v>0</v>
      </c>
      <c r="AX67" s="48">
        <f t="shared" si="22"/>
        <v>0</v>
      </c>
      <c r="AY67" s="48">
        <f t="shared" si="23"/>
        <v>0</v>
      </c>
      <c r="AZ67" s="48">
        <f t="shared" si="24"/>
        <v>0</v>
      </c>
      <c r="BA67" s="48">
        <f t="shared" si="25"/>
        <v>0</v>
      </c>
      <c r="BB67" s="48">
        <f t="shared" si="26"/>
        <v>0</v>
      </c>
      <c r="BC67" s="48">
        <f t="shared" si="27"/>
        <v>0</v>
      </c>
      <c r="BD67" s="48">
        <f t="shared" si="28"/>
        <v>0</v>
      </c>
      <c r="BE67" s="48">
        <f t="shared" si="29"/>
        <v>0</v>
      </c>
      <c r="BF67" s="49">
        <f t="shared" si="30"/>
        <v>36</v>
      </c>
      <c r="BG67" s="50"/>
      <c r="BH67" s="51">
        <f t="shared" si="31"/>
        <v>0</v>
      </c>
      <c r="BI67" s="51">
        <f t="shared" si="32"/>
        <v>0</v>
      </c>
      <c r="BJ67" s="51">
        <f t="shared" si="33"/>
        <v>0</v>
      </c>
      <c r="BK67" s="52">
        <f t="shared" si="34"/>
        <v>36</v>
      </c>
      <c r="BL67" s="52">
        <f t="shared" si="35"/>
        <v>1</v>
      </c>
      <c r="BM67" s="52">
        <f t="shared" si="36"/>
        <v>0</v>
      </c>
    </row>
    <row r="68" spans="1:65" ht="30" customHeight="1" x14ac:dyDescent="0.25">
      <c r="A68" s="31" t="str">
        <f t="shared" si="2"/>
        <v>Д</v>
      </c>
      <c r="B68" s="31" t="str">
        <f t="shared" si="3"/>
        <v>Б</v>
      </c>
      <c r="C68" s="32" t="s">
        <v>75</v>
      </c>
      <c r="D68" s="33" t="str">
        <f t="shared" si="4"/>
        <v>Факультет физико-математических и естественных наук</v>
      </c>
      <c r="E68" s="34" t="str">
        <f t="shared" si="5"/>
        <v>'09.03.03</v>
      </c>
      <c r="F68" s="35" t="str">
        <f t="shared" si="6"/>
        <v>Прикладная информатика</v>
      </c>
      <c r="G68" s="36" t="s">
        <v>76</v>
      </c>
      <c r="H68" s="36" t="s">
        <v>77</v>
      </c>
      <c r="I68" s="37" t="s">
        <v>90</v>
      </c>
      <c r="J68" s="37"/>
      <c r="K68" s="38" t="s">
        <v>124</v>
      </c>
      <c r="L68" s="39">
        <v>4</v>
      </c>
      <c r="M68" s="39">
        <v>18</v>
      </c>
      <c r="N68" s="40" t="s">
        <v>94</v>
      </c>
      <c r="O68" s="39"/>
      <c r="P68" s="39">
        <v>2</v>
      </c>
      <c r="Q68" s="39"/>
      <c r="R68" s="40"/>
      <c r="S68" s="41"/>
      <c r="T68" s="41"/>
      <c r="U68" s="41"/>
      <c r="V68" s="41"/>
      <c r="W68" s="41"/>
      <c r="X68" s="42" t="str">
        <f t="shared" si="7"/>
        <v>НПИбд</v>
      </c>
      <c r="Y68" s="39" t="s">
        <v>108</v>
      </c>
      <c r="Z68" s="39">
        <v>1</v>
      </c>
      <c r="AA68" s="39">
        <v>1</v>
      </c>
      <c r="AB68" s="42">
        <f t="shared" si="8"/>
        <v>0</v>
      </c>
      <c r="AC68" s="39"/>
      <c r="AD68" s="39"/>
      <c r="AE68" s="44">
        <f t="shared" si="9"/>
        <v>12</v>
      </c>
      <c r="AF68" s="45">
        <f t="shared" si="10"/>
        <v>0</v>
      </c>
      <c r="AG68" s="45">
        <f t="shared" si="11"/>
        <v>0</v>
      </c>
      <c r="AH68" s="46" t="s">
        <v>82</v>
      </c>
      <c r="AI68" s="40" t="s">
        <v>83</v>
      </c>
      <c r="AJ68" s="40" t="s">
        <v>84</v>
      </c>
      <c r="AK68" s="53" t="s">
        <v>93</v>
      </c>
      <c r="AL68" s="40"/>
      <c r="AM68" s="48">
        <f t="shared" si="12"/>
        <v>0</v>
      </c>
      <c r="AN68" s="48">
        <f t="shared" si="13"/>
        <v>0</v>
      </c>
      <c r="AO68" s="48">
        <f t="shared" si="14"/>
        <v>0</v>
      </c>
      <c r="AP68" s="48">
        <f t="shared" si="15"/>
        <v>0</v>
      </c>
      <c r="AQ68" s="48">
        <f t="shared" si="16"/>
        <v>0</v>
      </c>
      <c r="AR68" s="48">
        <f t="shared" si="17"/>
        <v>0</v>
      </c>
      <c r="AS68" s="48">
        <f t="shared" si="18"/>
        <v>0</v>
      </c>
      <c r="AT68" s="48">
        <f t="shared" si="19"/>
        <v>0</v>
      </c>
      <c r="AU68" s="48">
        <f t="shared" si="20"/>
        <v>0</v>
      </c>
      <c r="AV68" s="48">
        <f t="shared" si="21"/>
        <v>0</v>
      </c>
      <c r="AW68" s="48">
        <f>IF(N68="ПП",РПП*AB68*(V68/1.5),IF(N68="ВП",ВПр*AB68*(V68/1.5),IF(N68="РПА",РПА*AB68*(V68/1.5),IF(N68="КПА",кпа*AB68*(V68/1.5),0))))</f>
        <v>0</v>
      </c>
      <c r="AX68" s="48">
        <f t="shared" si="22"/>
        <v>0</v>
      </c>
      <c r="AY68" s="48">
        <f t="shared" si="23"/>
        <v>0</v>
      </c>
      <c r="AZ68" s="48">
        <f t="shared" si="24"/>
        <v>0</v>
      </c>
      <c r="BA68" s="48">
        <f t="shared" si="25"/>
        <v>0</v>
      </c>
      <c r="BB68" s="48">
        <f t="shared" si="26"/>
        <v>0</v>
      </c>
      <c r="BC68" s="48">
        <f t="shared" si="27"/>
        <v>0</v>
      </c>
      <c r="BD68" s="48">
        <f t="shared" si="28"/>
        <v>0</v>
      </c>
      <c r="BE68" s="48">
        <f t="shared" si="29"/>
        <v>0</v>
      </c>
      <c r="BF68" s="49">
        <f t="shared" si="30"/>
        <v>0</v>
      </c>
      <c r="BG68" s="50"/>
      <c r="BH68" s="51">
        <f t="shared" si="31"/>
        <v>0</v>
      </c>
      <c r="BI68" s="51">
        <f t="shared" si="32"/>
        <v>0</v>
      </c>
      <c r="BJ68" s="51">
        <f t="shared" si="33"/>
        <v>0</v>
      </c>
      <c r="BK68" s="52">
        <f t="shared" si="34"/>
        <v>0</v>
      </c>
      <c r="BL68" s="52">
        <f t="shared" si="35"/>
        <v>0</v>
      </c>
      <c r="BM68" s="52">
        <f t="shared" si="36"/>
        <v>0</v>
      </c>
    </row>
    <row r="69" spans="1:65" ht="30" customHeight="1" x14ac:dyDescent="0.25">
      <c r="A69" s="31" t="str">
        <f t="shared" si="2"/>
        <v>Д</v>
      </c>
      <c r="B69" s="31" t="str">
        <f t="shared" si="3"/>
        <v>Б</v>
      </c>
      <c r="C69" s="32" t="s">
        <v>75</v>
      </c>
      <c r="D69" s="33" t="str">
        <f t="shared" si="4"/>
        <v>Факультет физико-математических и естественных наук</v>
      </c>
      <c r="E69" s="34" t="str">
        <f t="shared" si="5"/>
        <v>'09.03.03</v>
      </c>
      <c r="F69" s="35" t="str">
        <f t="shared" si="6"/>
        <v>Прикладная информатика</v>
      </c>
      <c r="G69" s="36" t="s">
        <v>76</v>
      </c>
      <c r="H69" s="36" t="s">
        <v>77</v>
      </c>
      <c r="I69" s="37" t="s">
        <v>90</v>
      </c>
      <c r="J69" s="37"/>
      <c r="K69" s="38" t="s">
        <v>124</v>
      </c>
      <c r="L69" s="39">
        <v>4</v>
      </c>
      <c r="M69" s="39">
        <v>18</v>
      </c>
      <c r="N69" s="40" t="s">
        <v>94</v>
      </c>
      <c r="O69" s="39"/>
      <c r="P69" s="39">
        <v>2</v>
      </c>
      <c r="Q69" s="39"/>
      <c r="R69" s="40"/>
      <c r="S69" s="41"/>
      <c r="T69" s="41"/>
      <c r="U69" s="41"/>
      <c r="V69" s="41"/>
      <c r="W69" s="41"/>
      <c r="X69" s="42" t="str">
        <f t="shared" si="7"/>
        <v>НПИбд</v>
      </c>
      <c r="Y69" s="39" t="s">
        <v>110</v>
      </c>
      <c r="Z69" s="39">
        <v>1</v>
      </c>
      <c r="AA69" s="39">
        <v>1</v>
      </c>
      <c r="AB69" s="42">
        <f t="shared" si="8"/>
        <v>22</v>
      </c>
      <c r="AC69" s="39">
        <v>17</v>
      </c>
      <c r="AD69" s="39">
        <v>5</v>
      </c>
      <c r="AE69" s="44">
        <f t="shared" si="9"/>
        <v>12</v>
      </c>
      <c r="AF69" s="45">
        <f t="shared" si="10"/>
        <v>1</v>
      </c>
      <c r="AG69" s="45">
        <f t="shared" si="11"/>
        <v>1.8333333333333333</v>
      </c>
      <c r="AH69" s="46" t="s">
        <v>82</v>
      </c>
      <c r="AI69" s="40" t="s">
        <v>83</v>
      </c>
      <c r="AJ69" s="40" t="s">
        <v>84</v>
      </c>
      <c r="AK69" s="53" t="s">
        <v>93</v>
      </c>
      <c r="AL69" s="40"/>
      <c r="AM69" s="48">
        <f t="shared" si="12"/>
        <v>0</v>
      </c>
      <c r="AN69" s="48">
        <f t="shared" si="13"/>
        <v>0</v>
      </c>
      <c r="AO69" s="48">
        <f t="shared" si="14"/>
        <v>36</v>
      </c>
      <c r="AP69" s="48">
        <f t="shared" si="15"/>
        <v>0</v>
      </c>
      <c r="AQ69" s="48">
        <f t="shared" si="16"/>
        <v>0</v>
      </c>
      <c r="AR69" s="48">
        <f t="shared" si="17"/>
        <v>0</v>
      </c>
      <c r="AS69" s="48">
        <f t="shared" si="18"/>
        <v>0</v>
      </c>
      <c r="AT69" s="48">
        <f t="shared" si="19"/>
        <v>0</v>
      </c>
      <c r="AU69" s="48">
        <f t="shared" si="20"/>
        <v>0</v>
      </c>
      <c r="AV69" s="48">
        <f t="shared" si="21"/>
        <v>0</v>
      </c>
      <c r="AW69" s="48">
        <f>IF(N69="ПП",РПП*AB69*(V69/1.5),IF(N69="ВП",ВПр*AB69*(V69/1.5),IF(N69="РПА",РПА*AB69*(V69/1.5),IF(N69="КПА",кпа*AB69*(V69/1.5),0))))</f>
        <v>0</v>
      </c>
      <c r="AX69" s="48">
        <f t="shared" si="22"/>
        <v>0</v>
      </c>
      <c r="AY69" s="48">
        <f t="shared" si="23"/>
        <v>0</v>
      </c>
      <c r="AZ69" s="48">
        <f t="shared" si="24"/>
        <v>0</v>
      </c>
      <c r="BA69" s="48">
        <f t="shared" si="25"/>
        <v>0</v>
      </c>
      <c r="BB69" s="48">
        <f t="shared" si="26"/>
        <v>0</v>
      </c>
      <c r="BC69" s="48">
        <f t="shared" si="27"/>
        <v>0</v>
      </c>
      <c r="BD69" s="48">
        <f t="shared" si="28"/>
        <v>0</v>
      </c>
      <c r="BE69" s="48">
        <f t="shared" si="29"/>
        <v>0</v>
      </c>
      <c r="BF69" s="49">
        <f t="shared" si="30"/>
        <v>36</v>
      </c>
      <c r="BG69" s="50"/>
      <c r="BH69" s="51">
        <f t="shared" si="31"/>
        <v>0</v>
      </c>
      <c r="BI69" s="51">
        <f t="shared" si="32"/>
        <v>0</v>
      </c>
      <c r="BJ69" s="51">
        <f t="shared" si="33"/>
        <v>0</v>
      </c>
      <c r="BK69" s="52">
        <f t="shared" si="34"/>
        <v>36</v>
      </c>
      <c r="BL69" s="52">
        <f t="shared" si="35"/>
        <v>1</v>
      </c>
      <c r="BM69" s="52">
        <f t="shared" si="36"/>
        <v>0</v>
      </c>
    </row>
    <row r="70" spans="1:65" ht="30" customHeight="1" x14ac:dyDescent="0.25">
      <c r="A70" s="31" t="str">
        <f t="shared" ref="A70:A127" si="37">IF(C70&gt;0, VLOOKUP(C70,Код_ООП,11,FALSE()),0)</f>
        <v>Д</v>
      </c>
      <c r="B70" s="31" t="str">
        <f t="shared" ref="B70:B127" si="38">IF(C70&gt;0, VLOOKUP(C70,Код_ООП,12,FALSE()),0)</f>
        <v>Б</v>
      </c>
      <c r="C70" s="32" t="s">
        <v>75</v>
      </c>
      <c r="D70" s="33" t="str">
        <f t="shared" ref="D70:D127" si="39">IF(C70&gt;0,VLOOKUP(LEFT(C70,1),ОУП,2,FALSE()),0)</f>
        <v>Факультет физико-математических и естественных наук</v>
      </c>
      <c r="E70" s="34" t="str">
        <f t="shared" ref="E70:E127" si="40">IF(C70&gt;0, VLOOKUP(C70,Код_ООП,2,FALSE()),0)</f>
        <v>'09.03.03</v>
      </c>
      <c r="F70" s="35" t="str">
        <f t="shared" ref="F70:F127" si="41">IF(C70&gt;0, VLOOKUP(C70,Код_ООП,13,FALSE()),0)</f>
        <v>Прикладная информатика</v>
      </c>
      <c r="G70" s="36" t="s">
        <v>76</v>
      </c>
      <c r="H70" s="36" t="s">
        <v>77</v>
      </c>
      <c r="I70" s="37" t="s">
        <v>90</v>
      </c>
      <c r="J70" s="37"/>
      <c r="K70" s="38" t="s">
        <v>124</v>
      </c>
      <c r="L70" s="39">
        <v>4</v>
      </c>
      <c r="M70" s="39">
        <v>18</v>
      </c>
      <c r="N70" s="40" t="s">
        <v>94</v>
      </c>
      <c r="O70" s="39"/>
      <c r="P70" s="39">
        <v>2</v>
      </c>
      <c r="Q70" s="39"/>
      <c r="R70" s="40"/>
      <c r="S70" s="41"/>
      <c r="T70" s="41"/>
      <c r="U70" s="41"/>
      <c r="V70" s="41"/>
      <c r="W70" s="41"/>
      <c r="X70" s="42" t="str">
        <f t="shared" ref="X70:X127" si="42">MID(C70,1,5)</f>
        <v>НПИбд</v>
      </c>
      <c r="Y70" s="39" t="s">
        <v>110</v>
      </c>
      <c r="Z70" s="39">
        <v>1</v>
      </c>
      <c r="AA70" s="39">
        <v>1</v>
      </c>
      <c r="AB70" s="42">
        <f t="shared" ref="AB70:AB127" si="43">AC70+AD70</f>
        <v>0</v>
      </c>
      <c r="AC70" s="39"/>
      <c r="AD70" s="39"/>
      <c r="AE70" s="44">
        <f t="shared" ref="AE70:AE127" si="44">IF(N70="сп",6,IF(N70="клн",8,IF(OR(N70="лаб",N70="ия"),12,IF(OR(N70="пр",N70="ТЕСТ"),IF(OR(B70="Б",B70="С"),24,12),IF(N70="лек",AB70,1)))))</f>
        <v>12</v>
      </c>
      <c r="AF70" s="45">
        <f t="shared" ref="AF70:AF127" si="45">IF(AG70&gt;1,1,AG70)</f>
        <v>0</v>
      </c>
      <c r="AG70" s="45">
        <f t="shared" ref="AG70:AG127" si="46">AB70/AE70</f>
        <v>0</v>
      </c>
      <c r="AH70" s="46" t="s">
        <v>82</v>
      </c>
      <c r="AI70" s="40" t="s">
        <v>83</v>
      </c>
      <c r="AJ70" s="40" t="s">
        <v>84</v>
      </c>
      <c r="AK70" s="53" t="s">
        <v>93</v>
      </c>
      <c r="AL70" s="40"/>
      <c r="AM70" s="48">
        <f t="shared" ref="AM70:AM127" si="47">IF(AB70&gt;0,IF(OR(N70="лек",N70="ТУИС"),O70*M70,0),0)</f>
        <v>0</v>
      </c>
      <c r="AN70" s="48">
        <f t="shared" ref="AN70:AN127" si="48">IF(OR(N70="пр",N70="ия",N70="сп"),Q70*AF70*M70,0)</f>
        <v>0</v>
      </c>
      <c r="AO70" s="48">
        <f t="shared" ref="AO70:AO127" si="49">IF(OR(N70="лаб",N70="клн"),P70*AF70*M70,0)</f>
        <v>0</v>
      </c>
      <c r="AP70" s="48">
        <f t="shared" ref="AP70:AP127" si="50">(IF((AND(OR(L70=1,L70=2,L70=3,L70=4,L70=5,L70=6,L70=7,L70=8,L70=9,L70=10,L70=11,L70=12),OR(R70="Зач",R70="Экз"))),ТКиРА*AB70,0)+IF(SUM(O70:Q70)&lt;&gt;0,IF(R70="ТК",ТКиРА*AB70,0),0))*(IF(G70="ФТД",0,1))</f>
        <v>0</v>
      </c>
      <c r="AQ70" s="48">
        <f t="shared" ref="AQ70:AQ127" si="51">IF(SUM(P70:Q70)&lt;&gt;0,IF(R70="Зач",ПАБРС*AB70,0),0)+IF(O70&lt;&gt;0,IF(R70="Экз",ПАБРС*AB70,0),0)</f>
        <v>0</v>
      </c>
      <c r="AR70" s="48">
        <f t="shared" ref="AR70:AR127" si="52">(IF(AQ70&lt;&gt;0,ОфВед*(IF(OR(N70="лек",N70="лаб"),AA70,AF70)),0))*(IF(G70="ФТД",0,1))</f>
        <v>0</v>
      </c>
      <c r="AS70" s="48">
        <f t="shared" ref="AS70:AS127" si="53">(IF(A70="Д",ТКЛД,IF(A70="В",ТКЛВ,IF(A70="З",ТКЛЗ,0))))*(IF(G70="ФТД",0,IF(B70="ЦМ",O70*M70,AM70)))*AA70</f>
        <v>0</v>
      </c>
      <c r="AT70" s="48">
        <f t="shared" ref="AT70:AT127" si="54">IF(S70="К",AB70*ВПКР,IF(S70="М",AB70*ВПИБ,0))</f>
        <v>0</v>
      </c>
      <c r="AU70" s="48">
        <f t="shared" ref="AU70:AU127" si="55">IF(OR(N70="лаб",N70="пр"),IF(T70="К",AB70*ВПКП,0),0)</f>
        <v>0</v>
      </c>
      <c r="AV70" s="48">
        <f t="shared" ref="AV70:AV127" si="56">IF(N70="УП",U70/1.5*AB70*РУП,IF(N70="УПМ",U70/1.5*AB70*РУПЛеч,0))</f>
        <v>0</v>
      </c>
      <c r="AW70" s="48">
        <f>IF(N70="ПП",РПП*AB70*(V70/1.5),IF(N70="ВП",ВПр*AB70*(V70/1.5),IF(N70="РПА",РПА*AB70*(V70/1.5),IF(N70="КПА",кпа*AB70*(V70/1.5),0))))</f>
        <v>0</v>
      </c>
      <c r="AX70" s="48">
        <f t="shared" ref="AX70:AX127" si="57">IF(N70="НР",(AC70*НИРМ+AD70*НИРМИн)*(W70/1.5),IF(N70="НИ",(AC70*НИРА+AD70*НИРАИ)*(W70/1.5),0))</f>
        <v>0</v>
      </c>
      <c r="AY70" s="48">
        <f t="shared" ref="AY70:AY127" si="58">IF(AND(N70="ЦП",B70="ЦМ"),AB70*ЦП,0)</f>
        <v>0</v>
      </c>
      <c r="AZ70" s="48">
        <f t="shared" ref="AZ70:AZ127" si="59">IF(B70="А",IF(N70="РР",AB70*РефАсп,IF(N70="РРФ",AB70*РефФил,0)),0)</f>
        <v>0</v>
      </c>
      <c r="BA70" s="48">
        <f t="shared" ref="BA70:BA127" si="60">IF(AND(R70="КЭ",N70="ЧК"),AB70*КдЭк,0)</f>
        <v>0</v>
      </c>
      <c r="BB70" s="48">
        <f t="shared" ref="BB70:BB127" si="61">IF(AND(N70="НКД",B70="Д"),AB70*НКД,0)+IF(AND(N70="РПЛ",B70="А"),AB70*РукПЛ,0)+IF(AND(N70="РСтж",B70="А"),AC70*РукСт+AD70*РукИСт,0)+IF(N70="ФГТ",AC70*РукРФа+AD70*РукИна,0)</f>
        <v>0</v>
      </c>
      <c r="BC70" s="48">
        <f t="shared" ref="BC70:BC127" si="62">IF(N70="РК",IF(OR(B70="С",B70="М",B70="ЦМ"),(AC70*РСМ+AD70*РСМИ),0),0)+IF(N70="РК",IF(B70="Б",(AC70*РБ+AD70*РБИ),0),0)+IF(N70="РК",IF(B70="А",(AC70*РНКР+AD70*РНКРИн),0),0)+IF(AND(R70="ПАкр"),AB70*0.3)</f>
        <v>0</v>
      </c>
      <c r="BD70" s="48">
        <f t="shared" ref="BD70:BD127" si="63">IF(N70="РДП",IF(B70="А",AB70*РРА,IF(OR(B70="С",B70="М",B70="ЦМ"),AB70*РРСМ,IF(B70="Б",AB70*РРБ,0))),IF(N70="РДИ",AB70*РДП,0))</f>
        <v>0</v>
      </c>
      <c r="BE70" s="48">
        <f t="shared" ref="BE70:BE127" si="64">IF(N70="ЧГ",AB70*ЧГ,IF(N70="ПГ",AB70*ПГ,IF(N70="ТЕСТ",ТГИЭ*AF70,IF(N70="СГ",AB70*СГ,0))))</f>
        <v>0</v>
      </c>
      <c r="BF70" s="49">
        <f t="shared" ref="BF70:BF127" si="65">SUM(AM70:BE70)</f>
        <v>0</v>
      </c>
      <c r="BG70" s="50"/>
      <c r="BH70" s="51">
        <f t="shared" ref="BH70:BH127" si="66">IF(OR(L70="1;1",L70="1;2",L70=1,L70="3;1",L70="3;2",L70=3,L70="5;1",L70="5;2",L70=5,L70="7;1",L70="7;2",L70=7,L70="9;1",L70="9;2",L70=9,L70=11),SUM(AM70:AO70),0)</f>
        <v>0</v>
      </c>
      <c r="BI70" s="51">
        <f t="shared" ref="BI70:BI127" si="67">IF(BH70&lt;&gt;0,SUM(O70:Q70)/2,0)</f>
        <v>0</v>
      </c>
      <c r="BJ70" s="51">
        <f t="shared" ref="BJ70:BJ127" si="68">IF(OR(L70="1;1",L70="1;2",L70=1,L70="3;1",L70="3;2",L70=3,L70="5;1",L70="5;2",L70=5,L70="7;1",L70="7;2",L70=7,L70="9;1",L70="9;2",L70=9,L70=11),SUM(AP70:BE70),0)</f>
        <v>0</v>
      </c>
      <c r="BK70" s="52">
        <f t="shared" ref="BK70:BK127" si="69">IF(OR(L70="2;3",L70="2;4",L70=2,L70="4;3",L70="4;4",L70=4,L70="6;3",L70="6;4",L70=6,L70="8;3",L70="8;4",L70=8,L70="10;3",L70="10;4",L70=10,L70=12),SUM(AM70:AO70),0)</f>
        <v>0</v>
      </c>
      <c r="BL70" s="52">
        <f t="shared" ref="BL70:BL127" si="70">IF(BK70&lt;&gt;0,SUM(O70:Q70)/2,0)</f>
        <v>0</v>
      </c>
      <c r="BM70" s="52">
        <f t="shared" ref="BM70:BM127" si="71">IF(OR(L70="2;3",L70="2;4",L70=2,L70="4;3",L70="4;4",L70=4,L70="6;3",L70="6;4",L70=6,L70="8;3",L70="8;4",L70=8,L70="10;3",L70="10;4",L70=10,L70=12),SUM(AP70:BE70),0)</f>
        <v>0</v>
      </c>
    </row>
    <row r="71" spans="1:65" ht="30" customHeight="1" x14ac:dyDescent="0.25">
      <c r="A71" s="31" t="str">
        <f t="shared" si="37"/>
        <v>Д</v>
      </c>
      <c r="B71" s="31" t="str">
        <f t="shared" si="38"/>
        <v>Б</v>
      </c>
      <c r="C71" s="32" t="s">
        <v>75</v>
      </c>
      <c r="D71" s="33" t="str">
        <f t="shared" si="39"/>
        <v>Факультет физико-математических и естественных наук</v>
      </c>
      <c r="E71" s="34" t="str">
        <f t="shared" si="40"/>
        <v>'09.03.03</v>
      </c>
      <c r="F71" s="35" t="str">
        <f t="shared" si="41"/>
        <v>Прикладная информатика</v>
      </c>
      <c r="G71" s="36" t="s">
        <v>76</v>
      </c>
      <c r="H71" s="36" t="s">
        <v>77</v>
      </c>
      <c r="I71" s="37" t="s">
        <v>90</v>
      </c>
      <c r="J71" s="37"/>
      <c r="K71" s="38" t="s">
        <v>125</v>
      </c>
      <c r="L71" s="39">
        <v>5</v>
      </c>
      <c r="M71" s="39">
        <v>18</v>
      </c>
      <c r="N71" s="40" t="s">
        <v>79</v>
      </c>
      <c r="O71" s="39">
        <v>1</v>
      </c>
      <c r="P71" s="39"/>
      <c r="Q71" s="39"/>
      <c r="R71" s="40" t="s">
        <v>80</v>
      </c>
      <c r="S71" s="41"/>
      <c r="T71" s="41"/>
      <c r="U71" s="41"/>
      <c r="V71" s="41"/>
      <c r="W71" s="41"/>
      <c r="X71" s="42" t="str">
        <f t="shared" si="42"/>
        <v>НПИбд</v>
      </c>
      <c r="Y71" s="39" t="s">
        <v>126</v>
      </c>
      <c r="Z71" s="39">
        <v>4</v>
      </c>
      <c r="AA71" s="39">
        <v>2</v>
      </c>
      <c r="AB71" s="42">
        <f t="shared" si="43"/>
        <v>61</v>
      </c>
      <c r="AC71" s="39">
        <v>50</v>
      </c>
      <c r="AD71" s="39">
        <v>11</v>
      </c>
      <c r="AE71" s="44">
        <f t="shared" si="44"/>
        <v>61</v>
      </c>
      <c r="AF71" s="45">
        <f t="shared" si="45"/>
        <v>1</v>
      </c>
      <c r="AG71" s="45">
        <f t="shared" si="46"/>
        <v>1</v>
      </c>
      <c r="AH71" s="46" t="s">
        <v>82</v>
      </c>
      <c r="AI71" s="40" t="s">
        <v>83</v>
      </c>
      <c r="AJ71" s="40" t="s">
        <v>84</v>
      </c>
      <c r="AK71" s="47" t="s">
        <v>127</v>
      </c>
      <c r="AL71" s="40"/>
      <c r="AM71" s="48">
        <f t="shared" si="47"/>
        <v>18</v>
      </c>
      <c r="AN71" s="48">
        <f t="shared" si="48"/>
        <v>0</v>
      </c>
      <c r="AO71" s="48">
        <f t="shared" si="49"/>
        <v>0</v>
      </c>
      <c r="AP71" s="48">
        <f t="shared" si="50"/>
        <v>20.130000000000003</v>
      </c>
      <c r="AQ71" s="48">
        <f t="shared" si="51"/>
        <v>30.5</v>
      </c>
      <c r="AR71" s="48">
        <f t="shared" si="52"/>
        <v>2</v>
      </c>
      <c r="AS71" s="48">
        <f t="shared" si="53"/>
        <v>1.8</v>
      </c>
      <c r="AT71" s="48">
        <f t="shared" si="54"/>
        <v>0</v>
      </c>
      <c r="AU71" s="48">
        <f t="shared" si="55"/>
        <v>0</v>
      </c>
      <c r="AV71" s="48">
        <f t="shared" si="56"/>
        <v>0</v>
      </c>
      <c r="AW71" s="48">
        <f>IF(N71="ПП",РПП*AB71*(V71/1.5),IF(N71="ВП",ВПр*AB71*(V71/1.5),IF(N71="РПА",РПА*AB71*(V71/1.5),IF(N71="КПА",кпа*AB71*(V71/1.5),0))))</f>
        <v>0</v>
      </c>
      <c r="AX71" s="48">
        <f t="shared" si="57"/>
        <v>0</v>
      </c>
      <c r="AY71" s="48">
        <f t="shared" si="58"/>
        <v>0</v>
      </c>
      <c r="AZ71" s="48">
        <f t="shared" si="59"/>
        <v>0</v>
      </c>
      <c r="BA71" s="48">
        <f t="shared" si="60"/>
        <v>0</v>
      </c>
      <c r="BB71" s="48">
        <f t="shared" si="61"/>
        <v>0</v>
      </c>
      <c r="BC71" s="48">
        <f t="shared" si="62"/>
        <v>0</v>
      </c>
      <c r="BD71" s="48">
        <f t="shared" si="63"/>
        <v>0</v>
      </c>
      <c r="BE71" s="48">
        <f t="shared" si="64"/>
        <v>0</v>
      </c>
      <c r="BF71" s="49">
        <f t="shared" si="65"/>
        <v>72.429999999999993</v>
      </c>
      <c r="BG71" s="50"/>
      <c r="BH71" s="51">
        <f t="shared" si="66"/>
        <v>18</v>
      </c>
      <c r="BI71" s="51">
        <f t="shared" si="67"/>
        <v>0.5</v>
      </c>
      <c r="BJ71" s="51">
        <f t="shared" si="68"/>
        <v>54.43</v>
      </c>
      <c r="BK71" s="52">
        <f t="shared" si="69"/>
        <v>0</v>
      </c>
      <c r="BL71" s="52">
        <f t="shared" si="70"/>
        <v>0</v>
      </c>
      <c r="BM71" s="52">
        <f t="shared" si="71"/>
        <v>0</v>
      </c>
    </row>
    <row r="72" spans="1:65" ht="30" customHeight="1" x14ac:dyDescent="0.25">
      <c r="A72" s="31" t="str">
        <f t="shared" si="37"/>
        <v>Д</v>
      </c>
      <c r="B72" s="31" t="str">
        <f t="shared" si="38"/>
        <v>Б</v>
      </c>
      <c r="C72" s="32" t="s">
        <v>75</v>
      </c>
      <c r="D72" s="33" t="str">
        <f t="shared" si="39"/>
        <v>Факультет физико-математических и естественных наук</v>
      </c>
      <c r="E72" s="34" t="str">
        <f t="shared" si="40"/>
        <v>'09.03.03</v>
      </c>
      <c r="F72" s="35" t="str">
        <f t="shared" si="41"/>
        <v>Прикладная информатика</v>
      </c>
      <c r="G72" s="36" t="s">
        <v>76</v>
      </c>
      <c r="H72" s="36" t="s">
        <v>77</v>
      </c>
      <c r="I72" s="37" t="s">
        <v>90</v>
      </c>
      <c r="J72" s="37"/>
      <c r="K72" s="38" t="s">
        <v>125</v>
      </c>
      <c r="L72" s="39">
        <v>5</v>
      </c>
      <c r="M72" s="39">
        <v>18</v>
      </c>
      <c r="N72" s="40" t="s">
        <v>94</v>
      </c>
      <c r="O72" s="39"/>
      <c r="P72" s="39">
        <v>2</v>
      </c>
      <c r="Q72" s="39"/>
      <c r="R72" s="40"/>
      <c r="S72" s="41"/>
      <c r="T72" s="41"/>
      <c r="U72" s="41"/>
      <c r="V72" s="41"/>
      <c r="W72" s="41"/>
      <c r="X72" s="42" t="str">
        <f t="shared" si="42"/>
        <v>НПИбд</v>
      </c>
      <c r="Y72" s="39" t="s">
        <v>128</v>
      </c>
      <c r="Z72" s="39">
        <v>1</v>
      </c>
      <c r="AA72" s="39">
        <v>1</v>
      </c>
      <c r="AB72" s="42">
        <f t="shared" si="43"/>
        <v>31</v>
      </c>
      <c r="AC72" s="39">
        <v>25</v>
      </c>
      <c r="AD72" s="39">
        <v>6</v>
      </c>
      <c r="AE72" s="44">
        <f t="shared" si="44"/>
        <v>12</v>
      </c>
      <c r="AF72" s="45">
        <f t="shared" si="45"/>
        <v>1</v>
      </c>
      <c r="AG72" s="45">
        <f t="shared" si="46"/>
        <v>2.5833333333333335</v>
      </c>
      <c r="AH72" s="46" t="s">
        <v>82</v>
      </c>
      <c r="AI72" s="40" t="s">
        <v>83</v>
      </c>
      <c r="AJ72" s="40" t="s">
        <v>84</v>
      </c>
      <c r="AK72" s="47" t="s">
        <v>127</v>
      </c>
      <c r="AL72" s="40"/>
      <c r="AM72" s="48">
        <f t="shared" si="47"/>
        <v>0</v>
      </c>
      <c r="AN72" s="48">
        <f t="shared" si="48"/>
        <v>0</v>
      </c>
      <c r="AO72" s="48">
        <f t="shared" si="49"/>
        <v>36</v>
      </c>
      <c r="AP72" s="48">
        <f t="shared" si="50"/>
        <v>0</v>
      </c>
      <c r="AQ72" s="48">
        <f t="shared" si="51"/>
        <v>0</v>
      </c>
      <c r="AR72" s="48">
        <f t="shared" si="52"/>
        <v>0</v>
      </c>
      <c r="AS72" s="48">
        <f t="shared" si="53"/>
        <v>0</v>
      </c>
      <c r="AT72" s="48">
        <f t="shared" si="54"/>
        <v>0</v>
      </c>
      <c r="AU72" s="48">
        <f t="shared" si="55"/>
        <v>0</v>
      </c>
      <c r="AV72" s="48">
        <f t="shared" si="56"/>
        <v>0</v>
      </c>
      <c r="AW72" s="48">
        <f>IF(N72="ПП",РПП*AB72*(V72/1.5),IF(N72="ВП",ВПр*AB72*(V72/1.5),IF(N72="РПА",РПА*AB72*(V72/1.5),IF(N72="КПА",кпа*AB72*(V72/1.5),0))))</f>
        <v>0</v>
      </c>
      <c r="AX72" s="48">
        <f t="shared" si="57"/>
        <v>0</v>
      </c>
      <c r="AY72" s="48">
        <f t="shared" si="58"/>
        <v>0</v>
      </c>
      <c r="AZ72" s="48">
        <f t="shared" si="59"/>
        <v>0</v>
      </c>
      <c r="BA72" s="48">
        <f t="shared" si="60"/>
        <v>0</v>
      </c>
      <c r="BB72" s="48">
        <f t="shared" si="61"/>
        <v>0</v>
      </c>
      <c r="BC72" s="48">
        <f t="shared" si="62"/>
        <v>0</v>
      </c>
      <c r="BD72" s="48">
        <f t="shared" si="63"/>
        <v>0</v>
      </c>
      <c r="BE72" s="48">
        <f t="shared" si="64"/>
        <v>0</v>
      </c>
      <c r="BF72" s="49">
        <f t="shared" si="65"/>
        <v>36</v>
      </c>
      <c r="BG72" s="50"/>
      <c r="BH72" s="51">
        <f t="shared" si="66"/>
        <v>36</v>
      </c>
      <c r="BI72" s="51">
        <f t="shared" si="67"/>
        <v>1</v>
      </c>
      <c r="BJ72" s="51">
        <f t="shared" si="68"/>
        <v>0</v>
      </c>
      <c r="BK72" s="52">
        <f t="shared" si="69"/>
        <v>0</v>
      </c>
      <c r="BL72" s="52">
        <f t="shared" si="70"/>
        <v>0</v>
      </c>
      <c r="BM72" s="52">
        <f t="shared" si="71"/>
        <v>0</v>
      </c>
    </row>
    <row r="73" spans="1:65" ht="30" customHeight="1" x14ac:dyDescent="0.25">
      <c r="A73" s="31" t="str">
        <f t="shared" si="37"/>
        <v>Д</v>
      </c>
      <c r="B73" s="31" t="str">
        <f t="shared" si="38"/>
        <v>Б</v>
      </c>
      <c r="C73" s="32" t="s">
        <v>75</v>
      </c>
      <c r="D73" s="33" t="str">
        <f t="shared" si="39"/>
        <v>Факультет физико-математических и естественных наук</v>
      </c>
      <c r="E73" s="34" t="str">
        <f t="shared" si="40"/>
        <v>'09.03.03</v>
      </c>
      <c r="F73" s="35" t="str">
        <f t="shared" si="41"/>
        <v>Прикладная информатика</v>
      </c>
      <c r="G73" s="36" t="s">
        <v>76</v>
      </c>
      <c r="H73" s="36" t="s">
        <v>77</v>
      </c>
      <c r="I73" s="37" t="s">
        <v>90</v>
      </c>
      <c r="J73" s="37"/>
      <c r="K73" s="38" t="s">
        <v>125</v>
      </c>
      <c r="L73" s="39">
        <v>5</v>
      </c>
      <c r="M73" s="39">
        <v>18</v>
      </c>
      <c r="N73" s="40" t="s">
        <v>94</v>
      </c>
      <c r="O73" s="39"/>
      <c r="P73" s="39">
        <v>2</v>
      </c>
      <c r="Q73" s="39"/>
      <c r="R73" s="40"/>
      <c r="S73" s="41"/>
      <c r="T73" s="41"/>
      <c r="U73" s="41"/>
      <c r="V73" s="41"/>
      <c r="W73" s="41"/>
      <c r="X73" s="42" t="str">
        <f t="shared" si="42"/>
        <v>НПИбд</v>
      </c>
      <c r="Y73" s="39" t="s">
        <v>128</v>
      </c>
      <c r="Z73" s="39">
        <v>1</v>
      </c>
      <c r="AA73" s="39">
        <v>1</v>
      </c>
      <c r="AB73" s="42">
        <f t="shared" si="43"/>
        <v>0</v>
      </c>
      <c r="AC73" s="39"/>
      <c r="AD73" s="39"/>
      <c r="AE73" s="44">
        <f t="shared" si="44"/>
        <v>12</v>
      </c>
      <c r="AF73" s="45">
        <f t="shared" si="45"/>
        <v>0</v>
      </c>
      <c r="AG73" s="45">
        <f t="shared" si="46"/>
        <v>0</v>
      </c>
      <c r="AH73" s="46" t="s">
        <v>82</v>
      </c>
      <c r="AI73" s="40" t="s">
        <v>83</v>
      </c>
      <c r="AJ73" s="40" t="s">
        <v>84</v>
      </c>
      <c r="AK73" s="47" t="s">
        <v>127</v>
      </c>
      <c r="AL73" s="40"/>
      <c r="AM73" s="48">
        <f t="shared" si="47"/>
        <v>0</v>
      </c>
      <c r="AN73" s="48">
        <f t="shared" si="48"/>
        <v>0</v>
      </c>
      <c r="AO73" s="48">
        <f t="shared" si="49"/>
        <v>0</v>
      </c>
      <c r="AP73" s="48">
        <f t="shared" si="50"/>
        <v>0</v>
      </c>
      <c r="AQ73" s="48">
        <f t="shared" si="51"/>
        <v>0</v>
      </c>
      <c r="AR73" s="48">
        <f t="shared" si="52"/>
        <v>0</v>
      </c>
      <c r="AS73" s="48">
        <f t="shared" si="53"/>
        <v>0</v>
      </c>
      <c r="AT73" s="48">
        <f t="shared" si="54"/>
        <v>0</v>
      </c>
      <c r="AU73" s="48">
        <f t="shared" si="55"/>
        <v>0</v>
      </c>
      <c r="AV73" s="48">
        <f t="shared" si="56"/>
        <v>0</v>
      </c>
      <c r="AW73" s="48">
        <f>IF(N73="ПП",РПП*AB73*(V73/1.5),IF(N73="ВП",ВПр*AB73*(V73/1.5),IF(N73="РПА",РПА*AB73*(V73/1.5),IF(N73="КПА",кпа*AB73*(V73/1.5),0))))</f>
        <v>0</v>
      </c>
      <c r="AX73" s="48">
        <f t="shared" si="57"/>
        <v>0</v>
      </c>
      <c r="AY73" s="48">
        <f t="shared" si="58"/>
        <v>0</v>
      </c>
      <c r="AZ73" s="48">
        <f t="shared" si="59"/>
        <v>0</v>
      </c>
      <c r="BA73" s="48">
        <f t="shared" si="60"/>
        <v>0</v>
      </c>
      <c r="BB73" s="48">
        <f t="shared" si="61"/>
        <v>0</v>
      </c>
      <c r="BC73" s="48">
        <f t="shared" si="62"/>
        <v>0</v>
      </c>
      <c r="BD73" s="48">
        <f t="shared" si="63"/>
        <v>0</v>
      </c>
      <c r="BE73" s="48">
        <f t="shared" si="64"/>
        <v>0</v>
      </c>
      <c r="BF73" s="49">
        <f t="shared" si="65"/>
        <v>0</v>
      </c>
      <c r="BG73" s="50"/>
      <c r="BH73" s="51">
        <f t="shared" si="66"/>
        <v>0</v>
      </c>
      <c r="BI73" s="51">
        <f t="shared" si="67"/>
        <v>0</v>
      </c>
      <c r="BJ73" s="51">
        <f t="shared" si="68"/>
        <v>0</v>
      </c>
      <c r="BK73" s="52">
        <f t="shared" si="69"/>
        <v>0</v>
      </c>
      <c r="BL73" s="52">
        <f t="shared" si="70"/>
        <v>0</v>
      </c>
      <c r="BM73" s="52">
        <f t="shared" si="71"/>
        <v>0</v>
      </c>
    </row>
    <row r="74" spans="1:65" ht="30" customHeight="1" x14ac:dyDescent="0.25">
      <c r="A74" s="31" t="str">
        <f t="shared" si="37"/>
        <v>Д</v>
      </c>
      <c r="B74" s="31" t="str">
        <f t="shared" si="38"/>
        <v>Б</v>
      </c>
      <c r="C74" s="32" t="s">
        <v>75</v>
      </c>
      <c r="D74" s="33" t="str">
        <f t="shared" si="39"/>
        <v>Факультет физико-математических и естественных наук</v>
      </c>
      <c r="E74" s="34" t="str">
        <f t="shared" si="40"/>
        <v>'09.03.03</v>
      </c>
      <c r="F74" s="35" t="str">
        <f t="shared" si="41"/>
        <v>Прикладная информатика</v>
      </c>
      <c r="G74" s="36" t="s">
        <v>76</v>
      </c>
      <c r="H74" s="36" t="s">
        <v>77</v>
      </c>
      <c r="I74" s="37" t="s">
        <v>90</v>
      </c>
      <c r="J74" s="37"/>
      <c r="K74" s="38" t="s">
        <v>125</v>
      </c>
      <c r="L74" s="39">
        <v>5</v>
      </c>
      <c r="M74" s="39">
        <v>18</v>
      </c>
      <c r="N74" s="40" t="s">
        <v>94</v>
      </c>
      <c r="O74" s="39"/>
      <c r="P74" s="39">
        <v>2</v>
      </c>
      <c r="Q74" s="39"/>
      <c r="R74" s="40"/>
      <c r="S74" s="41"/>
      <c r="T74" s="41"/>
      <c r="U74" s="41"/>
      <c r="V74" s="41"/>
      <c r="W74" s="41"/>
      <c r="X74" s="42" t="str">
        <f t="shared" si="42"/>
        <v>НПИбд</v>
      </c>
      <c r="Y74" s="39" t="s">
        <v>129</v>
      </c>
      <c r="Z74" s="39">
        <v>1</v>
      </c>
      <c r="AA74" s="39">
        <v>1</v>
      </c>
      <c r="AB74" s="42">
        <f t="shared" si="43"/>
        <v>30</v>
      </c>
      <c r="AC74" s="39">
        <v>25</v>
      </c>
      <c r="AD74" s="39">
        <v>5</v>
      </c>
      <c r="AE74" s="44">
        <f t="shared" si="44"/>
        <v>12</v>
      </c>
      <c r="AF74" s="45">
        <f t="shared" si="45"/>
        <v>1</v>
      </c>
      <c r="AG74" s="45">
        <f t="shared" si="46"/>
        <v>2.5</v>
      </c>
      <c r="AH74" s="46" t="s">
        <v>82</v>
      </c>
      <c r="AI74" s="40" t="s">
        <v>83</v>
      </c>
      <c r="AJ74" s="40" t="s">
        <v>84</v>
      </c>
      <c r="AK74" s="47" t="s">
        <v>127</v>
      </c>
      <c r="AL74" s="40"/>
      <c r="AM74" s="48">
        <f t="shared" si="47"/>
        <v>0</v>
      </c>
      <c r="AN74" s="48">
        <f t="shared" si="48"/>
        <v>0</v>
      </c>
      <c r="AO74" s="48">
        <f t="shared" si="49"/>
        <v>36</v>
      </c>
      <c r="AP74" s="48">
        <f t="shared" si="50"/>
        <v>0</v>
      </c>
      <c r="AQ74" s="48">
        <f t="shared" si="51"/>
        <v>0</v>
      </c>
      <c r="AR74" s="48">
        <f t="shared" si="52"/>
        <v>0</v>
      </c>
      <c r="AS74" s="48">
        <f t="shared" si="53"/>
        <v>0</v>
      </c>
      <c r="AT74" s="48">
        <f t="shared" si="54"/>
        <v>0</v>
      </c>
      <c r="AU74" s="48">
        <f t="shared" si="55"/>
        <v>0</v>
      </c>
      <c r="AV74" s="48">
        <f t="shared" si="56"/>
        <v>0</v>
      </c>
      <c r="AW74" s="48">
        <f>IF(N74="ПП",РПП*AB74*(V74/1.5),IF(N74="ВП",ВПр*AB74*(V74/1.5),IF(N74="РПА",РПА*AB74*(V74/1.5),IF(N74="КПА",кпа*AB74*(V74/1.5),0))))</f>
        <v>0</v>
      </c>
      <c r="AX74" s="48">
        <f t="shared" si="57"/>
        <v>0</v>
      </c>
      <c r="AY74" s="48">
        <f t="shared" si="58"/>
        <v>0</v>
      </c>
      <c r="AZ74" s="48">
        <f t="shared" si="59"/>
        <v>0</v>
      </c>
      <c r="BA74" s="48">
        <f t="shared" si="60"/>
        <v>0</v>
      </c>
      <c r="BB74" s="48">
        <f t="shared" si="61"/>
        <v>0</v>
      </c>
      <c r="BC74" s="48">
        <f t="shared" si="62"/>
        <v>0</v>
      </c>
      <c r="BD74" s="48">
        <f t="shared" si="63"/>
        <v>0</v>
      </c>
      <c r="BE74" s="48">
        <f t="shared" si="64"/>
        <v>0</v>
      </c>
      <c r="BF74" s="49">
        <f t="shared" si="65"/>
        <v>36</v>
      </c>
      <c r="BG74" s="50"/>
      <c r="BH74" s="51">
        <f t="shared" si="66"/>
        <v>36</v>
      </c>
      <c r="BI74" s="51">
        <f t="shared" si="67"/>
        <v>1</v>
      </c>
      <c r="BJ74" s="51">
        <f t="shared" si="68"/>
        <v>0</v>
      </c>
      <c r="BK74" s="52">
        <f t="shared" si="69"/>
        <v>0</v>
      </c>
      <c r="BL74" s="52">
        <f t="shared" si="70"/>
        <v>0</v>
      </c>
      <c r="BM74" s="52">
        <f t="shared" si="71"/>
        <v>0</v>
      </c>
    </row>
    <row r="75" spans="1:65" ht="30" customHeight="1" x14ac:dyDescent="0.25">
      <c r="A75" s="31" t="str">
        <f t="shared" si="37"/>
        <v>Д</v>
      </c>
      <c r="B75" s="31" t="str">
        <f t="shared" si="38"/>
        <v>Б</v>
      </c>
      <c r="C75" s="32" t="s">
        <v>75</v>
      </c>
      <c r="D75" s="33" t="str">
        <f t="shared" si="39"/>
        <v>Факультет физико-математических и естественных наук</v>
      </c>
      <c r="E75" s="34" t="str">
        <f t="shared" si="40"/>
        <v>'09.03.03</v>
      </c>
      <c r="F75" s="35" t="str">
        <f t="shared" si="41"/>
        <v>Прикладная информатика</v>
      </c>
      <c r="G75" s="36" t="s">
        <v>76</v>
      </c>
      <c r="H75" s="36" t="s">
        <v>77</v>
      </c>
      <c r="I75" s="37" t="s">
        <v>90</v>
      </c>
      <c r="J75" s="37"/>
      <c r="K75" s="38" t="s">
        <v>125</v>
      </c>
      <c r="L75" s="39">
        <v>5</v>
      </c>
      <c r="M75" s="39">
        <v>18</v>
      </c>
      <c r="N75" s="40" t="s">
        <v>94</v>
      </c>
      <c r="O75" s="39"/>
      <c r="P75" s="39">
        <v>2</v>
      </c>
      <c r="Q75" s="39"/>
      <c r="R75" s="40"/>
      <c r="S75" s="41"/>
      <c r="T75" s="41"/>
      <c r="U75" s="41"/>
      <c r="V75" s="41"/>
      <c r="W75" s="41"/>
      <c r="X75" s="42" t="str">
        <f t="shared" si="42"/>
        <v>НПИбд</v>
      </c>
      <c r="Y75" s="43" t="s">
        <v>129</v>
      </c>
      <c r="Z75" s="39">
        <v>1</v>
      </c>
      <c r="AA75" s="39">
        <v>1</v>
      </c>
      <c r="AB75" s="42">
        <f t="shared" si="43"/>
        <v>0</v>
      </c>
      <c r="AC75" s="39"/>
      <c r="AD75" s="39"/>
      <c r="AE75" s="44">
        <f t="shared" si="44"/>
        <v>12</v>
      </c>
      <c r="AF75" s="45">
        <f t="shared" si="45"/>
        <v>0</v>
      </c>
      <c r="AG75" s="45">
        <f t="shared" si="46"/>
        <v>0</v>
      </c>
      <c r="AH75" s="46" t="s">
        <v>82</v>
      </c>
      <c r="AI75" s="40" t="s">
        <v>83</v>
      </c>
      <c r="AJ75" s="40" t="s">
        <v>84</v>
      </c>
      <c r="AK75" s="47" t="s">
        <v>127</v>
      </c>
      <c r="AL75" s="40"/>
      <c r="AM75" s="48">
        <f t="shared" si="47"/>
        <v>0</v>
      </c>
      <c r="AN75" s="48">
        <f t="shared" si="48"/>
        <v>0</v>
      </c>
      <c r="AO75" s="48">
        <f t="shared" si="49"/>
        <v>0</v>
      </c>
      <c r="AP75" s="48">
        <f t="shared" si="50"/>
        <v>0</v>
      </c>
      <c r="AQ75" s="48">
        <f t="shared" si="51"/>
        <v>0</v>
      </c>
      <c r="AR75" s="48">
        <f t="shared" si="52"/>
        <v>0</v>
      </c>
      <c r="AS75" s="48">
        <f t="shared" si="53"/>
        <v>0</v>
      </c>
      <c r="AT75" s="48">
        <f t="shared" si="54"/>
        <v>0</v>
      </c>
      <c r="AU75" s="48">
        <f t="shared" si="55"/>
        <v>0</v>
      </c>
      <c r="AV75" s="48">
        <f t="shared" si="56"/>
        <v>0</v>
      </c>
      <c r="AW75" s="48">
        <f>IF(N75="ПП",РПП*AB75*(V75/1.5),IF(N75="ВП",ВПр*AB75*(V75/1.5),IF(N75="РПА",РПА*AB75*(V75/1.5),IF(N75="КПА",кпа*AB75*(V75/1.5),0))))</f>
        <v>0</v>
      </c>
      <c r="AX75" s="48">
        <f t="shared" si="57"/>
        <v>0</v>
      </c>
      <c r="AY75" s="48">
        <f t="shared" si="58"/>
        <v>0</v>
      </c>
      <c r="AZ75" s="48">
        <f t="shared" si="59"/>
        <v>0</v>
      </c>
      <c r="BA75" s="48">
        <f t="shared" si="60"/>
        <v>0</v>
      </c>
      <c r="BB75" s="48">
        <f t="shared" si="61"/>
        <v>0</v>
      </c>
      <c r="BC75" s="48">
        <f t="shared" si="62"/>
        <v>0</v>
      </c>
      <c r="BD75" s="48">
        <f t="shared" si="63"/>
        <v>0</v>
      </c>
      <c r="BE75" s="48">
        <f t="shared" si="64"/>
        <v>0</v>
      </c>
      <c r="BF75" s="49">
        <f t="shared" si="65"/>
        <v>0</v>
      </c>
      <c r="BG75" s="50"/>
      <c r="BH75" s="51">
        <f t="shared" si="66"/>
        <v>0</v>
      </c>
      <c r="BI75" s="51">
        <f t="shared" si="67"/>
        <v>0</v>
      </c>
      <c r="BJ75" s="51">
        <f t="shared" si="68"/>
        <v>0</v>
      </c>
      <c r="BK75" s="52">
        <f t="shared" si="69"/>
        <v>0</v>
      </c>
      <c r="BL75" s="52">
        <f t="shared" si="70"/>
        <v>0</v>
      </c>
      <c r="BM75" s="52">
        <f t="shared" si="71"/>
        <v>0</v>
      </c>
    </row>
    <row r="76" spans="1:65" ht="30" customHeight="1" x14ac:dyDescent="0.25">
      <c r="A76" s="31" t="str">
        <f t="shared" si="37"/>
        <v>Д</v>
      </c>
      <c r="B76" s="31" t="str">
        <f t="shared" si="38"/>
        <v>Б</v>
      </c>
      <c r="C76" s="32" t="s">
        <v>75</v>
      </c>
      <c r="D76" s="33" t="str">
        <f t="shared" si="39"/>
        <v>Факультет физико-математических и естественных наук</v>
      </c>
      <c r="E76" s="34" t="str">
        <f t="shared" si="40"/>
        <v>'09.03.03</v>
      </c>
      <c r="F76" s="35" t="str">
        <f t="shared" si="41"/>
        <v>Прикладная информатика</v>
      </c>
      <c r="G76" s="36" t="s">
        <v>76</v>
      </c>
      <c r="H76" s="36" t="s">
        <v>77</v>
      </c>
      <c r="I76" s="37" t="s">
        <v>90</v>
      </c>
      <c r="J76" s="37"/>
      <c r="K76" s="38" t="s">
        <v>125</v>
      </c>
      <c r="L76" s="39">
        <v>5</v>
      </c>
      <c r="M76" s="39">
        <v>18</v>
      </c>
      <c r="N76" s="40" t="s">
        <v>94</v>
      </c>
      <c r="O76" s="39"/>
      <c r="P76" s="39">
        <v>2</v>
      </c>
      <c r="Q76" s="39"/>
      <c r="R76" s="40"/>
      <c r="S76" s="41"/>
      <c r="T76" s="41"/>
      <c r="U76" s="41"/>
      <c r="V76" s="41"/>
      <c r="W76" s="41"/>
      <c r="X76" s="42" t="str">
        <f t="shared" si="42"/>
        <v>НПИбд</v>
      </c>
      <c r="Y76" s="43" t="s">
        <v>130</v>
      </c>
      <c r="Z76" s="39"/>
      <c r="AA76" s="39"/>
      <c r="AB76" s="42">
        <f t="shared" si="43"/>
        <v>0</v>
      </c>
      <c r="AC76" s="39"/>
      <c r="AD76" s="39"/>
      <c r="AE76" s="44">
        <f t="shared" si="44"/>
        <v>12</v>
      </c>
      <c r="AF76" s="45">
        <f t="shared" si="45"/>
        <v>0</v>
      </c>
      <c r="AG76" s="45">
        <f t="shared" si="46"/>
        <v>0</v>
      </c>
      <c r="AH76" s="46" t="s">
        <v>82</v>
      </c>
      <c r="AI76" s="40" t="s">
        <v>83</v>
      </c>
      <c r="AJ76" s="40" t="s">
        <v>84</v>
      </c>
      <c r="AK76" s="47" t="s">
        <v>127</v>
      </c>
      <c r="AL76" s="40"/>
      <c r="AM76" s="48">
        <f t="shared" si="47"/>
        <v>0</v>
      </c>
      <c r="AN76" s="48">
        <f t="shared" si="48"/>
        <v>0</v>
      </c>
      <c r="AO76" s="48">
        <f t="shared" si="49"/>
        <v>0</v>
      </c>
      <c r="AP76" s="48">
        <f t="shared" si="50"/>
        <v>0</v>
      </c>
      <c r="AQ76" s="48">
        <f t="shared" si="51"/>
        <v>0</v>
      </c>
      <c r="AR76" s="48">
        <f t="shared" si="52"/>
        <v>0</v>
      </c>
      <c r="AS76" s="48">
        <f t="shared" si="53"/>
        <v>0</v>
      </c>
      <c r="AT76" s="48">
        <f t="shared" si="54"/>
        <v>0</v>
      </c>
      <c r="AU76" s="48">
        <f t="shared" si="55"/>
        <v>0</v>
      </c>
      <c r="AV76" s="48">
        <f t="shared" si="56"/>
        <v>0</v>
      </c>
      <c r="AW76" s="48">
        <f>IF(N76="ПП",РПП*AB76*(V76/1.5),IF(N76="ВП",ВПр*AB76*(V76/1.5),IF(N76="РПА",РПА*AB76*(V76/1.5),IF(N76="КПА",кпа*AB76*(V76/1.5),0))))</f>
        <v>0</v>
      </c>
      <c r="AX76" s="48">
        <f t="shared" si="57"/>
        <v>0</v>
      </c>
      <c r="AY76" s="48">
        <f t="shared" si="58"/>
        <v>0</v>
      </c>
      <c r="AZ76" s="48">
        <f t="shared" si="59"/>
        <v>0</v>
      </c>
      <c r="BA76" s="48">
        <f t="shared" si="60"/>
        <v>0</v>
      </c>
      <c r="BB76" s="48">
        <f t="shared" si="61"/>
        <v>0</v>
      </c>
      <c r="BC76" s="48">
        <f t="shared" si="62"/>
        <v>0</v>
      </c>
      <c r="BD76" s="48">
        <f t="shared" si="63"/>
        <v>0</v>
      </c>
      <c r="BE76" s="48">
        <f t="shared" si="64"/>
        <v>0</v>
      </c>
      <c r="BF76" s="49">
        <f t="shared" si="65"/>
        <v>0</v>
      </c>
      <c r="BG76" s="50"/>
      <c r="BH76" s="51">
        <f t="shared" si="66"/>
        <v>0</v>
      </c>
      <c r="BI76" s="51">
        <f t="shared" si="67"/>
        <v>0</v>
      </c>
      <c r="BJ76" s="51">
        <f t="shared" si="68"/>
        <v>0</v>
      </c>
      <c r="BK76" s="52">
        <f t="shared" si="69"/>
        <v>0</v>
      </c>
      <c r="BL76" s="52">
        <f t="shared" si="70"/>
        <v>0</v>
      </c>
      <c r="BM76" s="52">
        <f t="shared" si="71"/>
        <v>0</v>
      </c>
    </row>
    <row r="77" spans="1:65" ht="30" customHeight="1" x14ac:dyDescent="0.25">
      <c r="A77" s="31" t="str">
        <f t="shared" si="37"/>
        <v>Д</v>
      </c>
      <c r="B77" s="31" t="str">
        <f t="shared" si="38"/>
        <v>Б</v>
      </c>
      <c r="C77" s="32" t="s">
        <v>75</v>
      </c>
      <c r="D77" s="33" t="str">
        <f t="shared" si="39"/>
        <v>Факультет физико-математических и естественных наук</v>
      </c>
      <c r="E77" s="34" t="str">
        <f t="shared" si="40"/>
        <v>'09.03.03</v>
      </c>
      <c r="F77" s="35" t="str">
        <f t="shared" si="41"/>
        <v>Прикладная информатика</v>
      </c>
      <c r="G77" s="36" t="s">
        <v>76</v>
      </c>
      <c r="H77" s="36" t="s">
        <v>77</v>
      </c>
      <c r="I77" s="37" t="s">
        <v>90</v>
      </c>
      <c r="J77" s="37"/>
      <c r="K77" s="38" t="s">
        <v>131</v>
      </c>
      <c r="L77" s="39">
        <v>5</v>
      </c>
      <c r="M77" s="39">
        <v>18</v>
      </c>
      <c r="N77" s="40" t="s">
        <v>79</v>
      </c>
      <c r="O77" s="39">
        <v>1</v>
      </c>
      <c r="P77" s="39"/>
      <c r="Q77" s="39"/>
      <c r="R77" s="40" t="s">
        <v>80</v>
      </c>
      <c r="S77" s="41"/>
      <c r="T77" s="41"/>
      <c r="U77" s="41"/>
      <c r="V77" s="41"/>
      <c r="W77" s="41"/>
      <c r="X77" s="42" t="str">
        <f t="shared" si="42"/>
        <v>НПИбд</v>
      </c>
      <c r="Y77" s="39" t="s">
        <v>126</v>
      </c>
      <c r="Z77" s="39">
        <v>4</v>
      </c>
      <c r="AA77" s="39">
        <v>2</v>
      </c>
      <c r="AB77" s="42">
        <f t="shared" si="43"/>
        <v>61</v>
      </c>
      <c r="AC77" s="39">
        <v>50</v>
      </c>
      <c r="AD77" s="39">
        <v>11</v>
      </c>
      <c r="AE77" s="44">
        <f t="shared" si="44"/>
        <v>61</v>
      </c>
      <c r="AF77" s="45">
        <f t="shared" si="45"/>
        <v>1</v>
      </c>
      <c r="AG77" s="45">
        <f t="shared" si="46"/>
        <v>1</v>
      </c>
      <c r="AH77" s="46" t="s">
        <v>82</v>
      </c>
      <c r="AI77" s="40" t="s">
        <v>99</v>
      </c>
      <c r="AJ77" s="40" t="s">
        <v>84</v>
      </c>
      <c r="AK77" s="55" t="s">
        <v>109</v>
      </c>
      <c r="AL77" s="40"/>
      <c r="AM77" s="48">
        <f t="shared" si="47"/>
        <v>18</v>
      </c>
      <c r="AN77" s="48">
        <f t="shared" si="48"/>
        <v>0</v>
      </c>
      <c r="AO77" s="48">
        <f t="shared" si="49"/>
        <v>0</v>
      </c>
      <c r="AP77" s="48">
        <f t="shared" si="50"/>
        <v>20.130000000000003</v>
      </c>
      <c r="AQ77" s="48">
        <f t="shared" si="51"/>
        <v>30.5</v>
      </c>
      <c r="AR77" s="48">
        <f t="shared" si="52"/>
        <v>2</v>
      </c>
      <c r="AS77" s="48">
        <f t="shared" si="53"/>
        <v>1.8</v>
      </c>
      <c r="AT77" s="48">
        <f t="shared" si="54"/>
        <v>0</v>
      </c>
      <c r="AU77" s="48">
        <f t="shared" si="55"/>
        <v>0</v>
      </c>
      <c r="AV77" s="48">
        <f t="shared" si="56"/>
        <v>0</v>
      </c>
      <c r="AW77" s="48">
        <f>IF(N77="ПП",РПП*AB77*(V77/1.5),IF(N77="ВП",ВПр*AB77*(V77/1.5),IF(N77="РПА",РПА*AB77*(V77/1.5),IF(N77="КПА",кпа*AB77*(V77/1.5),0))))</f>
        <v>0</v>
      </c>
      <c r="AX77" s="48">
        <f t="shared" si="57"/>
        <v>0</v>
      </c>
      <c r="AY77" s="48">
        <f t="shared" si="58"/>
        <v>0</v>
      </c>
      <c r="AZ77" s="48">
        <f t="shared" si="59"/>
        <v>0</v>
      </c>
      <c r="BA77" s="48">
        <f t="shared" si="60"/>
        <v>0</v>
      </c>
      <c r="BB77" s="48">
        <f t="shared" si="61"/>
        <v>0</v>
      </c>
      <c r="BC77" s="48">
        <f t="shared" si="62"/>
        <v>0</v>
      </c>
      <c r="BD77" s="48">
        <f t="shared" si="63"/>
        <v>0</v>
      </c>
      <c r="BE77" s="48">
        <f t="shared" si="64"/>
        <v>0</v>
      </c>
      <c r="BF77" s="49">
        <f t="shared" si="65"/>
        <v>72.429999999999993</v>
      </c>
      <c r="BG77" s="50"/>
      <c r="BH77" s="51">
        <f t="shared" si="66"/>
        <v>18</v>
      </c>
      <c r="BI77" s="51">
        <f t="shared" si="67"/>
        <v>0.5</v>
      </c>
      <c r="BJ77" s="51">
        <f t="shared" si="68"/>
        <v>54.43</v>
      </c>
      <c r="BK77" s="52">
        <f t="shared" si="69"/>
        <v>0</v>
      </c>
      <c r="BL77" s="52">
        <f t="shared" si="70"/>
        <v>0</v>
      </c>
      <c r="BM77" s="52">
        <f t="shared" si="71"/>
        <v>0</v>
      </c>
    </row>
    <row r="78" spans="1:65" ht="30" customHeight="1" x14ac:dyDescent="0.25">
      <c r="A78" s="31" t="str">
        <f t="shared" si="37"/>
        <v>Д</v>
      </c>
      <c r="B78" s="31" t="str">
        <f t="shared" si="38"/>
        <v>Б</v>
      </c>
      <c r="C78" s="32" t="s">
        <v>75</v>
      </c>
      <c r="D78" s="33" t="str">
        <f t="shared" si="39"/>
        <v>Факультет физико-математических и естественных наук</v>
      </c>
      <c r="E78" s="34" t="str">
        <f t="shared" si="40"/>
        <v>'09.03.03</v>
      </c>
      <c r="F78" s="35" t="str">
        <f t="shared" si="41"/>
        <v>Прикладная информатика</v>
      </c>
      <c r="G78" s="36" t="s">
        <v>76</v>
      </c>
      <c r="H78" s="36" t="s">
        <v>77</v>
      </c>
      <c r="I78" s="37" t="s">
        <v>90</v>
      </c>
      <c r="J78" s="37"/>
      <c r="K78" s="38" t="s">
        <v>131</v>
      </c>
      <c r="L78" s="39">
        <v>5</v>
      </c>
      <c r="M78" s="39">
        <v>18</v>
      </c>
      <c r="N78" s="40" t="s">
        <v>94</v>
      </c>
      <c r="O78" s="39"/>
      <c r="P78" s="39">
        <v>2</v>
      </c>
      <c r="Q78" s="39"/>
      <c r="R78" s="40"/>
      <c r="S78" s="41"/>
      <c r="T78" s="41"/>
      <c r="U78" s="41"/>
      <c r="V78" s="41"/>
      <c r="W78" s="41"/>
      <c r="X78" s="42" t="str">
        <f t="shared" si="42"/>
        <v>НПИбд</v>
      </c>
      <c r="Y78" s="39" t="s">
        <v>128</v>
      </c>
      <c r="Z78" s="39">
        <v>1</v>
      </c>
      <c r="AA78" s="39">
        <v>1</v>
      </c>
      <c r="AB78" s="42">
        <f t="shared" si="43"/>
        <v>31</v>
      </c>
      <c r="AC78" s="39">
        <v>25</v>
      </c>
      <c r="AD78" s="39">
        <v>6</v>
      </c>
      <c r="AE78" s="44">
        <f t="shared" si="44"/>
        <v>12</v>
      </c>
      <c r="AF78" s="45">
        <f t="shared" si="45"/>
        <v>1</v>
      </c>
      <c r="AG78" s="45">
        <f t="shared" si="46"/>
        <v>2.5833333333333335</v>
      </c>
      <c r="AH78" s="46" t="s">
        <v>82</v>
      </c>
      <c r="AI78" s="40" t="s">
        <v>99</v>
      </c>
      <c r="AJ78" s="40" t="s">
        <v>84</v>
      </c>
      <c r="AK78" s="55" t="s">
        <v>109</v>
      </c>
      <c r="AL78" s="40"/>
      <c r="AM78" s="48">
        <f t="shared" si="47"/>
        <v>0</v>
      </c>
      <c r="AN78" s="48">
        <f t="shared" si="48"/>
        <v>0</v>
      </c>
      <c r="AO78" s="48">
        <f t="shared" si="49"/>
        <v>36</v>
      </c>
      <c r="AP78" s="48">
        <f t="shared" si="50"/>
        <v>0</v>
      </c>
      <c r="AQ78" s="48">
        <f t="shared" si="51"/>
        <v>0</v>
      </c>
      <c r="AR78" s="48">
        <f t="shared" si="52"/>
        <v>0</v>
      </c>
      <c r="AS78" s="48">
        <f t="shared" si="53"/>
        <v>0</v>
      </c>
      <c r="AT78" s="48">
        <f t="shared" si="54"/>
        <v>0</v>
      </c>
      <c r="AU78" s="48">
        <f t="shared" si="55"/>
        <v>0</v>
      </c>
      <c r="AV78" s="48">
        <f t="shared" si="56"/>
        <v>0</v>
      </c>
      <c r="AW78" s="48">
        <f>IF(N78="ПП",РПП*AB78*(V78/1.5),IF(N78="ВП",ВПр*AB78*(V78/1.5),IF(N78="РПА",РПА*AB78*(V78/1.5),IF(N78="КПА",кпа*AB78*(V78/1.5),0))))</f>
        <v>0</v>
      </c>
      <c r="AX78" s="48">
        <f t="shared" si="57"/>
        <v>0</v>
      </c>
      <c r="AY78" s="48">
        <f t="shared" si="58"/>
        <v>0</v>
      </c>
      <c r="AZ78" s="48">
        <f t="shared" si="59"/>
        <v>0</v>
      </c>
      <c r="BA78" s="48">
        <f t="shared" si="60"/>
        <v>0</v>
      </c>
      <c r="BB78" s="48">
        <f t="shared" si="61"/>
        <v>0</v>
      </c>
      <c r="BC78" s="48">
        <f t="shared" si="62"/>
        <v>0</v>
      </c>
      <c r="BD78" s="48">
        <f t="shared" si="63"/>
        <v>0</v>
      </c>
      <c r="BE78" s="48">
        <f t="shared" si="64"/>
        <v>0</v>
      </c>
      <c r="BF78" s="49">
        <f t="shared" si="65"/>
        <v>36</v>
      </c>
      <c r="BG78" s="50"/>
      <c r="BH78" s="51">
        <f t="shared" si="66"/>
        <v>36</v>
      </c>
      <c r="BI78" s="51">
        <f t="shared" si="67"/>
        <v>1</v>
      </c>
      <c r="BJ78" s="51">
        <f t="shared" si="68"/>
        <v>0</v>
      </c>
      <c r="BK78" s="52">
        <f t="shared" si="69"/>
        <v>0</v>
      </c>
      <c r="BL78" s="52">
        <f t="shared" si="70"/>
        <v>0</v>
      </c>
      <c r="BM78" s="52">
        <f t="shared" si="71"/>
        <v>0</v>
      </c>
    </row>
    <row r="79" spans="1:65" ht="30" customHeight="1" x14ac:dyDescent="0.25">
      <c r="A79" s="31" t="str">
        <f t="shared" si="37"/>
        <v>Д</v>
      </c>
      <c r="B79" s="31" t="str">
        <f t="shared" si="38"/>
        <v>Б</v>
      </c>
      <c r="C79" s="32" t="s">
        <v>75</v>
      </c>
      <c r="D79" s="33" t="str">
        <f t="shared" si="39"/>
        <v>Факультет физико-математических и естественных наук</v>
      </c>
      <c r="E79" s="34" t="str">
        <f t="shared" si="40"/>
        <v>'09.03.03</v>
      </c>
      <c r="F79" s="35" t="str">
        <f t="shared" si="41"/>
        <v>Прикладная информатика</v>
      </c>
      <c r="G79" s="36" t="s">
        <v>76</v>
      </c>
      <c r="H79" s="36" t="s">
        <v>77</v>
      </c>
      <c r="I79" s="37" t="s">
        <v>90</v>
      </c>
      <c r="J79" s="37"/>
      <c r="K79" s="38" t="s">
        <v>131</v>
      </c>
      <c r="L79" s="39">
        <v>5</v>
      </c>
      <c r="M79" s="39">
        <v>18</v>
      </c>
      <c r="N79" s="40" t="s">
        <v>94</v>
      </c>
      <c r="O79" s="39"/>
      <c r="P79" s="39">
        <v>2</v>
      </c>
      <c r="Q79" s="39"/>
      <c r="R79" s="40"/>
      <c r="S79" s="41"/>
      <c r="T79" s="41"/>
      <c r="U79" s="41"/>
      <c r="V79" s="41"/>
      <c r="W79" s="41"/>
      <c r="X79" s="42" t="str">
        <f t="shared" si="42"/>
        <v>НПИбд</v>
      </c>
      <c r="Y79" s="39" t="s">
        <v>128</v>
      </c>
      <c r="Z79" s="39">
        <v>1</v>
      </c>
      <c r="AA79" s="39">
        <v>1</v>
      </c>
      <c r="AB79" s="42">
        <f t="shared" si="43"/>
        <v>0</v>
      </c>
      <c r="AC79" s="39"/>
      <c r="AD79" s="39"/>
      <c r="AE79" s="44">
        <f t="shared" si="44"/>
        <v>12</v>
      </c>
      <c r="AF79" s="45">
        <f t="shared" si="45"/>
        <v>0</v>
      </c>
      <c r="AG79" s="45">
        <f t="shared" si="46"/>
        <v>0</v>
      </c>
      <c r="AH79" s="46" t="s">
        <v>82</v>
      </c>
      <c r="AI79" s="40" t="s">
        <v>99</v>
      </c>
      <c r="AJ79" s="40" t="s">
        <v>84</v>
      </c>
      <c r="AK79" s="55" t="s">
        <v>109</v>
      </c>
      <c r="AL79" s="40"/>
      <c r="AM79" s="48">
        <f t="shared" si="47"/>
        <v>0</v>
      </c>
      <c r="AN79" s="48">
        <f t="shared" si="48"/>
        <v>0</v>
      </c>
      <c r="AO79" s="48">
        <f t="shared" si="49"/>
        <v>0</v>
      </c>
      <c r="AP79" s="48">
        <f t="shared" si="50"/>
        <v>0</v>
      </c>
      <c r="AQ79" s="48">
        <f t="shared" si="51"/>
        <v>0</v>
      </c>
      <c r="AR79" s="48">
        <f t="shared" si="52"/>
        <v>0</v>
      </c>
      <c r="AS79" s="48">
        <f t="shared" si="53"/>
        <v>0</v>
      </c>
      <c r="AT79" s="48">
        <f t="shared" si="54"/>
        <v>0</v>
      </c>
      <c r="AU79" s="48">
        <f t="shared" si="55"/>
        <v>0</v>
      </c>
      <c r="AV79" s="48">
        <f t="shared" si="56"/>
        <v>0</v>
      </c>
      <c r="AW79" s="48">
        <f>IF(N79="ПП",РПП*AB79*(V79/1.5),IF(N79="ВП",ВПр*AB79*(V79/1.5),IF(N79="РПА",РПА*AB79*(V79/1.5),IF(N79="КПА",кпа*AB79*(V79/1.5),0))))</f>
        <v>0</v>
      </c>
      <c r="AX79" s="48">
        <f t="shared" si="57"/>
        <v>0</v>
      </c>
      <c r="AY79" s="48">
        <f t="shared" si="58"/>
        <v>0</v>
      </c>
      <c r="AZ79" s="48">
        <f t="shared" si="59"/>
        <v>0</v>
      </c>
      <c r="BA79" s="48">
        <f t="shared" si="60"/>
        <v>0</v>
      </c>
      <c r="BB79" s="48">
        <f t="shared" si="61"/>
        <v>0</v>
      </c>
      <c r="BC79" s="48">
        <f t="shared" si="62"/>
        <v>0</v>
      </c>
      <c r="BD79" s="48">
        <f t="shared" si="63"/>
        <v>0</v>
      </c>
      <c r="BE79" s="48">
        <f t="shared" si="64"/>
        <v>0</v>
      </c>
      <c r="BF79" s="49">
        <f t="shared" si="65"/>
        <v>0</v>
      </c>
      <c r="BG79" s="50"/>
      <c r="BH79" s="51">
        <f t="shared" si="66"/>
        <v>0</v>
      </c>
      <c r="BI79" s="51">
        <f t="shared" si="67"/>
        <v>0</v>
      </c>
      <c r="BJ79" s="51">
        <f t="shared" si="68"/>
        <v>0</v>
      </c>
      <c r="BK79" s="52">
        <f t="shared" si="69"/>
        <v>0</v>
      </c>
      <c r="BL79" s="52">
        <f t="shared" si="70"/>
        <v>0</v>
      </c>
      <c r="BM79" s="52">
        <f t="shared" si="71"/>
        <v>0</v>
      </c>
    </row>
    <row r="80" spans="1:65" ht="30" customHeight="1" x14ac:dyDescent="0.25">
      <c r="A80" s="31" t="str">
        <f t="shared" si="37"/>
        <v>Д</v>
      </c>
      <c r="B80" s="31" t="str">
        <f t="shared" si="38"/>
        <v>Б</v>
      </c>
      <c r="C80" s="32" t="s">
        <v>75</v>
      </c>
      <c r="D80" s="33" t="str">
        <f t="shared" si="39"/>
        <v>Факультет физико-математических и естественных наук</v>
      </c>
      <c r="E80" s="34" t="str">
        <f t="shared" si="40"/>
        <v>'09.03.03</v>
      </c>
      <c r="F80" s="35" t="str">
        <f t="shared" si="41"/>
        <v>Прикладная информатика</v>
      </c>
      <c r="G80" s="36" t="s">
        <v>76</v>
      </c>
      <c r="H80" s="36" t="s">
        <v>77</v>
      </c>
      <c r="I80" s="37" t="s">
        <v>90</v>
      </c>
      <c r="J80" s="37"/>
      <c r="K80" s="38" t="s">
        <v>131</v>
      </c>
      <c r="L80" s="39">
        <v>5</v>
      </c>
      <c r="M80" s="39">
        <v>18</v>
      </c>
      <c r="N80" s="40" t="s">
        <v>94</v>
      </c>
      <c r="O80" s="39"/>
      <c r="P80" s="39">
        <v>2</v>
      </c>
      <c r="Q80" s="39"/>
      <c r="R80" s="40"/>
      <c r="S80" s="41"/>
      <c r="T80" s="41"/>
      <c r="U80" s="41"/>
      <c r="V80" s="41"/>
      <c r="W80" s="41"/>
      <c r="X80" s="42" t="str">
        <f t="shared" si="42"/>
        <v>НПИбд</v>
      </c>
      <c r="Y80" s="39" t="s">
        <v>129</v>
      </c>
      <c r="Z80" s="39">
        <v>1</v>
      </c>
      <c r="AA80" s="39">
        <v>1</v>
      </c>
      <c r="AB80" s="42">
        <f t="shared" si="43"/>
        <v>30</v>
      </c>
      <c r="AC80" s="39">
        <v>25</v>
      </c>
      <c r="AD80" s="39">
        <v>5</v>
      </c>
      <c r="AE80" s="44">
        <f t="shared" si="44"/>
        <v>12</v>
      </c>
      <c r="AF80" s="45">
        <f t="shared" si="45"/>
        <v>1</v>
      </c>
      <c r="AG80" s="45">
        <f t="shared" si="46"/>
        <v>2.5</v>
      </c>
      <c r="AH80" s="46" t="s">
        <v>82</v>
      </c>
      <c r="AI80" s="40" t="s">
        <v>99</v>
      </c>
      <c r="AJ80" s="40" t="s">
        <v>84</v>
      </c>
      <c r="AK80" s="55" t="s">
        <v>109</v>
      </c>
      <c r="AL80" s="40"/>
      <c r="AM80" s="48">
        <f t="shared" si="47"/>
        <v>0</v>
      </c>
      <c r="AN80" s="48">
        <f t="shared" si="48"/>
        <v>0</v>
      </c>
      <c r="AO80" s="48">
        <f t="shared" si="49"/>
        <v>36</v>
      </c>
      <c r="AP80" s="48">
        <f t="shared" si="50"/>
        <v>0</v>
      </c>
      <c r="AQ80" s="48">
        <f t="shared" si="51"/>
        <v>0</v>
      </c>
      <c r="AR80" s="48">
        <f t="shared" si="52"/>
        <v>0</v>
      </c>
      <c r="AS80" s="48">
        <f t="shared" si="53"/>
        <v>0</v>
      </c>
      <c r="AT80" s="48">
        <f t="shared" si="54"/>
        <v>0</v>
      </c>
      <c r="AU80" s="48">
        <f t="shared" si="55"/>
        <v>0</v>
      </c>
      <c r="AV80" s="48">
        <f t="shared" si="56"/>
        <v>0</v>
      </c>
      <c r="AW80" s="48">
        <f>IF(N80="ПП",РПП*AB80*(V80/1.5),IF(N80="ВП",ВПр*AB80*(V80/1.5),IF(N80="РПА",РПА*AB80*(V80/1.5),IF(N80="КПА",кпа*AB80*(V80/1.5),0))))</f>
        <v>0</v>
      </c>
      <c r="AX80" s="48">
        <f t="shared" si="57"/>
        <v>0</v>
      </c>
      <c r="AY80" s="48">
        <f t="shared" si="58"/>
        <v>0</v>
      </c>
      <c r="AZ80" s="48">
        <f t="shared" si="59"/>
        <v>0</v>
      </c>
      <c r="BA80" s="48">
        <f t="shared" si="60"/>
        <v>0</v>
      </c>
      <c r="BB80" s="48">
        <f t="shared" si="61"/>
        <v>0</v>
      </c>
      <c r="BC80" s="48">
        <f t="shared" si="62"/>
        <v>0</v>
      </c>
      <c r="BD80" s="48">
        <f t="shared" si="63"/>
        <v>0</v>
      </c>
      <c r="BE80" s="48">
        <f t="shared" si="64"/>
        <v>0</v>
      </c>
      <c r="BF80" s="49">
        <f t="shared" si="65"/>
        <v>36</v>
      </c>
      <c r="BG80" s="50"/>
      <c r="BH80" s="51">
        <f t="shared" si="66"/>
        <v>36</v>
      </c>
      <c r="BI80" s="51">
        <f t="shared" si="67"/>
        <v>1</v>
      </c>
      <c r="BJ80" s="51">
        <f t="shared" si="68"/>
        <v>0</v>
      </c>
      <c r="BK80" s="52">
        <f t="shared" si="69"/>
        <v>0</v>
      </c>
      <c r="BL80" s="52">
        <f t="shared" si="70"/>
        <v>0</v>
      </c>
      <c r="BM80" s="52">
        <f t="shared" si="71"/>
        <v>0</v>
      </c>
    </row>
    <row r="81" spans="1:65" ht="30" customHeight="1" x14ac:dyDescent="0.25">
      <c r="A81" s="31" t="str">
        <f t="shared" si="37"/>
        <v>Д</v>
      </c>
      <c r="B81" s="31" t="str">
        <f t="shared" si="38"/>
        <v>Б</v>
      </c>
      <c r="C81" s="32" t="s">
        <v>75</v>
      </c>
      <c r="D81" s="33" t="str">
        <f t="shared" si="39"/>
        <v>Факультет физико-математических и естественных наук</v>
      </c>
      <c r="E81" s="34" t="str">
        <f t="shared" si="40"/>
        <v>'09.03.03</v>
      </c>
      <c r="F81" s="35" t="str">
        <f t="shared" si="41"/>
        <v>Прикладная информатика</v>
      </c>
      <c r="G81" s="36" t="s">
        <v>76</v>
      </c>
      <c r="H81" s="36" t="s">
        <v>77</v>
      </c>
      <c r="I81" s="37" t="s">
        <v>90</v>
      </c>
      <c r="J81" s="37"/>
      <c r="K81" s="38" t="s">
        <v>131</v>
      </c>
      <c r="L81" s="39">
        <v>5</v>
      </c>
      <c r="M81" s="39">
        <v>18</v>
      </c>
      <c r="N81" s="40" t="s">
        <v>94</v>
      </c>
      <c r="O81" s="39"/>
      <c r="P81" s="39">
        <v>2</v>
      </c>
      <c r="Q81" s="39"/>
      <c r="R81" s="40"/>
      <c r="S81" s="41"/>
      <c r="T81" s="41"/>
      <c r="U81" s="41"/>
      <c r="V81" s="41"/>
      <c r="W81" s="41"/>
      <c r="X81" s="42" t="str">
        <f t="shared" si="42"/>
        <v>НПИбд</v>
      </c>
      <c r="Y81" s="43" t="s">
        <v>129</v>
      </c>
      <c r="Z81" s="39">
        <v>1</v>
      </c>
      <c r="AA81" s="39">
        <v>1</v>
      </c>
      <c r="AB81" s="42">
        <f t="shared" si="43"/>
        <v>0</v>
      </c>
      <c r="AC81" s="39"/>
      <c r="AD81" s="39"/>
      <c r="AE81" s="44">
        <f t="shared" si="44"/>
        <v>12</v>
      </c>
      <c r="AF81" s="45">
        <f t="shared" si="45"/>
        <v>0</v>
      </c>
      <c r="AG81" s="45">
        <f t="shared" si="46"/>
        <v>0</v>
      </c>
      <c r="AH81" s="46" t="s">
        <v>82</v>
      </c>
      <c r="AI81" s="40" t="s">
        <v>99</v>
      </c>
      <c r="AJ81" s="40" t="s">
        <v>84</v>
      </c>
      <c r="AK81" s="47" t="s">
        <v>109</v>
      </c>
      <c r="AL81" s="40"/>
      <c r="AM81" s="48">
        <f t="shared" si="47"/>
        <v>0</v>
      </c>
      <c r="AN81" s="48">
        <f t="shared" si="48"/>
        <v>0</v>
      </c>
      <c r="AO81" s="48">
        <f t="shared" si="49"/>
        <v>0</v>
      </c>
      <c r="AP81" s="48">
        <f t="shared" si="50"/>
        <v>0</v>
      </c>
      <c r="AQ81" s="48">
        <f t="shared" si="51"/>
        <v>0</v>
      </c>
      <c r="AR81" s="48">
        <f t="shared" si="52"/>
        <v>0</v>
      </c>
      <c r="AS81" s="48">
        <f t="shared" si="53"/>
        <v>0</v>
      </c>
      <c r="AT81" s="48">
        <f t="shared" si="54"/>
        <v>0</v>
      </c>
      <c r="AU81" s="48">
        <f t="shared" si="55"/>
        <v>0</v>
      </c>
      <c r="AV81" s="48">
        <f t="shared" si="56"/>
        <v>0</v>
      </c>
      <c r="AW81" s="48">
        <f>IF(N81="ПП",РПП*AB81*(V81/1.5),IF(N81="ВП",ВПр*AB81*(V81/1.5),IF(N81="РПА",РПА*AB81*(V81/1.5),IF(N81="КПА",кпа*AB81*(V81/1.5),0))))</f>
        <v>0</v>
      </c>
      <c r="AX81" s="48">
        <f t="shared" si="57"/>
        <v>0</v>
      </c>
      <c r="AY81" s="48">
        <f t="shared" si="58"/>
        <v>0</v>
      </c>
      <c r="AZ81" s="48">
        <f t="shared" si="59"/>
        <v>0</v>
      </c>
      <c r="BA81" s="48">
        <f t="shared" si="60"/>
        <v>0</v>
      </c>
      <c r="BB81" s="48">
        <f t="shared" si="61"/>
        <v>0</v>
      </c>
      <c r="BC81" s="48">
        <f t="shared" si="62"/>
        <v>0</v>
      </c>
      <c r="BD81" s="48">
        <f t="shared" si="63"/>
        <v>0</v>
      </c>
      <c r="BE81" s="48">
        <f t="shared" si="64"/>
        <v>0</v>
      </c>
      <c r="BF81" s="49">
        <f t="shared" si="65"/>
        <v>0</v>
      </c>
      <c r="BG81" s="50"/>
      <c r="BH81" s="51">
        <f t="shared" si="66"/>
        <v>0</v>
      </c>
      <c r="BI81" s="51">
        <f t="shared" si="67"/>
        <v>0</v>
      </c>
      <c r="BJ81" s="51">
        <f t="shared" si="68"/>
        <v>0</v>
      </c>
      <c r="BK81" s="52">
        <f t="shared" si="69"/>
        <v>0</v>
      </c>
      <c r="BL81" s="52">
        <f t="shared" si="70"/>
        <v>0</v>
      </c>
      <c r="BM81" s="52">
        <f t="shared" si="71"/>
        <v>0</v>
      </c>
    </row>
    <row r="82" spans="1:65" ht="30" customHeight="1" x14ac:dyDescent="0.25">
      <c r="A82" s="31" t="str">
        <f t="shared" si="37"/>
        <v>Д</v>
      </c>
      <c r="B82" s="31" t="str">
        <f t="shared" si="38"/>
        <v>Б</v>
      </c>
      <c r="C82" s="32" t="s">
        <v>75</v>
      </c>
      <c r="D82" s="33" t="str">
        <f t="shared" si="39"/>
        <v>Факультет физико-математических и естественных наук</v>
      </c>
      <c r="E82" s="34" t="str">
        <f t="shared" si="40"/>
        <v>'09.03.03</v>
      </c>
      <c r="F82" s="35" t="str">
        <f t="shared" si="41"/>
        <v>Прикладная информатика</v>
      </c>
      <c r="G82" s="36" t="s">
        <v>76</v>
      </c>
      <c r="H82" s="36" t="s">
        <v>77</v>
      </c>
      <c r="I82" s="37" t="s">
        <v>90</v>
      </c>
      <c r="J82" s="37"/>
      <c r="K82" s="38" t="s">
        <v>131</v>
      </c>
      <c r="L82" s="39">
        <v>5</v>
      </c>
      <c r="M82" s="39">
        <v>18</v>
      </c>
      <c r="N82" s="40" t="s">
        <v>94</v>
      </c>
      <c r="O82" s="39"/>
      <c r="P82" s="39">
        <v>2</v>
      </c>
      <c r="Q82" s="39"/>
      <c r="R82" s="40"/>
      <c r="S82" s="41"/>
      <c r="T82" s="41"/>
      <c r="U82" s="41"/>
      <c r="V82" s="41"/>
      <c r="W82" s="41"/>
      <c r="X82" s="42" t="str">
        <f t="shared" si="42"/>
        <v>НПИбд</v>
      </c>
      <c r="Y82" s="43" t="s">
        <v>130</v>
      </c>
      <c r="Z82" s="39"/>
      <c r="AA82" s="39"/>
      <c r="AB82" s="42">
        <f t="shared" si="43"/>
        <v>0</v>
      </c>
      <c r="AC82" s="39"/>
      <c r="AD82" s="39"/>
      <c r="AE82" s="44">
        <f t="shared" si="44"/>
        <v>12</v>
      </c>
      <c r="AF82" s="45">
        <f t="shared" si="45"/>
        <v>0</v>
      </c>
      <c r="AG82" s="45">
        <f t="shared" si="46"/>
        <v>0</v>
      </c>
      <c r="AH82" s="46" t="s">
        <v>82</v>
      </c>
      <c r="AI82" s="40" t="s">
        <v>99</v>
      </c>
      <c r="AJ82" s="40" t="s">
        <v>84</v>
      </c>
      <c r="AK82" s="47" t="s">
        <v>109</v>
      </c>
      <c r="AL82" s="40"/>
      <c r="AM82" s="48">
        <f t="shared" si="47"/>
        <v>0</v>
      </c>
      <c r="AN82" s="48">
        <f t="shared" si="48"/>
        <v>0</v>
      </c>
      <c r="AO82" s="48">
        <f t="shared" si="49"/>
        <v>0</v>
      </c>
      <c r="AP82" s="48">
        <f t="shared" si="50"/>
        <v>0</v>
      </c>
      <c r="AQ82" s="48">
        <f t="shared" si="51"/>
        <v>0</v>
      </c>
      <c r="AR82" s="48">
        <f t="shared" si="52"/>
        <v>0</v>
      </c>
      <c r="AS82" s="48">
        <f t="shared" si="53"/>
        <v>0</v>
      </c>
      <c r="AT82" s="48">
        <f t="shared" si="54"/>
        <v>0</v>
      </c>
      <c r="AU82" s="48">
        <f t="shared" si="55"/>
        <v>0</v>
      </c>
      <c r="AV82" s="48">
        <f t="shared" si="56"/>
        <v>0</v>
      </c>
      <c r="AW82" s="48">
        <f>IF(N82="ПП",РПП*AB82*(V82/1.5),IF(N82="ВП",ВПр*AB82*(V82/1.5),IF(N82="РПА",РПА*AB82*(V82/1.5),IF(N82="КПА",кпа*AB82*(V82/1.5),0))))</f>
        <v>0</v>
      </c>
      <c r="AX82" s="48">
        <f t="shared" si="57"/>
        <v>0</v>
      </c>
      <c r="AY82" s="48">
        <f t="shared" si="58"/>
        <v>0</v>
      </c>
      <c r="AZ82" s="48">
        <f t="shared" si="59"/>
        <v>0</v>
      </c>
      <c r="BA82" s="48">
        <f t="shared" si="60"/>
        <v>0</v>
      </c>
      <c r="BB82" s="48">
        <f t="shared" si="61"/>
        <v>0</v>
      </c>
      <c r="BC82" s="48">
        <f t="shared" si="62"/>
        <v>0</v>
      </c>
      <c r="BD82" s="48">
        <f t="shared" si="63"/>
        <v>0</v>
      </c>
      <c r="BE82" s="48">
        <f t="shared" si="64"/>
        <v>0</v>
      </c>
      <c r="BF82" s="49">
        <f t="shared" si="65"/>
        <v>0</v>
      </c>
      <c r="BG82" s="50"/>
      <c r="BH82" s="51">
        <f t="shared" si="66"/>
        <v>0</v>
      </c>
      <c r="BI82" s="51">
        <f t="shared" si="67"/>
        <v>0</v>
      </c>
      <c r="BJ82" s="51">
        <f t="shared" si="68"/>
        <v>0</v>
      </c>
      <c r="BK82" s="52">
        <f t="shared" si="69"/>
        <v>0</v>
      </c>
      <c r="BL82" s="52">
        <f t="shared" si="70"/>
        <v>0</v>
      </c>
      <c r="BM82" s="52">
        <f t="shared" si="71"/>
        <v>0</v>
      </c>
    </row>
    <row r="83" spans="1:65" ht="30" customHeight="1" x14ac:dyDescent="0.25">
      <c r="A83" s="31" t="str">
        <f t="shared" si="37"/>
        <v>Д</v>
      </c>
      <c r="B83" s="31" t="str">
        <f t="shared" si="38"/>
        <v>Б</v>
      </c>
      <c r="C83" s="32" t="s">
        <v>75</v>
      </c>
      <c r="D83" s="33" t="str">
        <f t="shared" si="39"/>
        <v>Факультет физико-математических и естественных наук</v>
      </c>
      <c r="E83" s="34" t="str">
        <f t="shared" si="40"/>
        <v>'09.03.03</v>
      </c>
      <c r="F83" s="35" t="str">
        <f t="shared" si="41"/>
        <v>Прикладная информатика</v>
      </c>
      <c r="G83" s="36" t="s">
        <v>76</v>
      </c>
      <c r="H83" s="36" t="s">
        <v>77</v>
      </c>
      <c r="I83" s="37" t="s">
        <v>90</v>
      </c>
      <c r="J83" s="37"/>
      <c r="K83" s="38" t="s">
        <v>132</v>
      </c>
      <c r="L83" s="39">
        <v>5</v>
      </c>
      <c r="M83" s="39">
        <v>18</v>
      </c>
      <c r="N83" s="40" t="s">
        <v>79</v>
      </c>
      <c r="O83" s="39">
        <v>1</v>
      </c>
      <c r="P83" s="39"/>
      <c r="Q83" s="39"/>
      <c r="R83" s="40" t="s">
        <v>80</v>
      </c>
      <c r="S83" s="41"/>
      <c r="T83" s="41"/>
      <c r="U83" s="41"/>
      <c r="V83" s="41"/>
      <c r="W83" s="41"/>
      <c r="X83" s="42" t="str">
        <f t="shared" si="42"/>
        <v>НПИбд</v>
      </c>
      <c r="Y83" s="39" t="s">
        <v>126</v>
      </c>
      <c r="Z83" s="39">
        <v>4</v>
      </c>
      <c r="AA83" s="39">
        <v>2</v>
      </c>
      <c r="AB83" s="42">
        <f t="shared" si="43"/>
        <v>61</v>
      </c>
      <c r="AC83" s="39">
        <v>50</v>
      </c>
      <c r="AD83" s="39">
        <v>11</v>
      </c>
      <c r="AE83" s="44">
        <f t="shared" si="44"/>
        <v>61</v>
      </c>
      <c r="AF83" s="45">
        <f t="shared" si="45"/>
        <v>1</v>
      </c>
      <c r="AG83" s="45">
        <f t="shared" si="46"/>
        <v>1</v>
      </c>
      <c r="AH83" s="46" t="s">
        <v>82</v>
      </c>
      <c r="AI83" s="40" t="s">
        <v>83</v>
      </c>
      <c r="AJ83" s="40" t="s">
        <v>84</v>
      </c>
      <c r="AK83" s="55" t="s">
        <v>104</v>
      </c>
      <c r="AL83" s="40"/>
      <c r="AM83" s="48">
        <f t="shared" si="47"/>
        <v>18</v>
      </c>
      <c r="AN83" s="48">
        <f t="shared" si="48"/>
        <v>0</v>
      </c>
      <c r="AO83" s="48">
        <f t="shared" si="49"/>
        <v>0</v>
      </c>
      <c r="AP83" s="48">
        <f t="shared" si="50"/>
        <v>20.130000000000003</v>
      </c>
      <c r="AQ83" s="48">
        <f t="shared" si="51"/>
        <v>30.5</v>
      </c>
      <c r="AR83" s="48">
        <f t="shared" si="52"/>
        <v>2</v>
      </c>
      <c r="AS83" s="48">
        <f t="shared" si="53"/>
        <v>1.8</v>
      </c>
      <c r="AT83" s="48">
        <f t="shared" si="54"/>
        <v>0</v>
      </c>
      <c r="AU83" s="48">
        <f t="shared" si="55"/>
        <v>0</v>
      </c>
      <c r="AV83" s="48">
        <f t="shared" si="56"/>
        <v>0</v>
      </c>
      <c r="AW83" s="48">
        <f>IF(N83="ПП",РПП*AB83*(V83/1.5),IF(N83="ВП",ВПр*AB83*(V83/1.5),IF(N83="РПА",РПА*AB83*(V83/1.5),IF(N83="КПА",кпа*AB83*(V83/1.5),0))))</f>
        <v>0</v>
      </c>
      <c r="AX83" s="48">
        <f t="shared" si="57"/>
        <v>0</v>
      </c>
      <c r="AY83" s="48">
        <f t="shared" si="58"/>
        <v>0</v>
      </c>
      <c r="AZ83" s="48">
        <f t="shared" si="59"/>
        <v>0</v>
      </c>
      <c r="BA83" s="48">
        <f t="shared" si="60"/>
        <v>0</v>
      </c>
      <c r="BB83" s="48">
        <f t="shared" si="61"/>
        <v>0</v>
      </c>
      <c r="BC83" s="48">
        <f t="shared" si="62"/>
        <v>0</v>
      </c>
      <c r="BD83" s="48">
        <f t="shared" si="63"/>
        <v>0</v>
      </c>
      <c r="BE83" s="48">
        <f t="shared" si="64"/>
        <v>0</v>
      </c>
      <c r="BF83" s="49">
        <f t="shared" si="65"/>
        <v>72.429999999999993</v>
      </c>
      <c r="BG83" s="50"/>
      <c r="BH83" s="51">
        <f t="shared" si="66"/>
        <v>18</v>
      </c>
      <c r="BI83" s="51">
        <f t="shared" si="67"/>
        <v>0.5</v>
      </c>
      <c r="BJ83" s="51">
        <f t="shared" si="68"/>
        <v>54.43</v>
      </c>
      <c r="BK83" s="52">
        <f t="shared" si="69"/>
        <v>0</v>
      </c>
      <c r="BL83" s="52">
        <f t="shared" si="70"/>
        <v>0</v>
      </c>
      <c r="BM83" s="52">
        <f t="shared" si="71"/>
        <v>0</v>
      </c>
    </row>
    <row r="84" spans="1:65" ht="30" customHeight="1" x14ac:dyDescent="0.25">
      <c r="A84" s="31" t="str">
        <f t="shared" si="37"/>
        <v>Д</v>
      </c>
      <c r="B84" s="31" t="str">
        <f t="shared" si="38"/>
        <v>Б</v>
      </c>
      <c r="C84" s="32" t="s">
        <v>75</v>
      </c>
      <c r="D84" s="33" t="str">
        <f t="shared" si="39"/>
        <v>Факультет физико-математических и естественных наук</v>
      </c>
      <c r="E84" s="34" t="str">
        <f t="shared" si="40"/>
        <v>'09.03.03</v>
      </c>
      <c r="F84" s="35" t="str">
        <f t="shared" si="41"/>
        <v>Прикладная информатика</v>
      </c>
      <c r="G84" s="36" t="s">
        <v>76</v>
      </c>
      <c r="H84" s="36" t="s">
        <v>77</v>
      </c>
      <c r="I84" s="37" t="s">
        <v>90</v>
      </c>
      <c r="J84" s="37"/>
      <c r="K84" s="38" t="s">
        <v>132</v>
      </c>
      <c r="L84" s="39">
        <v>5</v>
      </c>
      <c r="M84" s="39">
        <v>18</v>
      </c>
      <c r="N84" s="40" t="s">
        <v>94</v>
      </c>
      <c r="O84" s="39"/>
      <c r="P84" s="39">
        <v>2</v>
      </c>
      <c r="Q84" s="39"/>
      <c r="R84" s="40"/>
      <c r="S84" s="41"/>
      <c r="T84" s="41"/>
      <c r="U84" s="41"/>
      <c r="V84" s="41"/>
      <c r="W84" s="41"/>
      <c r="X84" s="42" t="str">
        <f t="shared" si="42"/>
        <v>НПИбд</v>
      </c>
      <c r="Y84" s="39" t="s">
        <v>128</v>
      </c>
      <c r="Z84" s="39">
        <v>1</v>
      </c>
      <c r="AA84" s="39">
        <v>1</v>
      </c>
      <c r="AB84" s="42">
        <f t="shared" si="43"/>
        <v>31</v>
      </c>
      <c r="AC84" s="39">
        <v>25</v>
      </c>
      <c r="AD84" s="39">
        <v>6</v>
      </c>
      <c r="AE84" s="44">
        <f t="shared" si="44"/>
        <v>12</v>
      </c>
      <c r="AF84" s="45">
        <f t="shared" si="45"/>
        <v>1</v>
      </c>
      <c r="AG84" s="45">
        <f t="shared" si="46"/>
        <v>2.5833333333333335</v>
      </c>
      <c r="AH84" s="46" t="s">
        <v>82</v>
      </c>
      <c r="AI84" s="40" t="s">
        <v>83</v>
      </c>
      <c r="AJ84" s="40" t="s">
        <v>84</v>
      </c>
      <c r="AK84" s="55" t="s">
        <v>104</v>
      </c>
      <c r="AL84" s="40"/>
      <c r="AM84" s="48">
        <f t="shared" si="47"/>
        <v>0</v>
      </c>
      <c r="AN84" s="48">
        <f t="shared" si="48"/>
        <v>0</v>
      </c>
      <c r="AO84" s="48">
        <f t="shared" si="49"/>
        <v>36</v>
      </c>
      <c r="AP84" s="48">
        <f t="shared" si="50"/>
        <v>0</v>
      </c>
      <c r="AQ84" s="48">
        <f t="shared" si="51"/>
        <v>0</v>
      </c>
      <c r="AR84" s="48">
        <f t="shared" si="52"/>
        <v>0</v>
      </c>
      <c r="AS84" s="48">
        <f t="shared" si="53"/>
        <v>0</v>
      </c>
      <c r="AT84" s="48">
        <f t="shared" si="54"/>
        <v>0</v>
      </c>
      <c r="AU84" s="48">
        <f t="shared" si="55"/>
        <v>0</v>
      </c>
      <c r="AV84" s="48">
        <f t="shared" si="56"/>
        <v>0</v>
      </c>
      <c r="AW84" s="48">
        <f>IF(N84="ПП",РПП*AB84*(V84/1.5),IF(N84="ВП",ВПр*AB84*(V84/1.5),IF(N84="РПА",РПА*AB84*(V84/1.5),IF(N84="КПА",кпа*AB84*(V84/1.5),0))))</f>
        <v>0</v>
      </c>
      <c r="AX84" s="48">
        <f t="shared" si="57"/>
        <v>0</v>
      </c>
      <c r="AY84" s="48">
        <f t="shared" si="58"/>
        <v>0</v>
      </c>
      <c r="AZ84" s="48">
        <f t="shared" si="59"/>
        <v>0</v>
      </c>
      <c r="BA84" s="48">
        <f t="shared" si="60"/>
        <v>0</v>
      </c>
      <c r="BB84" s="48">
        <f t="shared" si="61"/>
        <v>0</v>
      </c>
      <c r="BC84" s="48">
        <f t="shared" si="62"/>
        <v>0</v>
      </c>
      <c r="BD84" s="48">
        <f t="shared" si="63"/>
        <v>0</v>
      </c>
      <c r="BE84" s="48">
        <f t="shared" si="64"/>
        <v>0</v>
      </c>
      <c r="BF84" s="49">
        <f t="shared" si="65"/>
        <v>36</v>
      </c>
      <c r="BG84" s="50"/>
      <c r="BH84" s="51">
        <f t="shared" si="66"/>
        <v>36</v>
      </c>
      <c r="BI84" s="51">
        <f t="shared" si="67"/>
        <v>1</v>
      </c>
      <c r="BJ84" s="51">
        <f t="shared" si="68"/>
        <v>0</v>
      </c>
      <c r="BK84" s="52">
        <f t="shared" si="69"/>
        <v>0</v>
      </c>
      <c r="BL84" s="52">
        <f t="shared" si="70"/>
        <v>0</v>
      </c>
      <c r="BM84" s="52">
        <f t="shared" si="71"/>
        <v>0</v>
      </c>
    </row>
    <row r="85" spans="1:65" ht="30" customHeight="1" x14ac:dyDescent="0.25">
      <c r="A85" s="31" t="str">
        <f t="shared" si="37"/>
        <v>Д</v>
      </c>
      <c r="B85" s="31" t="str">
        <f t="shared" si="38"/>
        <v>Б</v>
      </c>
      <c r="C85" s="32" t="s">
        <v>75</v>
      </c>
      <c r="D85" s="33" t="str">
        <f t="shared" si="39"/>
        <v>Факультет физико-математических и естественных наук</v>
      </c>
      <c r="E85" s="34" t="str">
        <f t="shared" si="40"/>
        <v>'09.03.03</v>
      </c>
      <c r="F85" s="35" t="str">
        <f t="shared" si="41"/>
        <v>Прикладная информатика</v>
      </c>
      <c r="G85" s="36" t="s">
        <v>76</v>
      </c>
      <c r="H85" s="36" t="s">
        <v>77</v>
      </c>
      <c r="I85" s="37" t="s">
        <v>90</v>
      </c>
      <c r="J85" s="37"/>
      <c r="K85" s="38" t="s">
        <v>132</v>
      </c>
      <c r="L85" s="39">
        <v>5</v>
      </c>
      <c r="M85" s="39">
        <v>18</v>
      </c>
      <c r="N85" s="40" t="s">
        <v>94</v>
      </c>
      <c r="O85" s="39"/>
      <c r="P85" s="39">
        <v>2</v>
      </c>
      <c r="Q85" s="39"/>
      <c r="R85" s="40"/>
      <c r="S85" s="41"/>
      <c r="T85" s="41"/>
      <c r="U85" s="41"/>
      <c r="V85" s="41"/>
      <c r="W85" s="41"/>
      <c r="X85" s="42" t="str">
        <f t="shared" si="42"/>
        <v>НПИбд</v>
      </c>
      <c r="Y85" s="39" t="s">
        <v>128</v>
      </c>
      <c r="Z85" s="39">
        <v>1</v>
      </c>
      <c r="AA85" s="39">
        <v>1</v>
      </c>
      <c r="AB85" s="42">
        <f t="shared" si="43"/>
        <v>0</v>
      </c>
      <c r="AC85" s="39"/>
      <c r="AD85" s="39"/>
      <c r="AE85" s="44">
        <f t="shared" si="44"/>
        <v>12</v>
      </c>
      <c r="AF85" s="45">
        <f t="shared" si="45"/>
        <v>0</v>
      </c>
      <c r="AG85" s="45">
        <f t="shared" si="46"/>
        <v>0</v>
      </c>
      <c r="AH85" s="46" t="s">
        <v>82</v>
      </c>
      <c r="AI85" s="40" t="s">
        <v>83</v>
      </c>
      <c r="AJ85" s="40" t="s">
        <v>84</v>
      </c>
      <c r="AK85" s="55" t="s">
        <v>104</v>
      </c>
      <c r="AL85" s="40"/>
      <c r="AM85" s="48">
        <f t="shared" si="47"/>
        <v>0</v>
      </c>
      <c r="AN85" s="48">
        <f t="shared" si="48"/>
        <v>0</v>
      </c>
      <c r="AO85" s="48">
        <f t="shared" si="49"/>
        <v>0</v>
      </c>
      <c r="AP85" s="48">
        <f t="shared" si="50"/>
        <v>0</v>
      </c>
      <c r="AQ85" s="48">
        <f t="shared" si="51"/>
        <v>0</v>
      </c>
      <c r="AR85" s="48">
        <f t="shared" si="52"/>
        <v>0</v>
      </c>
      <c r="AS85" s="48">
        <f t="shared" si="53"/>
        <v>0</v>
      </c>
      <c r="AT85" s="48">
        <f t="shared" si="54"/>
        <v>0</v>
      </c>
      <c r="AU85" s="48">
        <f t="shared" si="55"/>
        <v>0</v>
      </c>
      <c r="AV85" s="48">
        <f t="shared" si="56"/>
        <v>0</v>
      </c>
      <c r="AW85" s="48">
        <f>IF(N85="ПП",РПП*AB85*(V85/1.5),IF(N85="ВП",ВПр*AB85*(V85/1.5),IF(N85="РПА",РПА*AB85*(V85/1.5),IF(N85="КПА",кпа*AB85*(V85/1.5),0))))</f>
        <v>0</v>
      </c>
      <c r="AX85" s="48">
        <f t="shared" si="57"/>
        <v>0</v>
      </c>
      <c r="AY85" s="48">
        <f t="shared" si="58"/>
        <v>0</v>
      </c>
      <c r="AZ85" s="48">
        <f t="shared" si="59"/>
        <v>0</v>
      </c>
      <c r="BA85" s="48">
        <f t="shared" si="60"/>
        <v>0</v>
      </c>
      <c r="BB85" s="48">
        <f t="shared" si="61"/>
        <v>0</v>
      </c>
      <c r="BC85" s="48">
        <f t="shared" si="62"/>
        <v>0</v>
      </c>
      <c r="BD85" s="48">
        <f t="shared" si="63"/>
        <v>0</v>
      </c>
      <c r="BE85" s="48">
        <f t="shared" si="64"/>
        <v>0</v>
      </c>
      <c r="BF85" s="49">
        <f t="shared" si="65"/>
        <v>0</v>
      </c>
      <c r="BG85" s="50"/>
      <c r="BH85" s="51">
        <f t="shared" si="66"/>
        <v>0</v>
      </c>
      <c r="BI85" s="51">
        <f t="shared" si="67"/>
        <v>0</v>
      </c>
      <c r="BJ85" s="51">
        <f t="shared" si="68"/>
        <v>0</v>
      </c>
      <c r="BK85" s="52">
        <f t="shared" si="69"/>
        <v>0</v>
      </c>
      <c r="BL85" s="52">
        <f t="shared" si="70"/>
        <v>0</v>
      </c>
      <c r="BM85" s="52">
        <f t="shared" si="71"/>
        <v>0</v>
      </c>
    </row>
    <row r="86" spans="1:65" ht="30" customHeight="1" x14ac:dyDescent="0.25">
      <c r="A86" s="31" t="str">
        <f t="shared" si="37"/>
        <v>Д</v>
      </c>
      <c r="B86" s="31" t="str">
        <f t="shared" si="38"/>
        <v>Б</v>
      </c>
      <c r="C86" s="32" t="s">
        <v>75</v>
      </c>
      <c r="D86" s="33" t="str">
        <f t="shared" si="39"/>
        <v>Факультет физико-математических и естественных наук</v>
      </c>
      <c r="E86" s="34" t="str">
        <f t="shared" si="40"/>
        <v>'09.03.03</v>
      </c>
      <c r="F86" s="35" t="str">
        <f t="shared" si="41"/>
        <v>Прикладная информатика</v>
      </c>
      <c r="G86" s="36" t="s">
        <v>76</v>
      </c>
      <c r="H86" s="36" t="s">
        <v>77</v>
      </c>
      <c r="I86" s="37" t="s">
        <v>90</v>
      </c>
      <c r="J86" s="37"/>
      <c r="K86" s="38" t="s">
        <v>132</v>
      </c>
      <c r="L86" s="39">
        <v>5</v>
      </c>
      <c r="M86" s="39">
        <v>18</v>
      </c>
      <c r="N86" s="40" t="s">
        <v>94</v>
      </c>
      <c r="O86" s="39"/>
      <c r="P86" s="39">
        <v>2</v>
      </c>
      <c r="Q86" s="39"/>
      <c r="R86" s="40"/>
      <c r="S86" s="41"/>
      <c r="T86" s="41"/>
      <c r="U86" s="41"/>
      <c r="V86" s="41"/>
      <c r="W86" s="41"/>
      <c r="X86" s="42" t="str">
        <f t="shared" si="42"/>
        <v>НПИбд</v>
      </c>
      <c r="Y86" s="39" t="s">
        <v>129</v>
      </c>
      <c r="Z86" s="39">
        <v>1</v>
      </c>
      <c r="AA86" s="39">
        <v>1</v>
      </c>
      <c r="AB86" s="42">
        <f t="shared" si="43"/>
        <v>30</v>
      </c>
      <c r="AC86" s="39">
        <v>25</v>
      </c>
      <c r="AD86" s="39">
        <v>5</v>
      </c>
      <c r="AE86" s="44">
        <f t="shared" si="44"/>
        <v>12</v>
      </c>
      <c r="AF86" s="45">
        <f t="shared" si="45"/>
        <v>1</v>
      </c>
      <c r="AG86" s="45">
        <f t="shared" si="46"/>
        <v>2.5</v>
      </c>
      <c r="AH86" s="46" t="s">
        <v>82</v>
      </c>
      <c r="AI86" s="40" t="s">
        <v>99</v>
      </c>
      <c r="AJ86" s="40" t="s">
        <v>116</v>
      </c>
      <c r="AK86" s="47" t="s">
        <v>123</v>
      </c>
      <c r="AL86" s="40"/>
      <c r="AM86" s="48">
        <f t="shared" si="47"/>
        <v>0</v>
      </c>
      <c r="AN86" s="48">
        <f t="shared" si="48"/>
        <v>0</v>
      </c>
      <c r="AO86" s="48">
        <f t="shared" si="49"/>
        <v>36</v>
      </c>
      <c r="AP86" s="48">
        <f t="shared" si="50"/>
        <v>0</v>
      </c>
      <c r="AQ86" s="48">
        <f t="shared" si="51"/>
        <v>0</v>
      </c>
      <c r="AR86" s="48">
        <f t="shared" si="52"/>
        <v>0</v>
      </c>
      <c r="AS86" s="48">
        <f t="shared" si="53"/>
        <v>0</v>
      </c>
      <c r="AT86" s="48">
        <f t="shared" si="54"/>
        <v>0</v>
      </c>
      <c r="AU86" s="48">
        <f t="shared" si="55"/>
        <v>0</v>
      </c>
      <c r="AV86" s="48">
        <f t="shared" si="56"/>
        <v>0</v>
      </c>
      <c r="AW86" s="48">
        <f>IF(N86="ПП",РПП*AB86*(V86/1.5),IF(N86="ВП",ВПр*AB86*(V86/1.5),IF(N86="РПА",РПА*AB86*(V86/1.5),IF(N86="КПА",кпа*AB86*(V86/1.5),0))))</f>
        <v>0</v>
      </c>
      <c r="AX86" s="48">
        <f t="shared" si="57"/>
        <v>0</v>
      </c>
      <c r="AY86" s="48">
        <f t="shared" si="58"/>
        <v>0</v>
      </c>
      <c r="AZ86" s="48">
        <f t="shared" si="59"/>
        <v>0</v>
      </c>
      <c r="BA86" s="48">
        <f t="shared" si="60"/>
        <v>0</v>
      </c>
      <c r="BB86" s="48">
        <f t="shared" si="61"/>
        <v>0</v>
      </c>
      <c r="BC86" s="48">
        <f t="shared" si="62"/>
        <v>0</v>
      </c>
      <c r="BD86" s="48">
        <f t="shared" si="63"/>
        <v>0</v>
      </c>
      <c r="BE86" s="48">
        <f t="shared" si="64"/>
        <v>0</v>
      </c>
      <c r="BF86" s="49">
        <f t="shared" si="65"/>
        <v>36</v>
      </c>
      <c r="BG86" s="50"/>
      <c r="BH86" s="51">
        <f t="shared" si="66"/>
        <v>36</v>
      </c>
      <c r="BI86" s="51">
        <f t="shared" si="67"/>
        <v>1</v>
      </c>
      <c r="BJ86" s="51">
        <f t="shared" si="68"/>
        <v>0</v>
      </c>
      <c r="BK86" s="52">
        <f t="shared" si="69"/>
        <v>0</v>
      </c>
      <c r="BL86" s="52">
        <f t="shared" si="70"/>
        <v>0</v>
      </c>
      <c r="BM86" s="52">
        <f t="shared" si="71"/>
        <v>0</v>
      </c>
    </row>
    <row r="87" spans="1:65" ht="30" customHeight="1" x14ac:dyDescent="0.25">
      <c r="A87" s="31" t="str">
        <f t="shared" si="37"/>
        <v>Д</v>
      </c>
      <c r="B87" s="31" t="str">
        <f t="shared" si="38"/>
        <v>Б</v>
      </c>
      <c r="C87" s="32" t="s">
        <v>75</v>
      </c>
      <c r="D87" s="33" t="str">
        <f t="shared" si="39"/>
        <v>Факультет физико-математических и естественных наук</v>
      </c>
      <c r="E87" s="34" t="str">
        <f t="shared" si="40"/>
        <v>'09.03.03</v>
      </c>
      <c r="F87" s="35" t="str">
        <f t="shared" si="41"/>
        <v>Прикладная информатика</v>
      </c>
      <c r="G87" s="36" t="s">
        <v>76</v>
      </c>
      <c r="H87" s="36" t="s">
        <v>77</v>
      </c>
      <c r="I87" s="37" t="s">
        <v>90</v>
      </c>
      <c r="J87" s="37"/>
      <c r="K87" s="38" t="s">
        <v>132</v>
      </c>
      <c r="L87" s="39">
        <v>5</v>
      </c>
      <c r="M87" s="39">
        <v>18</v>
      </c>
      <c r="N87" s="40" t="s">
        <v>94</v>
      </c>
      <c r="O87" s="39"/>
      <c r="P87" s="39">
        <v>2</v>
      </c>
      <c r="Q87" s="39"/>
      <c r="R87" s="40"/>
      <c r="S87" s="41"/>
      <c r="T87" s="41"/>
      <c r="U87" s="41"/>
      <c r="V87" s="41"/>
      <c r="W87" s="41"/>
      <c r="X87" s="42" t="str">
        <f t="shared" si="42"/>
        <v>НПИбд</v>
      </c>
      <c r="Y87" s="43" t="s">
        <v>129</v>
      </c>
      <c r="Z87" s="39">
        <v>1</v>
      </c>
      <c r="AA87" s="39">
        <v>1</v>
      </c>
      <c r="AB87" s="42">
        <f t="shared" si="43"/>
        <v>0</v>
      </c>
      <c r="AC87" s="39"/>
      <c r="AD87" s="39"/>
      <c r="AE87" s="44">
        <f t="shared" si="44"/>
        <v>12</v>
      </c>
      <c r="AF87" s="45">
        <f t="shared" si="45"/>
        <v>0</v>
      </c>
      <c r="AG87" s="45">
        <f t="shared" si="46"/>
        <v>0</v>
      </c>
      <c r="AH87" s="46" t="s">
        <v>82</v>
      </c>
      <c r="AI87" s="40" t="s">
        <v>99</v>
      </c>
      <c r="AJ87" s="40" t="s">
        <v>116</v>
      </c>
      <c r="AK87" s="47" t="s">
        <v>123</v>
      </c>
      <c r="AL87" s="40"/>
      <c r="AM87" s="48">
        <f t="shared" si="47"/>
        <v>0</v>
      </c>
      <c r="AN87" s="48">
        <f t="shared" si="48"/>
        <v>0</v>
      </c>
      <c r="AO87" s="48">
        <f t="shared" si="49"/>
        <v>0</v>
      </c>
      <c r="AP87" s="48">
        <f t="shared" si="50"/>
        <v>0</v>
      </c>
      <c r="AQ87" s="48">
        <f t="shared" si="51"/>
        <v>0</v>
      </c>
      <c r="AR87" s="48">
        <f t="shared" si="52"/>
        <v>0</v>
      </c>
      <c r="AS87" s="48">
        <f t="shared" si="53"/>
        <v>0</v>
      </c>
      <c r="AT87" s="48">
        <f t="shared" si="54"/>
        <v>0</v>
      </c>
      <c r="AU87" s="48">
        <f t="shared" si="55"/>
        <v>0</v>
      </c>
      <c r="AV87" s="48">
        <f t="shared" si="56"/>
        <v>0</v>
      </c>
      <c r="AW87" s="48">
        <f>IF(N87="ПП",РПП*AB87*(V87/1.5),IF(N87="ВП",ВПр*AB87*(V87/1.5),IF(N87="РПА",РПА*AB87*(V87/1.5),IF(N87="КПА",кпа*AB87*(V87/1.5),0))))</f>
        <v>0</v>
      </c>
      <c r="AX87" s="48">
        <f t="shared" si="57"/>
        <v>0</v>
      </c>
      <c r="AY87" s="48">
        <f t="shared" si="58"/>
        <v>0</v>
      </c>
      <c r="AZ87" s="48">
        <f t="shared" si="59"/>
        <v>0</v>
      </c>
      <c r="BA87" s="48">
        <f t="shared" si="60"/>
        <v>0</v>
      </c>
      <c r="BB87" s="48">
        <f t="shared" si="61"/>
        <v>0</v>
      </c>
      <c r="BC87" s="48">
        <f t="shared" si="62"/>
        <v>0</v>
      </c>
      <c r="BD87" s="48">
        <f t="shared" si="63"/>
        <v>0</v>
      </c>
      <c r="BE87" s="48">
        <f t="shared" si="64"/>
        <v>0</v>
      </c>
      <c r="BF87" s="49">
        <f t="shared" si="65"/>
        <v>0</v>
      </c>
      <c r="BG87" s="50"/>
      <c r="BH87" s="51">
        <f t="shared" si="66"/>
        <v>0</v>
      </c>
      <c r="BI87" s="51">
        <f t="shared" si="67"/>
        <v>0</v>
      </c>
      <c r="BJ87" s="51">
        <f t="shared" si="68"/>
        <v>0</v>
      </c>
      <c r="BK87" s="52">
        <f t="shared" si="69"/>
        <v>0</v>
      </c>
      <c r="BL87" s="52">
        <f t="shared" si="70"/>
        <v>0</v>
      </c>
      <c r="BM87" s="52">
        <f t="shared" si="71"/>
        <v>0</v>
      </c>
    </row>
    <row r="88" spans="1:65" ht="30" customHeight="1" x14ac:dyDescent="0.25">
      <c r="A88" s="31" t="str">
        <f t="shared" si="37"/>
        <v>Д</v>
      </c>
      <c r="B88" s="31" t="str">
        <f t="shared" si="38"/>
        <v>Б</v>
      </c>
      <c r="C88" s="32" t="s">
        <v>75</v>
      </c>
      <c r="D88" s="33" t="str">
        <f t="shared" si="39"/>
        <v>Факультет физико-математических и естественных наук</v>
      </c>
      <c r="E88" s="34" t="str">
        <f t="shared" si="40"/>
        <v>'09.03.03</v>
      </c>
      <c r="F88" s="35" t="str">
        <f t="shared" si="41"/>
        <v>Прикладная информатика</v>
      </c>
      <c r="G88" s="36" t="s">
        <v>76</v>
      </c>
      <c r="H88" s="36" t="s">
        <v>77</v>
      </c>
      <c r="I88" s="37" t="s">
        <v>90</v>
      </c>
      <c r="J88" s="37"/>
      <c r="K88" s="38" t="s">
        <v>132</v>
      </c>
      <c r="L88" s="39">
        <v>5</v>
      </c>
      <c r="M88" s="39">
        <v>18</v>
      </c>
      <c r="N88" s="40" t="s">
        <v>94</v>
      </c>
      <c r="O88" s="39"/>
      <c r="P88" s="39">
        <v>2</v>
      </c>
      <c r="Q88" s="39"/>
      <c r="R88" s="40"/>
      <c r="S88" s="41"/>
      <c r="T88" s="41"/>
      <c r="U88" s="41"/>
      <c r="V88" s="41"/>
      <c r="W88" s="41"/>
      <c r="X88" s="42" t="str">
        <f t="shared" si="42"/>
        <v>НПИбд</v>
      </c>
      <c r="Y88" s="43" t="s">
        <v>130</v>
      </c>
      <c r="Z88" s="39"/>
      <c r="AA88" s="39"/>
      <c r="AB88" s="42">
        <f t="shared" si="43"/>
        <v>0</v>
      </c>
      <c r="AC88" s="39"/>
      <c r="AD88" s="39"/>
      <c r="AE88" s="44">
        <f t="shared" si="44"/>
        <v>12</v>
      </c>
      <c r="AF88" s="45">
        <f t="shared" si="45"/>
        <v>0</v>
      </c>
      <c r="AG88" s="45">
        <f t="shared" si="46"/>
        <v>0</v>
      </c>
      <c r="AH88" s="46" t="s">
        <v>82</v>
      </c>
      <c r="AI88" s="40" t="s">
        <v>99</v>
      </c>
      <c r="AJ88" s="40" t="s">
        <v>116</v>
      </c>
      <c r="AK88" s="47" t="s">
        <v>123</v>
      </c>
      <c r="AL88" s="40"/>
      <c r="AM88" s="48">
        <f t="shared" si="47"/>
        <v>0</v>
      </c>
      <c r="AN88" s="48">
        <f t="shared" si="48"/>
        <v>0</v>
      </c>
      <c r="AO88" s="48">
        <f t="shared" si="49"/>
        <v>0</v>
      </c>
      <c r="AP88" s="48">
        <f t="shared" si="50"/>
        <v>0</v>
      </c>
      <c r="AQ88" s="48">
        <f t="shared" si="51"/>
        <v>0</v>
      </c>
      <c r="AR88" s="48">
        <f t="shared" si="52"/>
        <v>0</v>
      </c>
      <c r="AS88" s="48">
        <f t="shared" si="53"/>
        <v>0</v>
      </c>
      <c r="AT88" s="48">
        <f t="shared" si="54"/>
        <v>0</v>
      </c>
      <c r="AU88" s="48">
        <f t="shared" si="55"/>
        <v>0</v>
      </c>
      <c r="AV88" s="48">
        <f t="shared" si="56"/>
        <v>0</v>
      </c>
      <c r="AW88" s="48">
        <f>IF(N88="ПП",РПП*AB88*(V88/1.5),IF(N88="ВП",ВПр*AB88*(V88/1.5),IF(N88="РПА",РПА*AB88*(V88/1.5),IF(N88="КПА",кпа*AB88*(V88/1.5),0))))</f>
        <v>0</v>
      </c>
      <c r="AX88" s="48">
        <f t="shared" si="57"/>
        <v>0</v>
      </c>
      <c r="AY88" s="48">
        <f t="shared" si="58"/>
        <v>0</v>
      </c>
      <c r="AZ88" s="48">
        <f t="shared" si="59"/>
        <v>0</v>
      </c>
      <c r="BA88" s="48">
        <f t="shared" si="60"/>
        <v>0</v>
      </c>
      <c r="BB88" s="48">
        <f t="shared" si="61"/>
        <v>0</v>
      </c>
      <c r="BC88" s="48">
        <f t="shared" si="62"/>
        <v>0</v>
      </c>
      <c r="BD88" s="48">
        <f t="shared" si="63"/>
        <v>0</v>
      </c>
      <c r="BE88" s="48">
        <f t="shared" si="64"/>
        <v>0</v>
      </c>
      <c r="BF88" s="49">
        <f t="shared" si="65"/>
        <v>0</v>
      </c>
      <c r="BG88" s="50"/>
      <c r="BH88" s="51">
        <f t="shared" si="66"/>
        <v>0</v>
      </c>
      <c r="BI88" s="51">
        <f t="shared" si="67"/>
        <v>0</v>
      </c>
      <c r="BJ88" s="51">
        <f t="shared" si="68"/>
        <v>0</v>
      </c>
      <c r="BK88" s="52">
        <f t="shared" si="69"/>
        <v>0</v>
      </c>
      <c r="BL88" s="52">
        <f t="shared" si="70"/>
        <v>0</v>
      </c>
      <c r="BM88" s="52">
        <f t="shared" si="71"/>
        <v>0</v>
      </c>
    </row>
    <row r="89" spans="1:65" ht="30" customHeight="1" x14ac:dyDescent="0.25">
      <c r="A89" s="31" t="str">
        <f t="shared" si="37"/>
        <v>Д</v>
      </c>
      <c r="B89" s="31" t="str">
        <f t="shared" si="38"/>
        <v>Б</v>
      </c>
      <c r="C89" s="32" t="s">
        <v>75</v>
      </c>
      <c r="D89" s="33" t="str">
        <f t="shared" si="39"/>
        <v>Факультет физико-математических и естественных наук</v>
      </c>
      <c r="E89" s="34" t="str">
        <f t="shared" si="40"/>
        <v>'09.03.03</v>
      </c>
      <c r="F89" s="35" t="str">
        <f t="shared" si="41"/>
        <v>Прикладная информатика</v>
      </c>
      <c r="G89" s="36" t="s">
        <v>76</v>
      </c>
      <c r="H89" s="36" t="s">
        <v>77</v>
      </c>
      <c r="I89" s="37" t="s">
        <v>90</v>
      </c>
      <c r="J89" s="37"/>
      <c r="K89" s="38" t="s">
        <v>133</v>
      </c>
      <c r="L89" s="39">
        <v>5</v>
      </c>
      <c r="M89" s="39">
        <v>18</v>
      </c>
      <c r="N89" s="40" t="s">
        <v>79</v>
      </c>
      <c r="O89" s="39">
        <v>1</v>
      </c>
      <c r="P89" s="39"/>
      <c r="Q89" s="39"/>
      <c r="R89" s="40" t="s">
        <v>80</v>
      </c>
      <c r="S89" s="41"/>
      <c r="T89" s="41"/>
      <c r="U89" s="41"/>
      <c r="V89" s="41"/>
      <c r="W89" s="41"/>
      <c r="X89" s="42" t="str">
        <f t="shared" si="42"/>
        <v>НПИбд</v>
      </c>
      <c r="Y89" s="39" t="s">
        <v>126</v>
      </c>
      <c r="Z89" s="39">
        <v>4</v>
      </c>
      <c r="AA89" s="39">
        <v>2</v>
      </c>
      <c r="AB89" s="42">
        <f t="shared" si="43"/>
        <v>61</v>
      </c>
      <c r="AC89" s="39">
        <v>50</v>
      </c>
      <c r="AD89" s="39">
        <v>11</v>
      </c>
      <c r="AE89" s="44">
        <f t="shared" si="44"/>
        <v>61</v>
      </c>
      <c r="AF89" s="45">
        <f t="shared" si="45"/>
        <v>1</v>
      </c>
      <c r="AG89" s="45">
        <f t="shared" si="46"/>
        <v>1</v>
      </c>
      <c r="AH89" s="46" t="s">
        <v>82</v>
      </c>
      <c r="AI89" s="40" t="s">
        <v>99</v>
      </c>
      <c r="AJ89" s="40" t="s">
        <v>84</v>
      </c>
      <c r="AK89" s="47" t="s">
        <v>134</v>
      </c>
      <c r="AL89" s="40"/>
      <c r="AM89" s="48">
        <f t="shared" si="47"/>
        <v>18</v>
      </c>
      <c r="AN89" s="48">
        <f t="shared" si="48"/>
        <v>0</v>
      </c>
      <c r="AO89" s="48">
        <f t="shared" si="49"/>
        <v>0</v>
      </c>
      <c r="AP89" s="48">
        <f t="shared" si="50"/>
        <v>20.130000000000003</v>
      </c>
      <c r="AQ89" s="48">
        <f t="shared" si="51"/>
        <v>30.5</v>
      </c>
      <c r="AR89" s="48">
        <f t="shared" si="52"/>
        <v>2</v>
      </c>
      <c r="AS89" s="48">
        <f t="shared" si="53"/>
        <v>1.8</v>
      </c>
      <c r="AT89" s="48">
        <f t="shared" si="54"/>
        <v>0</v>
      </c>
      <c r="AU89" s="48">
        <f t="shared" si="55"/>
        <v>0</v>
      </c>
      <c r="AV89" s="48">
        <f t="shared" si="56"/>
        <v>0</v>
      </c>
      <c r="AW89" s="48">
        <f>IF(N89="ПП",РПП*AB89*(V89/1.5),IF(N89="ВП",ВПр*AB89*(V89/1.5),IF(N89="РПА",РПА*AB89*(V89/1.5),IF(N89="КПА",кпа*AB89*(V89/1.5),0))))</f>
        <v>0</v>
      </c>
      <c r="AX89" s="48">
        <f t="shared" si="57"/>
        <v>0</v>
      </c>
      <c r="AY89" s="48">
        <f t="shared" si="58"/>
        <v>0</v>
      </c>
      <c r="AZ89" s="48">
        <f t="shared" si="59"/>
        <v>0</v>
      </c>
      <c r="BA89" s="48">
        <f t="shared" si="60"/>
        <v>0</v>
      </c>
      <c r="BB89" s="48">
        <f t="shared" si="61"/>
        <v>0</v>
      </c>
      <c r="BC89" s="48">
        <f t="shared" si="62"/>
        <v>0</v>
      </c>
      <c r="BD89" s="48">
        <f t="shared" si="63"/>
        <v>0</v>
      </c>
      <c r="BE89" s="48">
        <f t="shared" si="64"/>
        <v>0</v>
      </c>
      <c r="BF89" s="49">
        <f t="shared" si="65"/>
        <v>72.429999999999993</v>
      </c>
      <c r="BG89" s="50"/>
      <c r="BH89" s="51">
        <f t="shared" si="66"/>
        <v>18</v>
      </c>
      <c r="BI89" s="51">
        <f t="shared" si="67"/>
        <v>0.5</v>
      </c>
      <c r="BJ89" s="51">
        <f t="shared" si="68"/>
        <v>54.43</v>
      </c>
      <c r="BK89" s="52">
        <f t="shared" si="69"/>
        <v>0</v>
      </c>
      <c r="BL89" s="52">
        <f t="shared" si="70"/>
        <v>0</v>
      </c>
      <c r="BM89" s="52">
        <f t="shared" si="71"/>
        <v>0</v>
      </c>
    </row>
    <row r="90" spans="1:65" ht="30" customHeight="1" x14ac:dyDescent="0.25">
      <c r="A90" s="31" t="str">
        <f t="shared" si="37"/>
        <v>Д</v>
      </c>
      <c r="B90" s="31" t="str">
        <f t="shared" si="38"/>
        <v>Б</v>
      </c>
      <c r="C90" s="32" t="s">
        <v>75</v>
      </c>
      <c r="D90" s="33" t="str">
        <f t="shared" si="39"/>
        <v>Факультет физико-математических и естественных наук</v>
      </c>
      <c r="E90" s="34" t="str">
        <f t="shared" si="40"/>
        <v>'09.03.03</v>
      </c>
      <c r="F90" s="35" t="str">
        <f t="shared" si="41"/>
        <v>Прикладная информатика</v>
      </c>
      <c r="G90" s="36" t="s">
        <v>76</v>
      </c>
      <c r="H90" s="36" t="s">
        <v>77</v>
      </c>
      <c r="I90" s="37" t="s">
        <v>90</v>
      </c>
      <c r="J90" s="37"/>
      <c r="K90" s="38" t="s">
        <v>133</v>
      </c>
      <c r="L90" s="39">
        <v>5</v>
      </c>
      <c r="M90" s="39">
        <v>18</v>
      </c>
      <c r="N90" s="40" t="s">
        <v>94</v>
      </c>
      <c r="O90" s="39"/>
      <c r="P90" s="39">
        <v>2</v>
      </c>
      <c r="Q90" s="39"/>
      <c r="R90" s="40"/>
      <c r="S90" s="41"/>
      <c r="T90" s="41"/>
      <c r="U90" s="41"/>
      <c r="V90" s="41"/>
      <c r="W90" s="41"/>
      <c r="X90" s="42" t="str">
        <f t="shared" si="42"/>
        <v>НПИбд</v>
      </c>
      <c r="Y90" s="39" t="s">
        <v>128</v>
      </c>
      <c r="Z90" s="39">
        <v>1</v>
      </c>
      <c r="AA90" s="39">
        <v>1</v>
      </c>
      <c r="AB90" s="42">
        <f t="shared" si="43"/>
        <v>31</v>
      </c>
      <c r="AC90" s="39">
        <v>25</v>
      </c>
      <c r="AD90" s="39">
        <v>6</v>
      </c>
      <c r="AE90" s="44">
        <f t="shared" si="44"/>
        <v>12</v>
      </c>
      <c r="AF90" s="45">
        <f t="shared" si="45"/>
        <v>1</v>
      </c>
      <c r="AG90" s="45">
        <f t="shared" si="46"/>
        <v>2.5833333333333335</v>
      </c>
      <c r="AH90" s="46" t="s">
        <v>82</v>
      </c>
      <c r="AI90" s="40" t="s">
        <v>99</v>
      </c>
      <c r="AJ90" s="40" t="s">
        <v>84</v>
      </c>
      <c r="AK90" s="47" t="s">
        <v>134</v>
      </c>
      <c r="AL90" s="40"/>
      <c r="AM90" s="48">
        <f t="shared" si="47"/>
        <v>0</v>
      </c>
      <c r="AN90" s="48">
        <f t="shared" si="48"/>
        <v>0</v>
      </c>
      <c r="AO90" s="48">
        <f t="shared" si="49"/>
        <v>36</v>
      </c>
      <c r="AP90" s="48">
        <f t="shared" si="50"/>
        <v>0</v>
      </c>
      <c r="AQ90" s="48">
        <f t="shared" si="51"/>
        <v>0</v>
      </c>
      <c r="AR90" s="48">
        <f t="shared" si="52"/>
        <v>0</v>
      </c>
      <c r="AS90" s="48">
        <f t="shared" si="53"/>
        <v>0</v>
      </c>
      <c r="AT90" s="48">
        <f t="shared" si="54"/>
        <v>0</v>
      </c>
      <c r="AU90" s="48">
        <f t="shared" si="55"/>
        <v>0</v>
      </c>
      <c r="AV90" s="48">
        <f t="shared" si="56"/>
        <v>0</v>
      </c>
      <c r="AW90" s="48">
        <f>IF(N90="ПП",РПП*AB90*(V90/1.5),IF(N90="ВП",ВПр*AB90*(V90/1.5),IF(N90="РПА",РПА*AB90*(V90/1.5),IF(N90="КПА",кпа*AB90*(V90/1.5),0))))</f>
        <v>0</v>
      </c>
      <c r="AX90" s="48">
        <f t="shared" si="57"/>
        <v>0</v>
      </c>
      <c r="AY90" s="48">
        <f t="shared" si="58"/>
        <v>0</v>
      </c>
      <c r="AZ90" s="48">
        <f t="shared" si="59"/>
        <v>0</v>
      </c>
      <c r="BA90" s="48">
        <f t="shared" si="60"/>
        <v>0</v>
      </c>
      <c r="BB90" s="48">
        <f t="shared" si="61"/>
        <v>0</v>
      </c>
      <c r="BC90" s="48">
        <f t="shared" si="62"/>
        <v>0</v>
      </c>
      <c r="BD90" s="48">
        <f t="shared" si="63"/>
        <v>0</v>
      </c>
      <c r="BE90" s="48">
        <f t="shared" si="64"/>
        <v>0</v>
      </c>
      <c r="BF90" s="49">
        <f t="shared" si="65"/>
        <v>36</v>
      </c>
      <c r="BG90" s="50"/>
      <c r="BH90" s="51">
        <f t="shared" si="66"/>
        <v>36</v>
      </c>
      <c r="BI90" s="51">
        <f t="shared" si="67"/>
        <v>1</v>
      </c>
      <c r="BJ90" s="51">
        <f t="shared" si="68"/>
        <v>0</v>
      </c>
      <c r="BK90" s="52">
        <f t="shared" si="69"/>
        <v>0</v>
      </c>
      <c r="BL90" s="52">
        <f t="shared" si="70"/>
        <v>0</v>
      </c>
      <c r="BM90" s="52">
        <f t="shared" si="71"/>
        <v>0</v>
      </c>
    </row>
    <row r="91" spans="1:65" ht="30" customHeight="1" x14ac:dyDescent="0.25">
      <c r="A91" s="31" t="str">
        <f t="shared" si="37"/>
        <v>Д</v>
      </c>
      <c r="B91" s="31" t="str">
        <f t="shared" si="38"/>
        <v>Б</v>
      </c>
      <c r="C91" s="32" t="s">
        <v>75</v>
      </c>
      <c r="D91" s="33" t="str">
        <f t="shared" si="39"/>
        <v>Факультет физико-математических и естественных наук</v>
      </c>
      <c r="E91" s="34" t="str">
        <f t="shared" si="40"/>
        <v>'09.03.03</v>
      </c>
      <c r="F91" s="35" t="str">
        <f t="shared" si="41"/>
        <v>Прикладная информатика</v>
      </c>
      <c r="G91" s="36" t="s">
        <v>76</v>
      </c>
      <c r="H91" s="36" t="s">
        <v>77</v>
      </c>
      <c r="I91" s="37" t="s">
        <v>90</v>
      </c>
      <c r="J91" s="37"/>
      <c r="K91" s="38" t="s">
        <v>133</v>
      </c>
      <c r="L91" s="39">
        <v>5</v>
      </c>
      <c r="M91" s="39">
        <v>18</v>
      </c>
      <c r="N91" s="40" t="s">
        <v>94</v>
      </c>
      <c r="O91" s="39"/>
      <c r="P91" s="39">
        <v>2</v>
      </c>
      <c r="Q91" s="39"/>
      <c r="R91" s="40"/>
      <c r="S91" s="41"/>
      <c r="T91" s="41"/>
      <c r="U91" s="41"/>
      <c r="V91" s="41"/>
      <c r="W91" s="41"/>
      <c r="X91" s="42" t="str">
        <f t="shared" si="42"/>
        <v>НПИбд</v>
      </c>
      <c r="Y91" s="39" t="s">
        <v>128</v>
      </c>
      <c r="Z91" s="39">
        <v>1</v>
      </c>
      <c r="AA91" s="39">
        <v>1</v>
      </c>
      <c r="AB91" s="42">
        <f t="shared" si="43"/>
        <v>0</v>
      </c>
      <c r="AC91" s="39"/>
      <c r="AD91" s="39"/>
      <c r="AE91" s="44">
        <f t="shared" si="44"/>
        <v>12</v>
      </c>
      <c r="AF91" s="45">
        <f t="shared" si="45"/>
        <v>0</v>
      </c>
      <c r="AG91" s="45">
        <f t="shared" si="46"/>
        <v>0</v>
      </c>
      <c r="AH91" s="46" t="s">
        <v>82</v>
      </c>
      <c r="AI91" s="40" t="s">
        <v>99</v>
      </c>
      <c r="AJ91" s="40" t="s">
        <v>84</v>
      </c>
      <c r="AK91" s="47" t="s">
        <v>134</v>
      </c>
      <c r="AL91" s="40"/>
      <c r="AM91" s="48">
        <f t="shared" si="47"/>
        <v>0</v>
      </c>
      <c r="AN91" s="48">
        <f t="shared" si="48"/>
        <v>0</v>
      </c>
      <c r="AO91" s="48">
        <f t="shared" si="49"/>
        <v>0</v>
      </c>
      <c r="AP91" s="48">
        <f t="shared" si="50"/>
        <v>0</v>
      </c>
      <c r="AQ91" s="48">
        <f t="shared" si="51"/>
        <v>0</v>
      </c>
      <c r="AR91" s="48">
        <f t="shared" si="52"/>
        <v>0</v>
      </c>
      <c r="AS91" s="48">
        <f t="shared" si="53"/>
        <v>0</v>
      </c>
      <c r="AT91" s="48">
        <f t="shared" si="54"/>
        <v>0</v>
      </c>
      <c r="AU91" s="48">
        <f t="shared" si="55"/>
        <v>0</v>
      </c>
      <c r="AV91" s="48">
        <f t="shared" si="56"/>
        <v>0</v>
      </c>
      <c r="AW91" s="48">
        <f>IF(N91="ПП",РПП*AB91*(V91/1.5),IF(N91="ВП",ВПр*AB91*(V91/1.5),IF(N91="РПА",РПА*AB91*(V91/1.5),IF(N91="КПА",кпа*AB91*(V91/1.5),0))))</f>
        <v>0</v>
      </c>
      <c r="AX91" s="48">
        <f t="shared" si="57"/>
        <v>0</v>
      </c>
      <c r="AY91" s="48">
        <f t="shared" si="58"/>
        <v>0</v>
      </c>
      <c r="AZ91" s="48">
        <f t="shared" si="59"/>
        <v>0</v>
      </c>
      <c r="BA91" s="48">
        <f t="shared" si="60"/>
        <v>0</v>
      </c>
      <c r="BB91" s="48">
        <f t="shared" si="61"/>
        <v>0</v>
      </c>
      <c r="BC91" s="48">
        <f t="shared" si="62"/>
        <v>0</v>
      </c>
      <c r="BD91" s="48">
        <f t="shared" si="63"/>
        <v>0</v>
      </c>
      <c r="BE91" s="48">
        <f t="shared" si="64"/>
        <v>0</v>
      </c>
      <c r="BF91" s="49">
        <f t="shared" si="65"/>
        <v>0</v>
      </c>
      <c r="BG91" s="50"/>
      <c r="BH91" s="51">
        <f t="shared" si="66"/>
        <v>0</v>
      </c>
      <c r="BI91" s="51">
        <f t="shared" si="67"/>
        <v>0</v>
      </c>
      <c r="BJ91" s="51">
        <f t="shared" si="68"/>
        <v>0</v>
      </c>
      <c r="BK91" s="52">
        <f t="shared" si="69"/>
        <v>0</v>
      </c>
      <c r="BL91" s="52">
        <f t="shared" si="70"/>
        <v>0</v>
      </c>
      <c r="BM91" s="52">
        <f t="shared" si="71"/>
        <v>0</v>
      </c>
    </row>
    <row r="92" spans="1:65" ht="30" customHeight="1" x14ac:dyDescent="0.25">
      <c r="A92" s="31" t="str">
        <f t="shared" si="37"/>
        <v>Д</v>
      </c>
      <c r="B92" s="31" t="str">
        <f t="shared" si="38"/>
        <v>Б</v>
      </c>
      <c r="C92" s="32" t="s">
        <v>75</v>
      </c>
      <c r="D92" s="33" t="str">
        <f t="shared" si="39"/>
        <v>Факультет физико-математических и естественных наук</v>
      </c>
      <c r="E92" s="34" t="str">
        <f t="shared" si="40"/>
        <v>'09.03.03</v>
      </c>
      <c r="F92" s="35" t="str">
        <f t="shared" si="41"/>
        <v>Прикладная информатика</v>
      </c>
      <c r="G92" s="36" t="s">
        <v>76</v>
      </c>
      <c r="H92" s="36" t="s">
        <v>77</v>
      </c>
      <c r="I92" s="37" t="s">
        <v>90</v>
      </c>
      <c r="J92" s="37"/>
      <c r="K92" s="38" t="s">
        <v>133</v>
      </c>
      <c r="L92" s="39">
        <v>5</v>
      </c>
      <c r="M92" s="39">
        <v>18</v>
      </c>
      <c r="N92" s="40" t="s">
        <v>94</v>
      </c>
      <c r="O92" s="39"/>
      <c r="P92" s="39">
        <v>2</v>
      </c>
      <c r="Q92" s="39"/>
      <c r="R92" s="40"/>
      <c r="S92" s="41"/>
      <c r="T92" s="41"/>
      <c r="U92" s="41"/>
      <c r="V92" s="41"/>
      <c r="W92" s="41"/>
      <c r="X92" s="42" t="str">
        <f t="shared" si="42"/>
        <v>НПИбд</v>
      </c>
      <c r="Y92" s="39" t="s">
        <v>129</v>
      </c>
      <c r="Z92" s="39">
        <v>1</v>
      </c>
      <c r="AA92" s="39">
        <v>1</v>
      </c>
      <c r="AB92" s="42">
        <f t="shared" si="43"/>
        <v>30</v>
      </c>
      <c r="AC92" s="39">
        <v>25</v>
      </c>
      <c r="AD92" s="39">
        <v>5</v>
      </c>
      <c r="AE92" s="44">
        <f t="shared" si="44"/>
        <v>12</v>
      </c>
      <c r="AF92" s="45">
        <f t="shared" si="45"/>
        <v>1</v>
      </c>
      <c r="AG92" s="45">
        <f t="shared" si="46"/>
        <v>2.5</v>
      </c>
      <c r="AH92" s="46" t="s">
        <v>82</v>
      </c>
      <c r="AI92" s="40" t="s">
        <v>99</v>
      </c>
      <c r="AJ92" s="40" t="s">
        <v>84</v>
      </c>
      <c r="AK92" s="47" t="s">
        <v>134</v>
      </c>
      <c r="AL92" s="40"/>
      <c r="AM92" s="48">
        <f t="shared" si="47"/>
        <v>0</v>
      </c>
      <c r="AN92" s="48">
        <f t="shared" si="48"/>
        <v>0</v>
      </c>
      <c r="AO92" s="48">
        <f t="shared" si="49"/>
        <v>36</v>
      </c>
      <c r="AP92" s="48">
        <f t="shared" si="50"/>
        <v>0</v>
      </c>
      <c r="AQ92" s="48">
        <f t="shared" si="51"/>
        <v>0</v>
      </c>
      <c r="AR92" s="48">
        <f t="shared" si="52"/>
        <v>0</v>
      </c>
      <c r="AS92" s="48">
        <f t="shared" si="53"/>
        <v>0</v>
      </c>
      <c r="AT92" s="48">
        <f t="shared" si="54"/>
        <v>0</v>
      </c>
      <c r="AU92" s="48">
        <f t="shared" si="55"/>
        <v>0</v>
      </c>
      <c r="AV92" s="48">
        <f t="shared" si="56"/>
        <v>0</v>
      </c>
      <c r="AW92" s="48">
        <f>IF(N92="ПП",РПП*AB92*(V92/1.5),IF(N92="ВП",ВПр*AB92*(V92/1.5),IF(N92="РПА",РПА*AB92*(V92/1.5),IF(N92="КПА",кпа*AB92*(V92/1.5),0))))</f>
        <v>0</v>
      </c>
      <c r="AX92" s="48">
        <f t="shared" si="57"/>
        <v>0</v>
      </c>
      <c r="AY92" s="48">
        <f t="shared" si="58"/>
        <v>0</v>
      </c>
      <c r="AZ92" s="48">
        <f t="shared" si="59"/>
        <v>0</v>
      </c>
      <c r="BA92" s="48">
        <f t="shared" si="60"/>
        <v>0</v>
      </c>
      <c r="BB92" s="48">
        <f t="shared" si="61"/>
        <v>0</v>
      </c>
      <c r="BC92" s="48">
        <f t="shared" si="62"/>
        <v>0</v>
      </c>
      <c r="BD92" s="48">
        <f t="shared" si="63"/>
        <v>0</v>
      </c>
      <c r="BE92" s="48">
        <f t="shared" si="64"/>
        <v>0</v>
      </c>
      <c r="BF92" s="49">
        <f t="shared" si="65"/>
        <v>36</v>
      </c>
      <c r="BG92" s="50"/>
      <c r="BH92" s="51">
        <f t="shared" si="66"/>
        <v>36</v>
      </c>
      <c r="BI92" s="51">
        <f t="shared" si="67"/>
        <v>1</v>
      </c>
      <c r="BJ92" s="51">
        <f t="shared" si="68"/>
        <v>0</v>
      </c>
      <c r="BK92" s="52">
        <f t="shared" si="69"/>
        <v>0</v>
      </c>
      <c r="BL92" s="52">
        <f t="shared" si="70"/>
        <v>0</v>
      </c>
      <c r="BM92" s="52">
        <f t="shared" si="71"/>
        <v>0</v>
      </c>
    </row>
    <row r="93" spans="1:65" ht="30" customHeight="1" x14ac:dyDescent="0.25">
      <c r="A93" s="31" t="str">
        <f t="shared" si="37"/>
        <v>Д</v>
      </c>
      <c r="B93" s="31" t="str">
        <f t="shared" si="38"/>
        <v>Б</v>
      </c>
      <c r="C93" s="32" t="s">
        <v>75</v>
      </c>
      <c r="D93" s="33" t="str">
        <f t="shared" si="39"/>
        <v>Факультет физико-математических и естественных наук</v>
      </c>
      <c r="E93" s="34" t="str">
        <f t="shared" si="40"/>
        <v>'09.03.03</v>
      </c>
      <c r="F93" s="35" t="str">
        <f t="shared" si="41"/>
        <v>Прикладная информатика</v>
      </c>
      <c r="G93" s="36" t="s">
        <v>76</v>
      </c>
      <c r="H93" s="36" t="s">
        <v>77</v>
      </c>
      <c r="I93" s="37" t="s">
        <v>90</v>
      </c>
      <c r="J93" s="37"/>
      <c r="K93" s="38" t="s">
        <v>133</v>
      </c>
      <c r="L93" s="39">
        <v>5</v>
      </c>
      <c r="M93" s="39">
        <v>18</v>
      </c>
      <c r="N93" s="40" t="s">
        <v>94</v>
      </c>
      <c r="O93" s="39"/>
      <c r="P93" s="39">
        <v>2</v>
      </c>
      <c r="Q93" s="39"/>
      <c r="R93" s="40"/>
      <c r="S93" s="41"/>
      <c r="T93" s="41"/>
      <c r="U93" s="41"/>
      <c r="V93" s="41"/>
      <c r="W93" s="41"/>
      <c r="X93" s="42" t="str">
        <f t="shared" si="42"/>
        <v>НПИбд</v>
      </c>
      <c r="Y93" s="43" t="s">
        <v>129</v>
      </c>
      <c r="Z93" s="39">
        <v>1</v>
      </c>
      <c r="AA93" s="39">
        <v>1</v>
      </c>
      <c r="AB93" s="42">
        <f t="shared" si="43"/>
        <v>0</v>
      </c>
      <c r="AC93" s="39"/>
      <c r="AD93" s="39"/>
      <c r="AE93" s="44">
        <f t="shared" si="44"/>
        <v>12</v>
      </c>
      <c r="AF93" s="45">
        <f t="shared" si="45"/>
        <v>0</v>
      </c>
      <c r="AG93" s="45">
        <f t="shared" si="46"/>
        <v>0</v>
      </c>
      <c r="AH93" s="46" t="s">
        <v>82</v>
      </c>
      <c r="AI93" s="40" t="s">
        <v>99</v>
      </c>
      <c r="AJ93" s="40" t="s">
        <v>84</v>
      </c>
      <c r="AK93" s="47" t="s">
        <v>134</v>
      </c>
      <c r="AL93" s="40"/>
      <c r="AM93" s="48">
        <f t="shared" si="47"/>
        <v>0</v>
      </c>
      <c r="AN93" s="48">
        <f t="shared" si="48"/>
        <v>0</v>
      </c>
      <c r="AO93" s="48">
        <f t="shared" si="49"/>
        <v>0</v>
      </c>
      <c r="AP93" s="48">
        <f t="shared" si="50"/>
        <v>0</v>
      </c>
      <c r="AQ93" s="48">
        <f t="shared" si="51"/>
        <v>0</v>
      </c>
      <c r="AR93" s="48">
        <f t="shared" si="52"/>
        <v>0</v>
      </c>
      <c r="AS93" s="48">
        <f t="shared" si="53"/>
        <v>0</v>
      </c>
      <c r="AT93" s="48">
        <f t="shared" si="54"/>
        <v>0</v>
      </c>
      <c r="AU93" s="48">
        <f t="shared" si="55"/>
        <v>0</v>
      </c>
      <c r="AV93" s="48">
        <f t="shared" si="56"/>
        <v>0</v>
      </c>
      <c r="AW93" s="48">
        <f>IF(N93="ПП",РПП*AB93*(V93/1.5),IF(N93="ВП",ВПр*AB93*(V93/1.5),IF(N93="РПА",РПА*AB93*(V93/1.5),IF(N93="КПА",кпа*AB93*(V93/1.5),0))))</f>
        <v>0</v>
      </c>
      <c r="AX93" s="48">
        <f t="shared" si="57"/>
        <v>0</v>
      </c>
      <c r="AY93" s="48">
        <f t="shared" si="58"/>
        <v>0</v>
      </c>
      <c r="AZ93" s="48">
        <f t="shared" si="59"/>
        <v>0</v>
      </c>
      <c r="BA93" s="48">
        <f t="shared" si="60"/>
        <v>0</v>
      </c>
      <c r="BB93" s="48">
        <f t="shared" si="61"/>
        <v>0</v>
      </c>
      <c r="BC93" s="48">
        <f t="shared" si="62"/>
        <v>0</v>
      </c>
      <c r="BD93" s="48">
        <f t="shared" si="63"/>
        <v>0</v>
      </c>
      <c r="BE93" s="48">
        <f t="shared" si="64"/>
        <v>0</v>
      </c>
      <c r="BF93" s="49">
        <f t="shared" si="65"/>
        <v>0</v>
      </c>
      <c r="BG93" s="50"/>
      <c r="BH93" s="51">
        <f t="shared" si="66"/>
        <v>0</v>
      </c>
      <c r="BI93" s="51">
        <f t="shared" si="67"/>
        <v>0</v>
      </c>
      <c r="BJ93" s="51">
        <f t="shared" si="68"/>
        <v>0</v>
      </c>
      <c r="BK93" s="52">
        <f t="shared" si="69"/>
        <v>0</v>
      </c>
      <c r="BL93" s="52">
        <f t="shared" si="70"/>
        <v>0</v>
      </c>
      <c r="BM93" s="52">
        <f t="shared" si="71"/>
        <v>0</v>
      </c>
    </row>
    <row r="94" spans="1:65" ht="30" customHeight="1" x14ac:dyDescent="0.25">
      <c r="A94" s="31" t="str">
        <f t="shared" si="37"/>
        <v>Д</v>
      </c>
      <c r="B94" s="31" t="str">
        <f t="shared" si="38"/>
        <v>Б</v>
      </c>
      <c r="C94" s="32" t="s">
        <v>75</v>
      </c>
      <c r="D94" s="33" t="str">
        <f t="shared" si="39"/>
        <v>Факультет физико-математических и естественных наук</v>
      </c>
      <c r="E94" s="34" t="str">
        <f t="shared" si="40"/>
        <v>'09.03.03</v>
      </c>
      <c r="F94" s="35" t="str">
        <f t="shared" si="41"/>
        <v>Прикладная информатика</v>
      </c>
      <c r="G94" s="36" t="s">
        <v>76</v>
      </c>
      <c r="H94" s="36" t="s">
        <v>77</v>
      </c>
      <c r="I94" s="37" t="s">
        <v>90</v>
      </c>
      <c r="J94" s="37"/>
      <c r="K94" s="38" t="s">
        <v>133</v>
      </c>
      <c r="L94" s="39">
        <v>5</v>
      </c>
      <c r="M94" s="39">
        <v>18</v>
      </c>
      <c r="N94" s="40" t="s">
        <v>94</v>
      </c>
      <c r="O94" s="39"/>
      <c r="P94" s="39">
        <v>2</v>
      </c>
      <c r="Q94" s="39"/>
      <c r="R94" s="40"/>
      <c r="S94" s="41"/>
      <c r="T94" s="41"/>
      <c r="U94" s="41"/>
      <c r="V94" s="41"/>
      <c r="W94" s="41"/>
      <c r="X94" s="42" t="str">
        <f t="shared" si="42"/>
        <v>НПИбд</v>
      </c>
      <c r="Y94" s="43" t="s">
        <v>130</v>
      </c>
      <c r="Z94" s="39"/>
      <c r="AA94" s="39"/>
      <c r="AB94" s="42">
        <f t="shared" si="43"/>
        <v>0</v>
      </c>
      <c r="AC94" s="39"/>
      <c r="AD94" s="39"/>
      <c r="AE94" s="44">
        <f t="shared" si="44"/>
        <v>12</v>
      </c>
      <c r="AF94" s="45">
        <f t="shared" si="45"/>
        <v>0</v>
      </c>
      <c r="AG94" s="45">
        <f t="shared" si="46"/>
        <v>0</v>
      </c>
      <c r="AH94" s="46" t="s">
        <v>82</v>
      </c>
      <c r="AI94" s="40" t="s">
        <v>99</v>
      </c>
      <c r="AJ94" s="40" t="s">
        <v>84</v>
      </c>
      <c r="AK94" s="47" t="s">
        <v>134</v>
      </c>
      <c r="AL94" s="40"/>
      <c r="AM94" s="48">
        <f t="shared" si="47"/>
        <v>0</v>
      </c>
      <c r="AN94" s="48">
        <f t="shared" si="48"/>
        <v>0</v>
      </c>
      <c r="AO94" s="48">
        <f t="shared" si="49"/>
        <v>0</v>
      </c>
      <c r="AP94" s="48">
        <f t="shared" si="50"/>
        <v>0</v>
      </c>
      <c r="AQ94" s="48">
        <f t="shared" si="51"/>
        <v>0</v>
      </c>
      <c r="AR94" s="48">
        <f t="shared" si="52"/>
        <v>0</v>
      </c>
      <c r="AS94" s="48">
        <f t="shared" si="53"/>
        <v>0</v>
      </c>
      <c r="AT94" s="48">
        <f t="shared" si="54"/>
        <v>0</v>
      </c>
      <c r="AU94" s="48">
        <f t="shared" si="55"/>
        <v>0</v>
      </c>
      <c r="AV94" s="48">
        <f t="shared" si="56"/>
        <v>0</v>
      </c>
      <c r="AW94" s="48">
        <f>IF(N94="ПП",РПП*AB94*(V94/1.5),IF(N94="ВП",ВПр*AB94*(V94/1.5),IF(N94="РПА",РПА*AB94*(V94/1.5),IF(N94="КПА",кпа*AB94*(V94/1.5),0))))</f>
        <v>0</v>
      </c>
      <c r="AX94" s="48">
        <f t="shared" si="57"/>
        <v>0</v>
      </c>
      <c r="AY94" s="48">
        <f t="shared" si="58"/>
        <v>0</v>
      </c>
      <c r="AZ94" s="48">
        <f t="shared" si="59"/>
        <v>0</v>
      </c>
      <c r="BA94" s="48">
        <f t="shared" si="60"/>
        <v>0</v>
      </c>
      <c r="BB94" s="48">
        <f t="shared" si="61"/>
        <v>0</v>
      </c>
      <c r="BC94" s="48">
        <f t="shared" si="62"/>
        <v>0</v>
      </c>
      <c r="BD94" s="48">
        <f t="shared" si="63"/>
        <v>0</v>
      </c>
      <c r="BE94" s="48">
        <f t="shared" si="64"/>
        <v>0</v>
      </c>
      <c r="BF94" s="49">
        <f t="shared" si="65"/>
        <v>0</v>
      </c>
      <c r="BG94" s="50"/>
      <c r="BH94" s="51">
        <f t="shared" si="66"/>
        <v>0</v>
      </c>
      <c r="BI94" s="51">
        <f t="shared" si="67"/>
        <v>0</v>
      </c>
      <c r="BJ94" s="51">
        <f t="shared" si="68"/>
        <v>0</v>
      </c>
      <c r="BK94" s="52">
        <f t="shared" si="69"/>
        <v>0</v>
      </c>
      <c r="BL94" s="52">
        <f t="shared" si="70"/>
        <v>0</v>
      </c>
      <c r="BM94" s="52">
        <f t="shared" si="71"/>
        <v>0</v>
      </c>
    </row>
    <row r="95" spans="1:65" ht="30" customHeight="1" x14ac:dyDescent="0.25">
      <c r="A95" s="31" t="str">
        <f t="shared" si="37"/>
        <v>Д</v>
      </c>
      <c r="B95" s="31" t="str">
        <f t="shared" si="38"/>
        <v>Б</v>
      </c>
      <c r="C95" s="32" t="s">
        <v>75</v>
      </c>
      <c r="D95" s="33" t="str">
        <f t="shared" si="39"/>
        <v>Факультет физико-математических и естественных наук</v>
      </c>
      <c r="E95" s="34" t="str">
        <f t="shared" si="40"/>
        <v>'09.03.03</v>
      </c>
      <c r="F95" s="35" t="str">
        <f t="shared" si="41"/>
        <v>Прикладная информатика</v>
      </c>
      <c r="G95" s="36" t="s">
        <v>76</v>
      </c>
      <c r="H95" s="36" t="s">
        <v>135</v>
      </c>
      <c r="I95" s="37" t="s">
        <v>136</v>
      </c>
      <c r="J95" s="37" t="s">
        <v>137</v>
      </c>
      <c r="K95" s="38" t="s">
        <v>138</v>
      </c>
      <c r="L95" s="39">
        <v>5</v>
      </c>
      <c r="M95" s="39">
        <v>18</v>
      </c>
      <c r="N95" s="40" t="s">
        <v>79</v>
      </c>
      <c r="O95" s="39">
        <v>1</v>
      </c>
      <c r="P95" s="39"/>
      <c r="Q95" s="39"/>
      <c r="R95" s="40"/>
      <c r="S95" s="41"/>
      <c r="T95" s="41"/>
      <c r="U95" s="41"/>
      <c r="V95" s="41"/>
      <c r="W95" s="41"/>
      <c r="X95" s="42" t="str">
        <f t="shared" si="42"/>
        <v>НПИбд</v>
      </c>
      <c r="Y95" s="39" t="s">
        <v>126</v>
      </c>
      <c r="Z95" s="39">
        <v>4</v>
      </c>
      <c r="AA95" s="39">
        <v>2</v>
      </c>
      <c r="AB95" s="42">
        <f t="shared" si="43"/>
        <v>19</v>
      </c>
      <c r="AC95" s="39">
        <v>13</v>
      </c>
      <c r="AD95" s="39">
        <v>6</v>
      </c>
      <c r="AE95" s="44">
        <f t="shared" si="44"/>
        <v>19</v>
      </c>
      <c r="AF95" s="45">
        <f t="shared" si="45"/>
        <v>1</v>
      </c>
      <c r="AG95" s="45">
        <f t="shared" si="46"/>
        <v>1</v>
      </c>
      <c r="AH95" s="46" t="s">
        <v>82</v>
      </c>
      <c r="AI95" s="40" t="s">
        <v>83</v>
      </c>
      <c r="AJ95" s="40" t="s">
        <v>116</v>
      </c>
      <c r="AK95" s="47" t="s">
        <v>122</v>
      </c>
      <c r="AL95" s="40"/>
      <c r="AM95" s="48">
        <f t="shared" si="47"/>
        <v>18</v>
      </c>
      <c r="AN95" s="48">
        <f t="shared" si="48"/>
        <v>0</v>
      </c>
      <c r="AO95" s="48">
        <f t="shared" si="49"/>
        <v>0</v>
      </c>
      <c r="AP95" s="48">
        <f t="shared" si="50"/>
        <v>0</v>
      </c>
      <c r="AQ95" s="48">
        <f t="shared" si="51"/>
        <v>0</v>
      </c>
      <c r="AR95" s="48">
        <f t="shared" si="52"/>
        <v>0</v>
      </c>
      <c r="AS95" s="48">
        <f t="shared" si="53"/>
        <v>1.8</v>
      </c>
      <c r="AT95" s="48">
        <f t="shared" si="54"/>
        <v>0</v>
      </c>
      <c r="AU95" s="48">
        <f t="shared" si="55"/>
        <v>0</v>
      </c>
      <c r="AV95" s="48">
        <f t="shared" si="56"/>
        <v>0</v>
      </c>
      <c r="AW95" s="48">
        <f>IF(N95="ПП",РПП*AB95*(V95/1.5),IF(N95="ВП",ВПр*AB95*(V95/1.5),IF(N95="РПА",РПА*AB95*(V95/1.5),IF(N95="КПА",кпа*AB95*(V95/1.5),0))))</f>
        <v>0</v>
      </c>
      <c r="AX95" s="48">
        <f t="shared" si="57"/>
        <v>0</v>
      </c>
      <c r="AY95" s="48">
        <f t="shared" si="58"/>
        <v>0</v>
      </c>
      <c r="AZ95" s="48">
        <f t="shared" si="59"/>
        <v>0</v>
      </c>
      <c r="BA95" s="48">
        <f t="shared" si="60"/>
        <v>0</v>
      </c>
      <c r="BB95" s="48">
        <f t="shared" si="61"/>
        <v>0</v>
      </c>
      <c r="BC95" s="48">
        <f t="shared" si="62"/>
        <v>0</v>
      </c>
      <c r="BD95" s="48">
        <f t="shared" si="63"/>
        <v>0</v>
      </c>
      <c r="BE95" s="48">
        <f t="shared" si="64"/>
        <v>0</v>
      </c>
      <c r="BF95" s="49">
        <f t="shared" si="65"/>
        <v>19.8</v>
      </c>
      <c r="BG95" s="50"/>
      <c r="BH95" s="51">
        <f t="shared" si="66"/>
        <v>18</v>
      </c>
      <c r="BI95" s="51">
        <f t="shared" si="67"/>
        <v>0.5</v>
      </c>
      <c r="BJ95" s="51">
        <f t="shared" si="68"/>
        <v>1.8</v>
      </c>
      <c r="BK95" s="52">
        <f t="shared" si="69"/>
        <v>0</v>
      </c>
      <c r="BL95" s="52">
        <f t="shared" si="70"/>
        <v>0</v>
      </c>
      <c r="BM95" s="52">
        <f t="shared" si="71"/>
        <v>0</v>
      </c>
    </row>
    <row r="96" spans="1:65" ht="30" customHeight="1" x14ac:dyDescent="0.25">
      <c r="A96" s="31" t="str">
        <f t="shared" si="37"/>
        <v>Д</v>
      </c>
      <c r="B96" s="31" t="str">
        <f t="shared" si="38"/>
        <v>Б</v>
      </c>
      <c r="C96" s="32" t="s">
        <v>75</v>
      </c>
      <c r="D96" s="33" t="str">
        <f t="shared" si="39"/>
        <v>Факультет физико-математических и естественных наук</v>
      </c>
      <c r="E96" s="34" t="str">
        <f t="shared" si="40"/>
        <v>'09.03.03</v>
      </c>
      <c r="F96" s="35" t="str">
        <f t="shared" si="41"/>
        <v>Прикладная информатика</v>
      </c>
      <c r="G96" s="36" t="s">
        <v>76</v>
      </c>
      <c r="H96" s="36" t="s">
        <v>135</v>
      </c>
      <c r="I96" s="37" t="s">
        <v>136</v>
      </c>
      <c r="J96" s="37" t="s">
        <v>137</v>
      </c>
      <c r="K96" s="38" t="s">
        <v>138</v>
      </c>
      <c r="L96" s="39">
        <v>5</v>
      </c>
      <c r="M96" s="39">
        <v>18</v>
      </c>
      <c r="N96" s="40" t="s">
        <v>94</v>
      </c>
      <c r="O96" s="39"/>
      <c r="P96" s="39">
        <v>1</v>
      </c>
      <c r="Q96" s="39"/>
      <c r="R96" s="40" t="s">
        <v>95</v>
      </c>
      <c r="S96" s="41"/>
      <c r="T96" s="41"/>
      <c r="U96" s="41"/>
      <c r="V96" s="41"/>
      <c r="W96" s="41"/>
      <c r="X96" s="42" t="str">
        <f t="shared" si="42"/>
        <v>НПИбд</v>
      </c>
      <c r="Y96" s="39" t="s">
        <v>126</v>
      </c>
      <c r="Z96" s="39">
        <v>4</v>
      </c>
      <c r="AA96" s="39">
        <v>2</v>
      </c>
      <c r="AB96" s="42">
        <f t="shared" si="43"/>
        <v>19</v>
      </c>
      <c r="AC96" s="39">
        <v>13</v>
      </c>
      <c r="AD96" s="39">
        <v>6</v>
      </c>
      <c r="AE96" s="44">
        <f t="shared" si="44"/>
        <v>12</v>
      </c>
      <c r="AF96" s="45">
        <f t="shared" si="45"/>
        <v>1</v>
      </c>
      <c r="AG96" s="45">
        <f t="shared" si="46"/>
        <v>1.5833333333333333</v>
      </c>
      <c r="AH96" s="46" t="s">
        <v>82</v>
      </c>
      <c r="AI96" s="40" t="s">
        <v>99</v>
      </c>
      <c r="AJ96" s="40" t="s">
        <v>116</v>
      </c>
      <c r="AK96" s="47" t="s">
        <v>120</v>
      </c>
      <c r="AL96" s="40"/>
      <c r="AM96" s="48">
        <f t="shared" si="47"/>
        <v>0</v>
      </c>
      <c r="AN96" s="48">
        <f t="shared" si="48"/>
        <v>0</v>
      </c>
      <c r="AO96" s="48">
        <f t="shared" si="49"/>
        <v>18</v>
      </c>
      <c r="AP96" s="48">
        <f t="shared" si="50"/>
        <v>6.2700000000000005</v>
      </c>
      <c r="AQ96" s="48">
        <f t="shared" si="51"/>
        <v>9.5</v>
      </c>
      <c r="AR96" s="48">
        <f t="shared" si="52"/>
        <v>2</v>
      </c>
      <c r="AS96" s="48">
        <f t="shared" si="53"/>
        <v>0</v>
      </c>
      <c r="AT96" s="48">
        <f t="shared" si="54"/>
        <v>0</v>
      </c>
      <c r="AU96" s="48">
        <f t="shared" si="55"/>
        <v>0</v>
      </c>
      <c r="AV96" s="48">
        <f t="shared" si="56"/>
        <v>0</v>
      </c>
      <c r="AW96" s="48">
        <f>IF(N96="ПП",РПП*AB96*(V96/1.5),IF(N96="ВП",ВПр*AB96*(V96/1.5),IF(N96="РПА",РПА*AB96*(V96/1.5),IF(N96="КПА",кпа*AB96*(V96/1.5),0))))</f>
        <v>0</v>
      </c>
      <c r="AX96" s="48">
        <f t="shared" si="57"/>
        <v>0</v>
      </c>
      <c r="AY96" s="48">
        <f t="shared" si="58"/>
        <v>0</v>
      </c>
      <c r="AZ96" s="48">
        <f t="shared" si="59"/>
        <v>0</v>
      </c>
      <c r="BA96" s="48">
        <f t="shared" si="60"/>
        <v>0</v>
      </c>
      <c r="BB96" s="48">
        <f t="shared" si="61"/>
        <v>0</v>
      </c>
      <c r="BC96" s="48">
        <f t="shared" si="62"/>
        <v>0</v>
      </c>
      <c r="BD96" s="48">
        <f t="shared" si="63"/>
        <v>0</v>
      </c>
      <c r="BE96" s="48">
        <f t="shared" si="64"/>
        <v>0</v>
      </c>
      <c r="BF96" s="49">
        <f t="shared" si="65"/>
        <v>35.769999999999996</v>
      </c>
      <c r="BG96" s="50"/>
      <c r="BH96" s="51">
        <f t="shared" si="66"/>
        <v>18</v>
      </c>
      <c r="BI96" s="51">
        <f t="shared" si="67"/>
        <v>0.5</v>
      </c>
      <c r="BJ96" s="51">
        <f t="shared" si="68"/>
        <v>17.77</v>
      </c>
      <c r="BK96" s="52">
        <f t="shared" si="69"/>
        <v>0</v>
      </c>
      <c r="BL96" s="52">
        <f t="shared" si="70"/>
        <v>0</v>
      </c>
      <c r="BM96" s="52">
        <f t="shared" si="71"/>
        <v>0</v>
      </c>
    </row>
    <row r="97" spans="1:65" ht="30" customHeight="1" x14ac:dyDescent="0.25">
      <c r="A97" s="31" t="str">
        <f t="shared" si="37"/>
        <v>Д</v>
      </c>
      <c r="B97" s="31" t="str">
        <f t="shared" si="38"/>
        <v>Б</v>
      </c>
      <c r="C97" s="32" t="s">
        <v>75</v>
      </c>
      <c r="D97" s="33" t="str">
        <f t="shared" si="39"/>
        <v>Факультет физико-математических и естественных наук</v>
      </c>
      <c r="E97" s="34" t="str">
        <f t="shared" si="40"/>
        <v>'09.03.03</v>
      </c>
      <c r="F97" s="35" t="str">
        <f t="shared" si="41"/>
        <v>Прикладная информатика</v>
      </c>
      <c r="G97" s="36" t="s">
        <v>76</v>
      </c>
      <c r="H97" s="36" t="s">
        <v>135</v>
      </c>
      <c r="I97" s="37"/>
      <c r="J97" s="37" t="s">
        <v>137</v>
      </c>
      <c r="K97" s="38" t="s">
        <v>139</v>
      </c>
      <c r="L97" s="39">
        <v>5</v>
      </c>
      <c r="M97" s="39">
        <v>18</v>
      </c>
      <c r="N97" s="40" t="s">
        <v>79</v>
      </c>
      <c r="O97" s="39">
        <v>1</v>
      </c>
      <c r="P97" s="39"/>
      <c r="Q97" s="39"/>
      <c r="R97" s="40" t="s">
        <v>80</v>
      </c>
      <c r="S97" s="41"/>
      <c r="T97" s="41"/>
      <c r="U97" s="41"/>
      <c r="V97" s="41"/>
      <c r="W97" s="41"/>
      <c r="X97" s="42" t="str">
        <f t="shared" si="42"/>
        <v>НПИбд</v>
      </c>
      <c r="Y97" s="39" t="s">
        <v>126</v>
      </c>
      <c r="Z97" s="39">
        <v>4</v>
      </c>
      <c r="AA97" s="39">
        <v>2</v>
      </c>
      <c r="AB97" s="42">
        <f t="shared" si="43"/>
        <v>19</v>
      </c>
      <c r="AC97" s="39">
        <v>13</v>
      </c>
      <c r="AD97" s="39">
        <v>6</v>
      </c>
      <c r="AE97" s="44">
        <f t="shared" si="44"/>
        <v>19</v>
      </c>
      <c r="AF97" s="45">
        <f t="shared" si="45"/>
        <v>1</v>
      </c>
      <c r="AG97" s="45">
        <f t="shared" si="46"/>
        <v>1</v>
      </c>
      <c r="AH97" s="46" t="s">
        <v>82</v>
      </c>
      <c r="AI97" s="40" t="s">
        <v>99</v>
      </c>
      <c r="AJ97" s="40" t="s">
        <v>116</v>
      </c>
      <c r="AK97" s="47" t="s">
        <v>109</v>
      </c>
      <c r="AL97" s="40"/>
      <c r="AM97" s="48">
        <f t="shared" si="47"/>
        <v>18</v>
      </c>
      <c r="AN97" s="48">
        <f t="shared" si="48"/>
        <v>0</v>
      </c>
      <c r="AO97" s="48">
        <f t="shared" si="49"/>
        <v>0</v>
      </c>
      <c r="AP97" s="48">
        <f t="shared" si="50"/>
        <v>6.2700000000000005</v>
      </c>
      <c r="AQ97" s="48">
        <f t="shared" si="51"/>
        <v>9.5</v>
      </c>
      <c r="AR97" s="48">
        <f t="shared" si="52"/>
        <v>2</v>
      </c>
      <c r="AS97" s="48">
        <f t="shared" si="53"/>
        <v>1.8</v>
      </c>
      <c r="AT97" s="48">
        <f t="shared" si="54"/>
        <v>0</v>
      </c>
      <c r="AU97" s="48">
        <f t="shared" si="55"/>
        <v>0</v>
      </c>
      <c r="AV97" s="48">
        <f t="shared" si="56"/>
        <v>0</v>
      </c>
      <c r="AW97" s="48">
        <f>IF(N97="ПП",РПП*AB97*(V97/1.5),IF(N97="ВП",ВПр*AB97*(V97/1.5),IF(N97="РПА",РПА*AB97*(V97/1.5),IF(N97="КПА",кпа*AB97*(V97/1.5),0))))</f>
        <v>0</v>
      </c>
      <c r="AX97" s="48">
        <f t="shared" si="57"/>
        <v>0</v>
      </c>
      <c r="AY97" s="48">
        <f t="shared" si="58"/>
        <v>0</v>
      </c>
      <c r="AZ97" s="48">
        <f t="shared" si="59"/>
        <v>0</v>
      </c>
      <c r="BA97" s="48">
        <f t="shared" si="60"/>
        <v>0</v>
      </c>
      <c r="BB97" s="48">
        <f t="shared" si="61"/>
        <v>0</v>
      </c>
      <c r="BC97" s="48">
        <f t="shared" si="62"/>
        <v>0</v>
      </c>
      <c r="BD97" s="48">
        <f t="shared" si="63"/>
        <v>0</v>
      </c>
      <c r="BE97" s="48">
        <f t="shared" si="64"/>
        <v>0</v>
      </c>
      <c r="BF97" s="49">
        <f t="shared" si="65"/>
        <v>37.569999999999993</v>
      </c>
      <c r="BG97" s="50"/>
      <c r="BH97" s="51">
        <f t="shared" si="66"/>
        <v>18</v>
      </c>
      <c r="BI97" s="51">
        <f t="shared" si="67"/>
        <v>0.5</v>
      </c>
      <c r="BJ97" s="51">
        <f t="shared" si="68"/>
        <v>19.57</v>
      </c>
      <c r="BK97" s="52">
        <f t="shared" si="69"/>
        <v>0</v>
      </c>
      <c r="BL97" s="52">
        <f t="shared" si="70"/>
        <v>0</v>
      </c>
      <c r="BM97" s="52">
        <f t="shared" si="71"/>
        <v>0</v>
      </c>
    </row>
    <row r="98" spans="1:65" ht="30" customHeight="1" x14ac:dyDescent="0.25">
      <c r="A98" s="31" t="str">
        <f t="shared" si="37"/>
        <v>Д</v>
      </c>
      <c r="B98" s="31" t="str">
        <f t="shared" si="38"/>
        <v>Б</v>
      </c>
      <c r="C98" s="32" t="s">
        <v>75</v>
      </c>
      <c r="D98" s="33" t="str">
        <f t="shared" si="39"/>
        <v>Факультет физико-математических и естественных наук</v>
      </c>
      <c r="E98" s="34" t="str">
        <f t="shared" si="40"/>
        <v>'09.03.03</v>
      </c>
      <c r="F98" s="35" t="str">
        <f t="shared" si="41"/>
        <v>Прикладная информатика</v>
      </c>
      <c r="G98" s="36" t="s">
        <v>76</v>
      </c>
      <c r="H98" s="36" t="s">
        <v>135</v>
      </c>
      <c r="I98" s="37"/>
      <c r="J98" s="37" t="s">
        <v>137</v>
      </c>
      <c r="K98" s="38" t="s">
        <v>139</v>
      </c>
      <c r="L98" s="39">
        <v>5</v>
      </c>
      <c r="M98" s="39">
        <v>18</v>
      </c>
      <c r="N98" s="40" t="s">
        <v>94</v>
      </c>
      <c r="O98" s="39"/>
      <c r="P98" s="39">
        <v>2</v>
      </c>
      <c r="Q98" s="39"/>
      <c r="R98" s="40"/>
      <c r="S98" s="41"/>
      <c r="T98" s="41"/>
      <c r="U98" s="41"/>
      <c r="V98" s="41"/>
      <c r="W98" s="41"/>
      <c r="X98" s="42" t="str">
        <f t="shared" si="42"/>
        <v>НПИбд</v>
      </c>
      <c r="Y98" s="39" t="s">
        <v>126</v>
      </c>
      <c r="Z98" s="39">
        <v>4</v>
      </c>
      <c r="AA98" s="39">
        <v>2</v>
      </c>
      <c r="AB98" s="42">
        <f t="shared" si="43"/>
        <v>19</v>
      </c>
      <c r="AC98" s="39">
        <v>13</v>
      </c>
      <c r="AD98" s="39">
        <v>6</v>
      </c>
      <c r="AE98" s="44">
        <f t="shared" si="44"/>
        <v>12</v>
      </c>
      <c r="AF98" s="45">
        <f t="shared" si="45"/>
        <v>1</v>
      </c>
      <c r="AG98" s="45">
        <f t="shared" si="46"/>
        <v>1.5833333333333333</v>
      </c>
      <c r="AH98" s="46" t="s">
        <v>82</v>
      </c>
      <c r="AI98" s="40" t="s">
        <v>99</v>
      </c>
      <c r="AJ98" s="40" t="s">
        <v>116</v>
      </c>
      <c r="AK98" s="47" t="s">
        <v>109</v>
      </c>
      <c r="AL98" s="40"/>
      <c r="AM98" s="48">
        <f t="shared" si="47"/>
        <v>0</v>
      </c>
      <c r="AN98" s="48">
        <f t="shared" si="48"/>
        <v>0</v>
      </c>
      <c r="AO98" s="48">
        <f t="shared" si="49"/>
        <v>36</v>
      </c>
      <c r="AP98" s="48">
        <f t="shared" si="50"/>
        <v>0</v>
      </c>
      <c r="AQ98" s="48">
        <f t="shared" si="51"/>
        <v>0</v>
      </c>
      <c r="AR98" s="48">
        <f t="shared" si="52"/>
        <v>0</v>
      </c>
      <c r="AS98" s="48">
        <f t="shared" si="53"/>
        <v>0</v>
      </c>
      <c r="AT98" s="48">
        <f t="shared" si="54"/>
        <v>0</v>
      </c>
      <c r="AU98" s="48">
        <f t="shared" si="55"/>
        <v>0</v>
      </c>
      <c r="AV98" s="48">
        <f t="shared" si="56"/>
        <v>0</v>
      </c>
      <c r="AW98" s="48">
        <f>IF(N98="ПП",РПП*AB98*(V98/1.5),IF(N98="ВП",ВПр*AB98*(V98/1.5),IF(N98="РПА",РПА*AB98*(V98/1.5),IF(N98="КПА",кпа*AB98*(V98/1.5),0))))</f>
        <v>0</v>
      </c>
      <c r="AX98" s="48">
        <f t="shared" si="57"/>
        <v>0</v>
      </c>
      <c r="AY98" s="48">
        <f t="shared" si="58"/>
        <v>0</v>
      </c>
      <c r="AZ98" s="48">
        <f t="shared" si="59"/>
        <v>0</v>
      </c>
      <c r="BA98" s="48">
        <f t="shared" si="60"/>
        <v>0</v>
      </c>
      <c r="BB98" s="48">
        <f t="shared" si="61"/>
        <v>0</v>
      </c>
      <c r="BC98" s="48">
        <f t="shared" si="62"/>
        <v>0</v>
      </c>
      <c r="BD98" s="48">
        <f t="shared" si="63"/>
        <v>0</v>
      </c>
      <c r="BE98" s="48">
        <f t="shared" si="64"/>
        <v>0</v>
      </c>
      <c r="BF98" s="49">
        <f t="shared" si="65"/>
        <v>36</v>
      </c>
      <c r="BG98" s="50"/>
      <c r="BH98" s="51">
        <f t="shared" si="66"/>
        <v>36</v>
      </c>
      <c r="BI98" s="51">
        <f t="shared" si="67"/>
        <v>1</v>
      </c>
      <c r="BJ98" s="51">
        <f t="shared" si="68"/>
        <v>0</v>
      </c>
      <c r="BK98" s="52">
        <f t="shared" si="69"/>
        <v>0</v>
      </c>
      <c r="BL98" s="52">
        <f t="shared" si="70"/>
        <v>0</v>
      </c>
      <c r="BM98" s="52">
        <f t="shared" si="71"/>
        <v>0</v>
      </c>
    </row>
    <row r="99" spans="1:65" ht="30" customHeight="1" x14ac:dyDescent="0.25">
      <c r="A99" s="31" t="str">
        <f t="shared" si="37"/>
        <v>Д</v>
      </c>
      <c r="B99" s="31" t="str">
        <f t="shared" si="38"/>
        <v>Б</v>
      </c>
      <c r="C99" s="32" t="s">
        <v>75</v>
      </c>
      <c r="D99" s="33" t="str">
        <f t="shared" si="39"/>
        <v>Факультет физико-математических и естественных наук</v>
      </c>
      <c r="E99" s="34" t="str">
        <f t="shared" si="40"/>
        <v>'09.03.03</v>
      </c>
      <c r="F99" s="35" t="str">
        <f t="shared" si="41"/>
        <v>Прикладная информатика</v>
      </c>
      <c r="G99" s="36" t="s">
        <v>76</v>
      </c>
      <c r="H99" s="36" t="s">
        <v>135</v>
      </c>
      <c r="I99" s="37" t="s">
        <v>136</v>
      </c>
      <c r="J99" s="37" t="s">
        <v>137</v>
      </c>
      <c r="K99" s="38" t="s">
        <v>140</v>
      </c>
      <c r="L99" s="39">
        <v>5</v>
      </c>
      <c r="M99" s="39">
        <v>18</v>
      </c>
      <c r="N99" s="40" t="s">
        <v>79</v>
      </c>
      <c r="O99" s="39">
        <v>1</v>
      </c>
      <c r="P99" s="39"/>
      <c r="Q99" s="39"/>
      <c r="R99" s="40"/>
      <c r="S99" s="41"/>
      <c r="T99" s="41"/>
      <c r="U99" s="41"/>
      <c r="V99" s="41"/>
      <c r="W99" s="41"/>
      <c r="X99" s="42" t="str">
        <f t="shared" si="42"/>
        <v>НПИбд</v>
      </c>
      <c r="Y99" s="39" t="s">
        <v>126</v>
      </c>
      <c r="Z99" s="39">
        <v>4</v>
      </c>
      <c r="AA99" s="39">
        <v>2</v>
      </c>
      <c r="AB99" s="42">
        <f t="shared" si="43"/>
        <v>19</v>
      </c>
      <c r="AC99" s="39">
        <v>13</v>
      </c>
      <c r="AD99" s="39">
        <v>6</v>
      </c>
      <c r="AE99" s="44">
        <f t="shared" si="44"/>
        <v>19</v>
      </c>
      <c r="AF99" s="45">
        <f t="shared" si="45"/>
        <v>1</v>
      </c>
      <c r="AG99" s="45">
        <f t="shared" si="46"/>
        <v>1</v>
      </c>
      <c r="AH99" s="46" t="s">
        <v>82</v>
      </c>
      <c r="AI99" s="40" t="s">
        <v>83</v>
      </c>
      <c r="AJ99" s="40" t="s">
        <v>116</v>
      </c>
      <c r="AK99" s="57" t="s">
        <v>141</v>
      </c>
      <c r="AL99" s="40"/>
      <c r="AM99" s="48">
        <f t="shared" si="47"/>
        <v>18</v>
      </c>
      <c r="AN99" s="48">
        <f t="shared" si="48"/>
        <v>0</v>
      </c>
      <c r="AO99" s="48">
        <f t="shared" si="49"/>
        <v>0</v>
      </c>
      <c r="AP99" s="48">
        <f t="shared" si="50"/>
        <v>0</v>
      </c>
      <c r="AQ99" s="48">
        <f t="shared" si="51"/>
        <v>0</v>
      </c>
      <c r="AR99" s="48">
        <f t="shared" si="52"/>
        <v>0</v>
      </c>
      <c r="AS99" s="48">
        <f t="shared" si="53"/>
        <v>1.8</v>
      </c>
      <c r="AT99" s="48">
        <f t="shared" si="54"/>
        <v>0</v>
      </c>
      <c r="AU99" s="48">
        <f t="shared" si="55"/>
        <v>0</v>
      </c>
      <c r="AV99" s="48">
        <f t="shared" si="56"/>
        <v>0</v>
      </c>
      <c r="AW99" s="48">
        <f>IF(N99="ПП",РПП*AB99*(V99/1.5),IF(N99="ВП",ВПр*AB99*(V99/1.5),IF(N99="РПА",РПА*AB99*(V99/1.5),IF(N99="КПА",кпа*AB99*(V99/1.5),0))))</f>
        <v>0</v>
      </c>
      <c r="AX99" s="48">
        <f t="shared" si="57"/>
        <v>0</v>
      </c>
      <c r="AY99" s="48">
        <f t="shared" si="58"/>
        <v>0</v>
      </c>
      <c r="AZ99" s="48">
        <f t="shared" si="59"/>
        <v>0</v>
      </c>
      <c r="BA99" s="48">
        <f t="shared" si="60"/>
        <v>0</v>
      </c>
      <c r="BB99" s="48">
        <f t="shared" si="61"/>
        <v>0</v>
      </c>
      <c r="BC99" s="48">
        <f t="shared" si="62"/>
        <v>0</v>
      </c>
      <c r="BD99" s="48">
        <f t="shared" si="63"/>
        <v>0</v>
      </c>
      <c r="BE99" s="48">
        <f t="shared" si="64"/>
        <v>0</v>
      </c>
      <c r="BF99" s="49">
        <f t="shared" si="65"/>
        <v>19.8</v>
      </c>
      <c r="BG99" s="50"/>
      <c r="BH99" s="51">
        <f t="shared" si="66"/>
        <v>18</v>
      </c>
      <c r="BI99" s="51">
        <f t="shared" si="67"/>
        <v>0.5</v>
      </c>
      <c r="BJ99" s="51">
        <f t="shared" si="68"/>
        <v>1.8</v>
      </c>
      <c r="BK99" s="52">
        <f t="shared" si="69"/>
        <v>0</v>
      </c>
      <c r="BL99" s="52">
        <f t="shared" si="70"/>
        <v>0</v>
      </c>
      <c r="BM99" s="52">
        <f t="shared" si="71"/>
        <v>0</v>
      </c>
    </row>
    <row r="100" spans="1:65" ht="30" customHeight="1" x14ac:dyDescent="0.25">
      <c r="A100" s="31" t="str">
        <f t="shared" si="37"/>
        <v>Д</v>
      </c>
      <c r="B100" s="31" t="str">
        <f t="shared" si="38"/>
        <v>Б</v>
      </c>
      <c r="C100" s="32" t="s">
        <v>75</v>
      </c>
      <c r="D100" s="33" t="str">
        <f t="shared" si="39"/>
        <v>Факультет физико-математических и естественных наук</v>
      </c>
      <c r="E100" s="34" t="str">
        <f t="shared" si="40"/>
        <v>'09.03.03</v>
      </c>
      <c r="F100" s="35" t="str">
        <f t="shared" si="41"/>
        <v>Прикладная информатика</v>
      </c>
      <c r="G100" s="36" t="s">
        <v>76</v>
      </c>
      <c r="H100" s="36" t="s">
        <v>135</v>
      </c>
      <c r="I100" s="37" t="s">
        <v>136</v>
      </c>
      <c r="J100" s="37" t="s">
        <v>137</v>
      </c>
      <c r="K100" s="38" t="s">
        <v>140</v>
      </c>
      <c r="L100" s="39">
        <v>5</v>
      </c>
      <c r="M100" s="39">
        <v>18</v>
      </c>
      <c r="N100" s="40" t="s">
        <v>94</v>
      </c>
      <c r="O100" s="39"/>
      <c r="P100" s="39">
        <v>1</v>
      </c>
      <c r="Q100" s="39"/>
      <c r="R100" s="40" t="s">
        <v>95</v>
      </c>
      <c r="S100" s="41"/>
      <c r="T100" s="41"/>
      <c r="U100" s="41"/>
      <c r="V100" s="41"/>
      <c r="W100" s="41"/>
      <c r="X100" s="42" t="str">
        <f t="shared" si="42"/>
        <v>НПИбд</v>
      </c>
      <c r="Y100" s="39" t="s">
        <v>126</v>
      </c>
      <c r="Z100" s="39">
        <v>4</v>
      </c>
      <c r="AA100" s="39">
        <v>2</v>
      </c>
      <c r="AB100" s="42">
        <f t="shared" si="43"/>
        <v>19</v>
      </c>
      <c r="AC100" s="39">
        <v>13</v>
      </c>
      <c r="AD100" s="39">
        <v>6</v>
      </c>
      <c r="AE100" s="44">
        <f t="shared" si="44"/>
        <v>12</v>
      </c>
      <c r="AF100" s="45">
        <f t="shared" si="45"/>
        <v>1</v>
      </c>
      <c r="AG100" s="45">
        <f t="shared" si="46"/>
        <v>1.5833333333333333</v>
      </c>
      <c r="AH100" s="46" t="s">
        <v>82</v>
      </c>
      <c r="AI100" s="40" t="s">
        <v>99</v>
      </c>
      <c r="AJ100" s="40" t="s">
        <v>116</v>
      </c>
      <c r="AK100" s="47" t="s">
        <v>141</v>
      </c>
      <c r="AL100" s="40"/>
      <c r="AM100" s="48">
        <f t="shared" si="47"/>
        <v>0</v>
      </c>
      <c r="AN100" s="48">
        <f t="shared" si="48"/>
        <v>0</v>
      </c>
      <c r="AO100" s="48">
        <f t="shared" si="49"/>
        <v>18</v>
      </c>
      <c r="AP100" s="48">
        <f t="shared" si="50"/>
        <v>6.2700000000000005</v>
      </c>
      <c r="AQ100" s="48">
        <f t="shared" si="51"/>
        <v>9.5</v>
      </c>
      <c r="AR100" s="48">
        <f t="shared" si="52"/>
        <v>2</v>
      </c>
      <c r="AS100" s="48">
        <f t="shared" si="53"/>
        <v>0</v>
      </c>
      <c r="AT100" s="48">
        <f t="shared" si="54"/>
        <v>0</v>
      </c>
      <c r="AU100" s="48">
        <f t="shared" si="55"/>
        <v>0</v>
      </c>
      <c r="AV100" s="48">
        <f t="shared" si="56"/>
        <v>0</v>
      </c>
      <c r="AW100" s="48">
        <f>IF(N100="ПП",РПП*AB100*(V100/1.5),IF(N100="ВП",ВПр*AB100*(V100/1.5),IF(N100="РПА",РПА*AB100*(V100/1.5),IF(N100="КПА",кпа*AB100*(V100/1.5),0))))</f>
        <v>0</v>
      </c>
      <c r="AX100" s="48">
        <f t="shared" si="57"/>
        <v>0</v>
      </c>
      <c r="AY100" s="48">
        <f t="shared" si="58"/>
        <v>0</v>
      </c>
      <c r="AZ100" s="48">
        <f t="shared" si="59"/>
        <v>0</v>
      </c>
      <c r="BA100" s="48">
        <f t="shared" si="60"/>
        <v>0</v>
      </c>
      <c r="BB100" s="48">
        <f t="shared" si="61"/>
        <v>0</v>
      </c>
      <c r="BC100" s="48">
        <f t="shared" si="62"/>
        <v>0</v>
      </c>
      <c r="BD100" s="48">
        <f t="shared" si="63"/>
        <v>0</v>
      </c>
      <c r="BE100" s="48">
        <f t="shared" si="64"/>
        <v>0</v>
      </c>
      <c r="BF100" s="49">
        <f t="shared" si="65"/>
        <v>35.769999999999996</v>
      </c>
      <c r="BG100" s="50"/>
      <c r="BH100" s="51">
        <f t="shared" si="66"/>
        <v>18</v>
      </c>
      <c r="BI100" s="51">
        <f t="shared" si="67"/>
        <v>0.5</v>
      </c>
      <c r="BJ100" s="51">
        <f t="shared" si="68"/>
        <v>17.77</v>
      </c>
      <c r="BK100" s="52">
        <f t="shared" si="69"/>
        <v>0</v>
      </c>
      <c r="BL100" s="52">
        <f t="shared" si="70"/>
        <v>0</v>
      </c>
      <c r="BM100" s="52">
        <f t="shared" si="71"/>
        <v>0</v>
      </c>
    </row>
    <row r="101" spans="1:65" ht="30" customHeight="1" x14ac:dyDescent="0.25">
      <c r="A101" s="31" t="str">
        <f t="shared" si="37"/>
        <v>Д</v>
      </c>
      <c r="B101" s="31" t="str">
        <f t="shared" si="38"/>
        <v>Б</v>
      </c>
      <c r="C101" s="32" t="s">
        <v>75</v>
      </c>
      <c r="D101" s="33" t="str">
        <f t="shared" si="39"/>
        <v>Факультет физико-математических и естественных наук</v>
      </c>
      <c r="E101" s="34" t="str">
        <f t="shared" si="40"/>
        <v>'09.03.03</v>
      </c>
      <c r="F101" s="35" t="str">
        <f t="shared" si="41"/>
        <v>Прикладная информатика</v>
      </c>
      <c r="G101" s="36" t="s">
        <v>76</v>
      </c>
      <c r="H101" s="36" t="s">
        <v>135</v>
      </c>
      <c r="I101" s="37" t="s">
        <v>136</v>
      </c>
      <c r="J101" s="37" t="s">
        <v>137</v>
      </c>
      <c r="K101" s="38" t="s">
        <v>142</v>
      </c>
      <c r="L101" s="39">
        <v>5</v>
      </c>
      <c r="M101" s="39">
        <v>18</v>
      </c>
      <c r="N101" s="40" t="s">
        <v>79</v>
      </c>
      <c r="O101" s="39">
        <v>1</v>
      </c>
      <c r="P101" s="39"/>
      <c r="Q101" s="39"/>
      <c r="R101" s="40"/>
      <c r="S101" s="41"/>
      <c r="T101" s="41"/>
      <c r="U101" s="41"/>
      <c r="V101" s="41"/>
      <c r="W101" s="41"/>
      <c r="X101" s="42" t="str">
        <f t="shared" si="42"/>
        <v>НПИбд</v>
      </c>
      <c r="Y101" s="39" t="s">
        <v>126</v>
      </c>
      <c r="Z101" s="39">
        <v>4</v>
      </c>
      <c r="AA101" s="39">
        <v>2</v>
      </c>
      <c r="AB101" s="42">
        <f t="shared" si="43"/>
        <v>19</v>
      </c>
      <c r="AC101" s="39">
        <v>13</v>
      </c>
      <c r="AD101" s="39">
        <v>6</v>
      </c>
      <c r="AE101" s="44">
        <f t="shared" si="44"/>
        <v>19</v>
      </c>
      <c r="AF101" s="45">
        <f t="shared" si="45"/>
        <v>1</v>
      </c>
      <c r="AG101" s="45">
        <f t="shared" si="46"/>
        <v>1</v>
      </c>
      <c r="AH101" s="46" t="s">
        <v>82</v>
      </c>
      <c r="AI101" s="40" t="s">
        <v>99</v>
      </c>
      <c r="AJ101" s="40" t="s">
        <v>116</v>
      </c>
      <c r="AK101" s="47" t="s">
        <v>141</v>
      </c>
      <c r="AL101" s="40"/>
      <c r="AM101" s="48">
        <f t="shared" si="47"/>
        <v>18</v>
      </c>
      <c r="AN101" s="48">
        <f t="shared" si="48"/>
        <v>0</v>
      </c>
      <c r="AO101" s="48">
        <f t="shared" si="49"/>
        <v>0</v>
      </c>
      <c r="AP101" s="48">
        <f t="shared" si="50"/>
        <v>0</v>
      </c>
      <c r="AQ101" s="48">
        <f t="shared" si="51"/>
        <v>0</v>
      </c>
      <c r="AR101" s="48">
        <f t="shared" si="52"/>
        <v>0</v>
      </c>
      <c r="AS101" s="48">
        <f t="shared" si="53"/>
        <v>1.8</v>
      </c>
      <c r="AT101" s="48">
        <f t="shared" si="54"/>
        <v>0</v>
      </c>
      <c r="AU101" s="48">
        <f t="shared" si="55"/>
        <v>0</v>
      </c>
      <c r="AV101" s="48">
        <f t="shared" si="56"/>
        <v>0</v>
      </c>
      <c r="AW101" s="48">
        <f>IF(N101="ПП",РПП*AB101*(V101/1.5),IF(N101="ВП",ВПр*AB101*(V101/1.5),IF(N101="РПА",РПА*AB101*(V101/1.5),IF(N101="КПА",кпа*AB101*(V101/1.5),0))))</f>
        <v>0</v>
      </c>
      <c r="AX101" s="48">
        <f t="shared" si="57"/>
        <v>0</v>
      </c>
      <c r="AY101" s="48">
        <f t="shared" si="58"/>
        <v>0</v>
      </c>
      <c r="AZ101" s="48">
        <f t="shared" si="59"/>
        <v>0</v>
      </c>
      <c r="BA101" s="48">
        <f t="shared" si="60"/>
        <v>0</v>
      </c>
      <c r="BB101" s="48">
        <f t="shared" si="61"/>
        <v>0</v>
      </c>
      <c r="BC101" s="48">
        <f t="shared" si="62"/>
        <v>0</v>
      </c>
      <c r="BD101" s="48">
        <f t="shared" si="63"/>
        <v>0</v>
      </c>
      <c r="BE101" s="48">
        <f t="shared" si="64"/>
        <v>0</v>
      </c>
      <c r="BF101" s="49">
        <f t="shared" si="65"/>
        <v>19.8</v>
      </c>
      <c r="BG101" s="50"/>
      <c r="BH101" s="51">
        <f t="shared" si="66"/>
        <v>18</v>
      </c>
      <c r="BI101" s="51">
        <f t="shared" si="67"/>
        <v>0.5</v>
      </c>
      <c r="BJ101" s="51">
        <f t="shared" si="68"/>
        <v>1.8</v>
      </c>
      <c r="BK101" s="52">
        <f t="shared" si="69"/>
        <v>0</v>
      </c>
      <c r="BL101" s="52">
        <f t="shared" si="70"/>
        <v>0</v>
      </c>
      <c r="BM101" s="52">
        <f t="shared" si="71"/>
        <v>0</v>
      </c>
    </row>
    <row r="102" spans="1:65" ht="30" customHeight="1" x14ac:dyDescent="0.25">
      <c r="A102" s="31" t="str">
        <f t="shared" si="37"/>
        <v>Д</v>
      </c>
      <c r="B102" s="31" t="str">
        <f t="shared" si="38"/>
        <v>Б</v>
      </c>
      <c r="C102" s="32" t="s">
        <v>75</v>
      </c>
      <c r="D102" s="33" t="str">
        <f t="shared" si="39"/>
        <v>Факультет физико-математических и естественных наук</v>
      </c>
      <c r="E102" s="34" t="str">
        <f t="shared" si="40"/>
        <v>'09.03.03</v>
      </c>
      <c r="F102" s="35" t="str">
        <f t="shared" si="41"/>
        <v>Прикладная информатика</v>
      </c>
      <c r="G102" s="36" t="s">
        <v>76</v>
      </c>
      <c r="H102" s="36" t="s">
        <v>135</v>
      </c>
      <c r="I102" s="37" t="s">
        <v>136</v>
      </c>
      <c r="J102" s="37" t="s">
        <v>137</v>
      </c>
      <c r="K102" s="38" t="s">
        <v>142</v>
      </c>
      <c r="L102" s="39">
        <v>5</v>
      </c>
      <c r="M102" s="39">
        <v>18</v>
      </c>
      <c r="N102" s="40" t="s">
        <v>86</v>
      </c>
      <c r="O102" s="39"/>
      <c r="P102" s="39"/>
      <c r="Q102" s="39">
        <v>2</v>
      </c>
      <c r="R102" s="40" t="s">
        <v>95</v>
      </c>
      <c r="S102" s="41"/>
      <c r="T102" s="41"/>
      <c r="U102" s="41"/>
      <c r="V102" s="41"/>
      <c r="W102" s="41"/>
      <c r="X102" s="42" t="str">
        <f t="shared" si="42"/>
        <v>НПИбд</v>
      </c>
      <c r="Y102" s="39" t="s">
        <v>126</v>
      </c>
      <c r="Z102" s="39">
        <v>4</v>
      </c>
      <c r="AA102" s="39">
        <v>2</v>
      </c>
      <c r="AB102" s="42">
        <f t="shared" si="43"/>
        <v>19</v>
      </c>
      <c r="AC102" s="39">
        <v>13</v>
      </c>
      <c r="AD102" s="39">
        <v>6</v>
      </c>
      <c r="AE102" s="44">
        <f t="shared" si="44"/>
        <v>24</v>
      </c>
      <c r="AF102" s="45">
        <f t="shared" si="45"/>
        <v>0.79166666666666663</v>
      </c>
      <c r="AG102" s="45">
        <f t="shared" si="46"/>
        <v>0.79166666666666663</v>
      </c>
      <c r="AH102" s="46" t="s">
        <v>82</v>
      </c>
      <c r="AI102" s="40" t="s">
        <v>99</v>
      </c>
      <c r="AJ102" s="40" t="s">
        <v>116</v>
      </c>
      <c r="AK102" s="53" t="s">
        <v>141</v>
      </c>
      <c r="AL102" s="40"/>
      <c r="AM102" s="48">
        <f t="shared" si="47"/>
        <v>0</v>
      </c>
      <c r="AN102" s="48">
        <f t="shared" si="48"/>
        <v>28.5</v>
      </c>
      <c r="AO102" s="48">
        <f t="shared" si="49"/>
        <v>0</v>
      </c>
      <c r="AP102" s="48">
        <f t="shared" si="50"/>
        <v>6.2700000000000005</v>
      </c>
      <c r="AQ102" s="48">
        <f t="shared" si="51"/>
        <v>9.5</v>
      </c>
      <c r="AR102" s="48">
        <f t="shared" si="52"/>
        <v>0.79166666666666663</v>
      </c>
      <c r="AS102" s="48">
        <f t="shared" si="53"/>
        <v>0</v>
      </c>
      <c r="AT102" s="48">
        <f t="shared" si="54"/>
        <v>0</v>
      </c>
      <c r="AU102" s="48">
        <f t="shared" si="55"/>
        <v>0</v>
      </c>
      <c r="AV102" s="48">
        <f t="shared" si="56"/>
        <v>0</v>
      </c>
      <c r="AW102" s="48">
        <f>IF(N102="ПП",РПП*AB102*(V102/1.5),IF(N102="ВП",ВПр*AB102*(V102/1.5),IF(N102="РПА",РПА*AB102*(V102/1.5),IF(N102="КПА",кпа*AB102*(V102/1.5),0))))</f>
        <v>0</v>
      </c>
      <c r="AX102" s="48">
        <f t="shared" si="57"/>
        <v>0</v>
      </c>
      <c r="AY102" s="48">
        <f t="shared" si="58"/>
        <v>0</v>
      </c>
      <c r="AZ102" s="48">
        <f t="shared" si="59"/>
        <v>0</v>
      </c>
      <c r="BA102" s="48">
        <f t="shared" si="60"/>
        <v>0</v>
      </c>
      <c r="BB102" s="48">
        <f t="shared" si="61"/>
        <v>0</v>
      </c>
      <c r="BC102" s="48">
        <f t="shared" si="62"/>
        <v>0</v>
      </c>
      <c r="BD102" s="48">
        <f t="shared" si="63"/>
        <v>0</v>
      </c>
      <c r="BE102" s="48">
        <f t="shared" si="64"/>
        <v>0</v>
      </c>
      <c r="BF102" s="49">
        <f t="shared" si="65"/>
        <v>45.061666666666667</v>
      </c>
      <c r="BG102" s="50"/>
      <c r="BH102" s="51">
        <f t="shared" si="66"/>
        <v>28.5</v>
      </c>
      <c r="BI102" s="51">
        <f t="shared" si="67"/>
        <v>1</v>
      </c>
      <c r="BJ102" s="51">
        <f t="shared" si="68"/>
        <v>16.561666666666667</v>
      </c>
      <c r="BK102" s="52">
        <f t="shared" si="69"/>
        <v>0</v>
      </c>
      <c r="BL102" s="52">
        <f t="shared" si="70"/>
        <v>0</v>
      </c>
      <c r="BM102" s="52">
        <f t="shared" si="71"/>
        <v>0</v>
      </c>
    </row>
    <row r="103" spans="1:65" ht="30" customHeight="1" x14ac:dyDescent="0.25">
      <c r="A103" s="31" t="str">
        <f t="shared" si="37"/>
        <v>Д</v>
      </c>
      <c r="B103" s="31" t="str">
        <f t="shared" si="38"/>
        <v>Б</v>
      </c>
      <c r="C103" s="32" t="s">
        <v>75</v>
      </c>
      <c r="D103" s="33" t="str">
        <f t="shared" si="39"/>
        <v>Факультет физико-математических и естественных наук</v>
      </c>
      <c r="E103" s="34" t="str">
        <f t="shared" si="40"/>
        <v>'09.03.03</v>
      </c>
      <c r="F103" s="35" t="str">
        <f t="shared" si="41"/>
        <v>Прикладная информатика</v>
      </c>
      <c r="G103" s="36" t="s">
        <v>76</v>
      </c>
      <c r="H103" s="36" t="s">
        <v>135</v>
      </c>
      <c r="I103" s="37" t="s">
        <v>136</v>
      </c>
      <c r="J103" s="37" t="s">
        <v>137</v>
      </c>
      <c r="K103" s="38" t="s">
        <v>143</v>
      </c>
      <c r="L103" s="39">
        <v>5</v>
      </c>
      <c r="M103" s="39">
        <v>18</v>
      </c>
      <c r="N103" s="40" t="s">
        <v>79</v>
      </c>
      <c r="O103" s="39">
        <v>1</v>
      </c>
      <c r="P103" s="39"/>
      <c r="Q103" s="39"/>
      <c r="R103" s="40"/>
      <c r="S103" s="41"/>
      <c r="T103" s="41"/>
      <c r="U103" s="41"/>
      <c r="V103" s="41"/>
      <c r="W103" s="41"/>
      <c r="X103" s="42" t="str">
        <f t="shared" si="42"/>
        <v>НПИбд</v>
      </c>
      <c r="Y103" s="39" t="s">
        <v>126</v>
      </c>
      <c r="Z103" s="39">
        <v>4</v>
      </c>
      <c r="AA103" s="39">
        <v>2</v>
      </c>
      <c r="AB103" s="42">
        <f t="shared" si="43"/>
        <v>15</v>
      </c>
      <c r="AC103" s="39">
        <v>11</v>
      </c>
      <c r="AD103" s="39">
        <v>4</v>
      </c>
      <c r="AE103" s="44">
        <f t="shared" si="44"/>
        <v>15</v>
      </c>
      <c r="AF103" s="45">
        <f t="shared" si="45"/>
        <v>1</v>
      </c>
      <c r="AG103" s="45">
        <f t="shared" si="46"/>
        <v>1</v>
      </c>
      <c r="AH103" s="46" t="s">
        <v>82</v>
      </c>
      <c r="AI103" s="40" t="s">
        <v>83</v>
      </c>
      <c r="AJ103" s="40" t="s">
        <v>84</v>
      </c>
      <c r="AK103" s="47" t="s">
        <v>144</v>
      </c>
      <c r="AL103" s="40"/>
      <c r="AM103" s="48">
        <f t="shared" si="47"/>
        <v>18</v>
      </c>
      <c r="AN103" s="48">
        <f t="shared" si="48"/>
        <v>0</v>
      </c>
      <c r="AO103" s="48">
        <f t="shared" si="49"/>
        <v>0</v>
      </c>
      <c r="AP103" s="48">
        <f t="shared" si="50"/>
        <v>0</v>
      </c>
      <c r="AQ103" s="48">
        <f t="shared" si="51"/>
        <v>0</v>
      </c>
      <c r="AR103" s="48">
        <f t="shared" si="52"/>
        <v>0</v>
      </c>
      <c r="AS103" s="48">
        <f t="shared" si="53"/>
        <v>1.8</v>
      </c>
      <c r="AT103" s="48">
        <f t="shared" si="54"/>
        <v>0</v>
      </c>
      <c r="AU103" s="48">
        <f t="shared" si="55"/>
        <v>0</v>
      </c>
      <c r="AV103" s="48">
        <f t="shared" si="56"/>
        <v>0</v>
      </c>
      <c r="AW103" s="48">
        <f>IF(N103="ПП",РПП*AB103*(V103/1.5),IF(N103="ВП",ВПр*AB103*(V103/1.5),IF(N103="РПА",РПА*AB103*(V103/1.5),IF(N103="КПА",кпа*AB103*(V103/1.5),0))))</f>
        <v>0</v>
      </c>
      <c r="AX103" s="48">
        <f t="shared" si="57"/>
        <v>0</v>
      </c>
      <c r="AY103" s="48">
        <f t="shared" si="58"/>
        <v>0</v>
      </c>
      <c r="AZ103" s="48">
        <f t="shared" si="59"/>
        <v>0</v>
      </c>
      <c r="BA103" s="48">
        <f t="shared" si="60"/>
        <v>0</v>
      </c>
      <c r="BB103" s="48">
        <f t="shared" si="61"/>
        <v>0</v>
      </c>
      <c r="BC103" s="48">
        <f t="shared" si="62"/>
        <v>0</v>
      </c>
      <c r="BD103" s="48">
        <f t="shared" si="63"/>
        <v>0</v>
      </c>
      <c r="BE103" s="48">
        <f t="shared" si="64"/>
        <v>0</v>
      </c>
      <c r="BF103" s="49">
        <f t="shared" si="65"/>
        <v>19.8</v>
      </c>
      <c r="BG103" s="50"/>
      <c r="BH103" s="51">
        <f t="shared" si="66"/>
        <v>18</v>
      </c>
      <c r="BI103" s="51">
        <f t="shared" si="67"/>
        <v>0.5</v>
      </c>
      <c r="BJ103" s="51">
        <f t="shared" si="68"/>
        <v>1.8</v>
      </c>
      <c r="BK103" s="52">
        <f t="shared" si="69"/>
        <v>0</v>
      </c>
      <c r="BL103" s="52">
        <f t="shared" si="70"/>
        <v>0</v>
      </c>
      <c r="BM103" s="52">
        <f t="shared" si="71"/>
        <v>0</v>
      </c>
    </row>
    <row r="104" spans="1:65" ht="30" customHeight="1" x14ac:dyDescent="0.25">
      <c r="A104" s="31" t="str">
        <f t="shared" si="37"/>
        <v>Д</v>
      </c>
      <c r="B104" s="31" t="str">
        <f t="shared" si="38"/>
        <v>Б</v>
      </c>
      <c r="C104" s="32" t="s">
        <v>75</v>
      </c>
      <c r="D104" s="33" t="str">
        <f t="shared" si="39"/>
        <v>Факультет физико-математических и естественных наук</v>
      </c>
      <c r="E104" s="34" t="str">
        <f t="shared" si="40"/>
        <v>'09.03.03</v>
      </c>
      <c r="F104" s="35" t="str">
        <f t="shared" si="41"/>
        <v>Прикладная информатика</v>
      </c>
      <c r="G104" s="36" t="s">
        <v>76</v>
      </c>
      <c r="H104" s="36" t="s">
        <v>135</v>
      </c>
      <c r="I104" s="37" t="s">
        <v>136</v>
      </c>
      <c r="J104" s="37" t="s">
        <v>137</v>
      </c>
      <c r="K104" s="38" t="s">
        <v>143</v>
      </c>
      <c r="L104" s="39">
        <v>5</v>
      </c>
      <c r="M104" s="39">
        <v>18</v>
      </c>
      <c r="N104" s="40" t="s">
        <v>94</v>
      </c>
      <c r="O104" s="39"/>
      <c r="P104" s="39">
        <v>2</v>
      </c>
      <c r="Q104" s="39"/>
      <c r="R104" s="40" t="s">
        <v>95</v>
      </c>
      <c r="S104" s="41"/>
      <c r="T104" s="41"/>
      <c r="U104" s="41"/>
      <c r="V104" s="41"/>
      <c r="W104" s="41"/>
      <c r="X104" s="42" t="str">
        <f t="shared" si="42"/>
        <v>НПИбд</v>
      </c>
      <c r="Y104" s="39" t="s">
        <v>126</v>
      </c>
      <c r="Z104" s="39">
        <v>4</v>
      </c>
      <c r="AA104" s="39">
        <v>2</v>
      </c>
      <c r="AB104" s="42">
        <f t="shared" si="43"/>
        <v>15</v>
      </c>
      <c r="AC104" s="39">
        <v>11</v>
      </c>
      <c r="AD104" s="39">
        <v>4</v>
      </c>
      <c r="AE104" s="44">
        <f t="shared" si="44"/>
        <v>12</v>
      </c>
      <c r="AF104" s="45">
        <f t="shared" si="45"/>
        <v>1</v>
      </c>
      <c r="AG104" s="45">
        <f t="shared" si="46"/>
        <v>1.25</v>
      </c>
      <c r="AH104" s="46" t="s">
        <v>82</v>
      </c>
      <c r="AI104" s="40" t="s">
        <v>83</v>
      </c>
      <c r="AJ104" s="40" t="s">
        <v>84</v>
      </c>
      <c r="AK104" s="47" t="s">
        <v>144</v>
      </c>
      <c r="AL104" s="40"/>
      <c r="AM104" s="48">
        <f t="shared" si="47"/>
        <v>0</v>
      </c>
      <c r="AN104" s="48">
        <f t="shared" si="48"/>
        <v>0</v>
      </c>
      <c r="AO104" s="48">
        <f t="shared" si="49"/>
        <v>36</v>
      </c>
      <c r="AP104" s="48">
        <f t="shared" si="50"/>
        <v>4.95</v>
      </c>
      <c r="AQ104" s="48">
        <f t="shared" si="51"/>
        <v>7.5</v>
      </c>
      <c r="AR104" s="48">
        <f t="shared" si="52"/>
        <v>2</v>
      </c>
      <c r="AS104" s="48">
        <f t="shared" si="53"/>
        <v>0</v>
      </c>
      <c r="AT104" s="48">
        <f t="shared" si="54"/>
        <v>0</v>
      </c>
      <c r="AU104" s="48">
        <f t="shared" si="55"/>
        <v>0</v>
      </c>
      <c r="AV104" s="48">
        <f t="shared" si="56"/>
        <v>0</v>
      </c>
      <c r="AW104" s="48">
        <f>IF(N104="ПП",РПП*AB104*(V104/1.5),IF(N104="ВП",ВПр*AB104*(V104/1.5),IF(N104="РПА",РПА*AB104*(V104/1.5),IF(N104="КПА",кпа*AB104*(V104/1.5),0))))</f>
        <v>0</v>
      </c>
      <c r="AX104" s="48">
        <f t="shared" si="57"/>
        <v>0</v>
      </c>
      <c r="AY104" s="48">
        <f t="shared" si="58"/>
        <v>0</v>
      </c>
      <c r="AZ104" s="48">
        <f t="shared" si="59"/>
        <v>0</v>
      </c>
      <c r="BA104" s="48">
        <f t="shared" si="60"/>
        <v>0</v>
      </c>
      <c r="BB104" s="48">
        <f t="shared" si="61"/>
        <v>0</v>
      </c>
      <c r="BC104" s="48">
        <f t="shared" si="62"/>
        <v>0</v>
      </c>
      <c r="BD104" s="48">
        <f t="shared" si="63"/>
        <v>0</v>
      </c>
      <c r="BE104" s="48">
        <f t="shared" si="64"/>
        <v>0</v>
      </c>
      <c r="BF104" s="49">
        <f t="shared" si="65"/>
        <v>50.45</v>
      </c>
      <c r="BG104" s="50"/>
      <c r="BH104" s="51">
        <f t="shared" si="66"/>
        <v>36</v>
      </c>
      <c r="BI104" s="51">
        <f t="shared" si="67"/>
        <v>1</v>
      </c>
      <c r="BJ104" s="51">
        <f t="shared" si="68"/>
        <v>14.45</v>
      </c>
      <c r="BK104" s="52">
        <f t="shared" si="69"/>
        <v>0</v>
      </c>
      <c r="BL104" s="52">
        <f t="shared" si="70"/>
        <v>0</v>
      </c>
      <c r="BM104" s="52">
        <f t="shared" si="71"/>
        <v>0</v>
      </c>
    </row>
    <row r="105" spans="1:65" ht="30" customHeight="1" x14ac:dyDescent="0.25">
      <c r="A105" s="31" t="str">
        <f t="shared" si="37"/>
        <v>Д</v>
      </c>
      <c r="B105" s="31" t="str">
        <f t="shared" si="38"/>
        <v>Б</v>
      </c>
      <c r="C105" s="32" t="s">
        <v>75</v>
      </c>
      <c r="D105" s="33" t="str">
        <f t="shared" si="39"/>
        <v>Факультет физико-математических и естественных наук</v>
      </c>
      <c r="E105" s="34" t="str">
        <f t="shared" si="40"/>
        <v>'09.03.03</v>
      </c>
      <c r="F105" s="35" t="str">
        <f t="shared" si="41"/>
        <v>Прикладная информатика</v>
      </c>
      <c r="G105" s="36" t="s">
        <v>76</v>
      </c>
      <c r="H105" s="36" t="s">
        <v>77</v>
      </c>
      <c r="I105" s="37" t="s">
        <v>90</v>
      </c>
      <c r="J105" s="37"/>
      <c r="K105" s="38" t="s">
        <v>145</v>
      </c>
      <c r="L105" s="39">
        <v>6</v>
      </c>
      <c r="M105" s="39">
        <v>18</v>
      </c>
      <c r="N105" s="40" t="s">
        <v>79</v>
      </c>
      <c r="O105" s="39">
        <v>1</v>
      </c>
      <c r="P105" s="39"/>
      <c r="Q105" s="39"/>
      <c r="R105" s="40" t="s">
        <v>80</v>
      </c>
      <c r="S105" s="41"/>
      <c r="T105" s="41"/>
      <c r="U105" s="41"/>
      <c r="V105" s="41"/>
      <c r="W105" s="41"/>
      <c r="X105" s="42" t="str">
        <f t="shared" si="42"/>
        <v>НПИбд</v>
      </c>
      <c r="Y105" s="39" t="s">
        <v>126</v>
      </c>
      <c r="Z105" s="39">
        <v>4</v>
      </c>
      <c r="AA105" s="39">
        <v>2</v>
      </c>
      <c r="AB105" s="42">
        <f t="shared" si="43"/>
        <v>61</v>
      </c>
      <c r="AC105" s="39">
        <v>50</v>
      </c>
      <c r="AD105" s="39">
        <v>11</v>
      </c>
      <c r="AE105" s="44">
        <f t="shared" si="44"/>
        <v>61</v>
      </c>
      <c r="AF105" s="45">
        <f t="shared" si="45"/>
        <v>1</v>
      </c>
      <c r="AG105" s="45">
        <f t="shared" si="46"/>
        <v>1</v>
      </c>
      <c r="AH105" s="46" t="s">
        <v>82</v>
      </c>
      <c r="AI105" s="40" t="s">
        <v>83</v>
      </c>
      <c r="AJ105" s="40" t="s">
        <v>84</v>
      </c>
      <c r="AK105" s="56" t="s">
        <v>144</v>
      </c>
      <c r="AL105" s="40"/>
      <c r="AM105" s="48">
        <f t="shared" si="47"/>
        <v>18</v>
      </c>
      <c r="AN105" s="48">
        <f t="shared" si="48"/>
        <v>0</v>
      </c>
      <c r="AO105" s="48">
        <f t="shared" si="49"/>
        <v>0</v>
      </c>
      <c r="AP105" s="48">
        <f t="shared" si="50"/>
        <v>20.130000000000003</v>
      </c>
      <c r="AQ105" s="48">
        <f t="shared" si="51"/>
        <v>30.5</v>
      </c>
      <c r="AR105" s="48">
        <f t="shared" si="52"/>
        <v>2</v>
      </c>
      <c r="AS105" s="48">
        <f t="shared" si="53"/>
        <v>1.8</v>
      </c>
      <c r="AT105" s="48">
        <f t="shared" si="54"/>
        <v>0</v>
      </c>
      <c r="AU105" s="48">
        <f t="shared" si="55"/>
        <v>0</v>
      </c>
      <c r="AV105" s="48">
        <f t="shared" si="56"/>
        <v>0</v>
      </c>
      <c r="AW105" s="48">
        <f>IF(N105="ПП",РПП*AB105*(V105/1.5),IF(N105="ВП",ВПр*AB105*(V105/1.5),IF(N105="РПА",РПА*AB105*(V105/1.5),IF(N105="КПА",кпа*AB105*(V105/1.5),0))))</f>
        <v>0</v>
      </c>
      <c r="AX105" s="48">
        <f t="shared" si="57"/>
        <v>0</v>
      </c>
      <c r="AY105" s="48">
        <f t="shared" si="58"/>
        <v>0</v>
      </c>
      <c r="AZ105" s="48">
        <f t="shared" si="59"/>
        <v>0</v>
      </c>
      <c r="BA105" s="48">
        <f t="shared" si="60"/>
        <v>0</v>
      </c>
      <c r="BB105" s="48">
        <f t="shared" si="61"/>
        <v>0</v>
      </c>
      <c r="BC105" s="48">
        <f t="shared" si="62"/>
        <v>0</v>
      </c>
      <c r="BD105" s="48">
        <f t="shared" si="63"/>
        <v>0</v>
      </c>
      <c r="BE105" s="48">
        <f t="shared" si="64"/>
        <v>0</v>
      </c>
      <c r="BF105" s="49">
        <f t="shared" si="65"/>
        <v>72.429999999999993</v>
      </c>
      <c r="BG105" s="50"/>
      <c r="BH105" s="51">
        <f t="shared" si="66"/>
        <v>0</v>
      </c>
      <c r="BI105" s="51">
        <f t="shared" si="67"/>
        <v>0</v>
      </c>
      <c r="BJ105" s="51">
        <f t="shared" si="68"/>
        <v>0</v>
      </c>
      <c r="BK105" s="52">
        <f t="shared" si="69"/>
        <v>18</v>
      </c>
      <c r="BL105" s="52">
        <f t="shared" si="70"/>
        <v>0.5</v>
      </c>
      <c r="BM105" s="52">
        <f t="shared" si="71"/>
        <v>54.43</v>
      </c>
    </row>
    <row r="106" spans="1:65" ht="30" customHeight="1" x14ac:dyDescent="0.25">
      <c r="A106" s="31" t="str">
        <f t="shared" si="37"/>
        <v>Д</v>
      </c>
      <c r="B106" s="31" t="str">
        <f t="shared" si="38"/>
        <v>Б</v>
      </c>
      <c r="C106" s="32" t="s">
        <v>75</v>
      </c>
      <c r="D106" s="33" t="str">
        <f t="shared" si="39"/>
        <v>Факультет физико-математических и естественных наук</v>
      </c>
      <c r="E106" s="34" t="str">
        <f t="shared" si="40"/>
        <v>'09.03.03</v>
      </c>
      <c r="F106" s="35" t="str">
        <f t="shared" si="41"/>
        <v>Прикладная информатика</v>
      </c>
      <c r="G106" s="36" t="s">
        <v>76</v>
      </c>
      <c r="H106" s="36" t="s">
        <v>77</v>
      </c>
      <c r="I106" s="37" t="s">
        <v>90</v>
      </c>
      <c r="J106" s="37"/>
      <c r="K106" s="38" t="s">
        <v>145</v>
      </c>
      <c r="L106" s="39">
        <v>6</v>
      </c>
      <c r="M106" s="39">
        <v>18</v>
      </c>
      <c r="N106" s="40" t="s">
        <v>94</v>
      </c>
      <c r="O106" s="39"/>
      <c r="P106" s="39">
        <v>2</v>
      </c>
      <c r="Q106" s="39"/>
      <c r="R106" s="40"/>
      <c r="S106" s="41"/>
      <c r="T106" s="41"/>
      <c r="U106" s="41"/>
      <c r="V106" s="41"/>
      <c r="W106" s="41"/>
      <c r="X106" s="42" t="str">
        <f t="shared" si="42"/>
        <v>НПИбд</v>
      </c>
      <c r="Y106" s="39" t="s">
        <v>128</v>
      </c>
      <c r="Z106" s="39">
        <v>1</v>
      </c>
      <c r="AA106" s="39">
        <v>1</v>
      </c>
      <c r="AB106" s="42">
        <f t="shared" si="43"/>
        <v>31</v>
      </c>
      <c r="AC106" s="39">
        <v>25</v>
      </c>
      <c r="AD106" s="39">
        <v>6</v>
      </c>
      <c r="AE106" s="44">
        <f t="shared" si="44"/>
        <v>12</v>
      </c>
      <c r="AF106" s="45">
        <f t="shared" si="45"/>
        <v>1</v>
      </c>
      <c r="AG106" s="45">
        <f t="shared" si="46"/>
        <v>2.5833333333333335</v>
      </c>
      <c r="AH106" s="46" t="s">
        <v>82</v>
      </c>
      <c r="AI106" s="40" t="s">
        <v>83</v>
      </c>
      <c r="AJ106" s="40" t="s">
        <v>116</v>
      </c>
      <c r="AK106" s="53" t="s">
        <v>146</v>
      </c>
      <c r="AL106" s="40"/>
      <c r="AM106" s="48">
        <f t="shared" si="47"/>
        <v>0</v>
      </c>
      <c r="AN106" s="48">
        <f t="shared" si="48"/>
        <v>0</v>
      </c>
      <c r="AO106" s="48">
        <f t="shared" si="49"/>
        <v>36</v>
      </c>
      <c r="AP106" s="48">
        <f t="shared" si="50"/>
        <v>0</v>
      </c>
      <c r="AQ106" s="48">
        <f t="shared" si="51"/>
        <v>0</v>
      </c>
      <c r="AR106" s="48">
        <f t="shared" si="52"/>
        <v>0</v>
      </c>
      <c r="AS106" s="48">
        <f t="shared" si="53"/>
        <v>0</v>
      </c>
      <c r="AT106" s="48">
        <f t="shared" si="54"/>
        <v>0</v>
      </c>
      <c r="AU106" s="48">
        <f t="shared" si="55"/>
        <v>0</v>
      </c>
      <c r="AV106" s="48">
        <f t="shared" si="56"/>
        <v>0</v>
      </c>
      <c r="AW106" s="48">
        <f>IF(N106="ПП",РПП*AB106*(V106/1.5),IF(N106="ВП",ВПр*AB106*(V106/1.5),IF(N106="РПА",РПА*AB106*(V106/1.5),IF(N106="КПА",кпа*AB106*(V106/1.5),0))))</f>
        <v>0</v>
      </c>
      <c r="AX106" s="48">
        <f t="shared" si="57"/>
        <v>0</v>
      </c>
      <c r="AY106" s="48">
        <f t="shared" si="58"/>
        <v>0</v>
      </c>
      <c r="AZ106" s="48">
        <f t="shared" si="59"/>
        <v>0</v>
      </c>
      <c r="BA106" s="48">
        <f t="shared" si="60"/>
        <v>0</v>
      </c>
      <c r="BB106" s="48">
        <f t="shared" si="61"/>
        <v>0</v>
      </c>
      <c r="BC106" s="48">
        <f t="shared" si="62"/>
        <v>0</v>
      </c>
      <c r="BD106" s="48">
        <f t="shared" si="63"/>
        <v>0</v>
      </c>
      <c r="BE106" s="48">
        <f t="shared" si="64"/>
        <v>0</v>
      </c>
      <c r="BF106" s="49">
        <f t="shared" si="65"/>
        <v>36</v>
      </c>
      <c r="BG106" s="50"/>
      <c r="BH106" s="51">
        <f t="shared" si="66"/>
        <v>0</v>
      </c>
      <c r="BI106" s="51">
        <f t="shared" si="67"/>
        <v>0</v>
      </c>
      <c r="BJ106" s="51">
        <f t="shared" si="68"/>
        <v>0</v>
      </c>
      <c r="BK106" s="52">
        <f t="shared" si="69"/>
        <v>36</v>
      </c>
      <c r="BL106" s="52">
        <f t="shared" si="70"/>
        <v>1</v>
      </c>
      <c r="BM106" s="52">
        <f t="shared" si="71"/>
        <v>0</v>
      </c>
    </row>
    <row r="107" spans="1:65" ht="30" customHeight="1" x14ac:dyDescent="0.25">
      <c r="A107" s="31" t="str">
        <f t="shared" si="37"/>
        <v>Д</v>
      </c>
      <c r="B107" s="31" t="str">
        <f t="shared" si="38"/>
        <v>Б</v>
      </c>
      <c r="C107" s="32" t="s">
        <v>75</v>
      </c>
      <c r="D107" s="33" t="str">
        <f t="shared" si="39"/>
        <v>Факультет физико-математических и естественных наук</v>
      </c>
      <c r="E107" s="34" t="str">
        <f t="shared" si="40"/>
        <v>'09.03.03</v>
      </c>
      <c r="F107" s="35" t="str">
        <f t="shared" si="41"/>
        <v>Прикладная информатика</v>
      </c>
      <c r="G107" s="36" t="s">
        <v>76</v>
      </c>
      <c r="H107" s="36" t="s">
        <v>77</v>
      </c>
      <c r="I107" s="37" t="s">
        <v>90</v>
      </c>
      <c r="J107" s="37"/>
      <c r="K107" s="38" t="s">
        <v>145</v>
      </c>
      <c r="L107" s="39">
        <v>6</v>
      </c>
      <c r="M107" s="39">
        <v>18</v>
      </c>
      <c r="N107" s="40" t="s">
        <v>94</v>
      </c>
      <c r="O107" s="39"/>
      <c r="P107" s="39">
        <v>2</v>
      </c>
      <c r="Q107" s="39"/>
      <c r="R107" s="40"/>
      <c r="S107" s="41"/>
      <c r="T107" s="41"/>
      <c r="U107" s="41"/>
      <c r="V107" s="41"/>
      <c r="W107" s="41"/>
      <c r="X107" s="42" t="str">
        <f t="shared" si="42"/>
        <v>НПИбд</v>
      </c>
      <c r="Y107" s="39" t="s">
        <v>128</v>
      </c>
      <c r="Z107" s="39">
        <v>1</v>
      </c>
      <c r="AA107" s="39">
        <v>1</v>
      </c>
      <c r="AB107" s="42">
        <f t="shared" si="43"/>
        <v>0</v>
      </c>
      <c r="AC107" s="39"/>
      <c r="AD107" s="39"/>
      <c r="AE107" s="44">
        <f t="shared" si="44"/>
        <v>12</v>
      </c>
      <c r="AF107" s="45">
        <f t="shared" si="45"/>
        <v>0</v>
      </c>
      <c r="AG107" s="45">
        <f t="shared" si="46"/>
        <v>0</v>
      </c>
      <c r="AH107" s="46" t="s">
        <v>82</v>
      </c>
      <c r="AI107" s="40" t="s">
        <v>83</v>
      </c>
      <c r="AJ107" s="40" t="s">
        <v>116</v>
      </c>
      <c r="AK107" s="47" t="s">
        <v>146</v>
      </c>
      <c r="AL107" s="40"/>
      <c r="AM107" s="48">
        <f t="shared" si="47"/>
        <v>0</v>
      </c>
      <c r="AN107" s="48">
        <f t="shared" si="48"/>
        <v>0</v>
      </c>
      <c r="AO107" s="48">
        <f t="shared" si="49"/>
        <v>0</v>
      </c>
      <c r="AP107" s="48">
        <f t="shared" si="50"/>
        <v>0</v>
      </c>
      <c r="AQ107" s="48">
        <f t="shared" si="51"/>
        <v>0</v>
      </c>
      <c r="AR107" s="48">
        <f t="shared" si="52"/>
        <v>0</v>
      </c>
      <c r="AS107" s="48">
        <f t="shared" si="53"/>
        <v>0</v>
      </c>
      <c r="AT107" s="48">
        <f t="shared" si="54"/>
        <v>0</v>
      </c>
      <c r="AU107" s="48">
        <f t="shared" si="55"/>
        <v>0</v>
      </c>
      <c r="AV107" s="48">
        <f t="shared" si="56"/>
        <v>0</v>
      </c>
      <c r="AW107" s="48">
        <f>IF(N107="ПП",РПП*AB107*(V107/1.5),IF(N107="ВП",ВПр*AB107*(V107/1.5),IF(N107="РПА",РПА*AB107*(V107/1.5),IF(N107="КПА",кпа*AB107*(V107/1.5),0))))</f>
        <v>0</v>
      </c>
      <c r="AX107" s="48">
        <f t="shared" si="57"/>
        <v>0</v>
      </c>
      <c r="AY107" s="48">
        <f t="shared" si="58"/>
        <v>0</v>
      </c>
      <c r="AZ107" s="48">
        <f t="shared" si="59"/>
        <v>0</v>
      </c>
      <c r="BA107" s="48">
        <f t="shared" si="60"/>
        <v>0</v>
      </c>
      <c r="BB107" s="48">
        <f t="shared" si="61"/>
        <v>0</v>
      </c>
      <c r="BC107" s="48">
        <f t="shared" si="62"/>
        <v>0</v>
      </c>
      <c r="BD107" s="48">
        <f t="shared" si="63"/>
        <v>0</v>
      </c>
      <c r="BE107" s="48">
        <f t="shared" si="64"/>
        <v>0</v>
      </c>
      <c r="BF107" s="49">
        <f t="shared" si="65"/>
        <v>0</v>
      </c>
      <c r="BG107" s="50"/>
      <c r="BH107" s="51">
        <f t="shared" si="66"/>
        <v>0</v>
      </c>
      <c r="BI107" s="51">
        <f t="shared" si="67"/>
        <v>0</v>
      </c>
      <c r="BJ107" s="51">
        <f t="shared" si="68"/>
        <v>0</v>
      </c>
      <c r="BK107" s="52">
        <f t="shared" si="69"/>
        <v>0</v>
      </c>
      <c r="BL107" s="52">
        <f t="shared" si="70"/>
        <v>0</v>
      </c>
      <c r="BM107" s="52">
        <f t="shared" si="71"/>
        <v>0</v>
      </c>
    </row>
    <row r="108" spans="1:65" ht="30" customHeight="1" x14ac:dyDescent="0.25">
      <c r="A108" s="31" t="str">
        <f t="shared" si="37"/>
        <v>Д</v>
      </c>
      <c r="B108" s="31" t="str">
        <f t="shared" si="38"/>
        <v>Б</v>
      </c>
      <c r="C108" s="32" t="s">
        <v>75</v>
      </c>
      <c r="D108" s="33" t="str">
        <f t="shared" si="39"/>
        <v>Факультет физико-математических и естественных наук</v>
      </c>
      <c r="E108" s="34" t="str">
        <f t="shared" si="40"/>
        <v>'09.03.03</v>
      </c>
      <c r="F108" s="35" t="str">
        <f t="shared" si="41"/>
        <v>Прикладная информатика</v>
      </c>
      <c r="G108" s="36" t="s">
        <v>76</v>
      </c>
      <c r="H108" s="36" t="s">
        <v>77</v>
      </c>
      <c r="I108" s="37" t="s">
        <v>90</v>
      </c>
      <c r="J108" s="37"/>
      <c r="K108" s="38" t="s">
        <v>145</v>
      </c>
      <c r="L108" s="39">
        <v>6</v>
      </c>
      <c r="M108" s="39">
        <v>18</v>
      </c>
      <c r="N108" s="40" t="s">
        <v>94</v>
      </c>
      <c r="O108" s="39"/>
      <c r="P108" s="39">
        <v>2</v>
      </c>
      <c r="Q108" s="39"/>
      <c r="R108" s="40"/>
      <c r="S108" s="41"/>
      <c r="T108" s="41"/>
      <c r="U108" s="41"/>
      <c r="V108" s="41"/>
      <c r="W108" s="41"/>
      <c r="X108" s="42" t="str">
        <f t="shared" si="42"/>
        <v>НПИбд</v>
      </c>
      <c r="Y108" s="39" t="s">
        <v>129</v>
      </c>
      <c r="Z108" s="39">
        <v>1</v>
      </c>
      <c r="AA108" s="39">
        <v>1</v>
      </c>
      <c r="AB108" s="42">
        <f t="shared" si="43"/>
        <v>30</v>
      </c>
      <c r="AC108" s="39">
        <v>25</v>
      </c>
      <c r="AD108" s="39">
        <v>5</v>
      </c>
      <c r="AE108" s="44">
        <f t="shared" si="44"/>
        <v>12</v>
      </c>
      <c r="AF108" s="45">
        <f t="shared" si="45"/>
        <v>1</v>
      </c>
      <c r="AG108" s="45">
        <f t="shared" si="46"/>
        <v>2.5</v>
      </c>
      <c r="AH108" s="46" t="s">
        <v>82</v>
      </c>
      <c r="AI108" s="40" t="s">
        <v>83</v>
      </c>
      <c r="AJ108" s="40" t="s">
        <v>116</v>
      </c>
      <c r="AK108" s="47" t="s">
        <v>146</v>
      </c>
      <c r="AL108" s="40"/>
      <c r="AM108" s="48">
        <f t="shared" si="47"/>
        <v>0</v>
      </c>
      <c r="AN108" s="48">
        <f t="shared" si="48"/>
        <v>0</v>
      </c>
      <c r="AO108" s="48">
        <f t="shared" si="49"/>
        <v>36</v>
      </c>
      <c r="AP108" s="48">
        <f t="shared" si="50"/>
        <v>0</v>
      </c>
      <c r="AQ108" s="48">
        <f t="shared" si="51"/>
        <v>0</v>
      </c>
      <c r="AR108" s="48">
        <f t="shared" si="52"/>
        <v>0</v>
      </c>
      <c r="AS108" s="48">
        <f t="shared" si="53"/>
        <v>0</v>
      </c>
      <c r="AT108" s="48">
        <f t="shared" si="54"/>
        <v>0</v>
      </c>
      <c r="AU108" s="48">
        <f t="shared" si="55"/>
        <v>0</v>
      </c>
      <c r="AV108" s="48">
        <f t="shared" si="56"/>
        <v>0</v>
      </c>
      <c r="AW108" s="48">
        <f>IF(N108="ПП",РПП*AB108*(V108/1.5),IF(N108="ВП",ВПр*AB108*(V108/1.5),IF(N108="РПА",РПА*AB108*(V108/1.5),IF(N108="КПА",кпа*AB108*(V108/1.5),0))))</f>
        <v>0</v>
      </c>
      <c r="AX108" s="48">
        <f t="shared" si="57"/>
        <v>0</v>
      </c>
      <c r="AY108" s="48">
        <f t="shared" si="58"/>
        <v>0</v>
      </c>
      <c r="AZ108" s="48">
        <f t="shared" si="59"/>
        <v>0</v>
      </c>
      <c r="BA108" s="48">
        <f t="shared" si="60"/>
        <v>0</v>
      </c>
      <c r="BB108" s="48">
        <f t="shared" si="61"/>
        <v>0</v>
      </c>
      <c r="BC108" s="48">
        <f t="shared" si="62"/>
        <v>0</v>
      </c>
      <c r="BD108" s="48">
        <f t="shared" si="63"/>
        <v>0</v>
      </c>
      <c r="BE108" s="48">
        <f t="shared" si="64"/>
        <v>0</v>
      </c>
      <c r="BF108" s="49">
        <f t="shared" si="65"/>
        <v>36</v>
      </c>
      <c r="BG108" s="50"/>
      <c r="BH108" s="51">
        <f t="shared" si="66"/>
        <v>0</v>
      </c>
      <c r="BI108" s="51">
        <f t="shared" si="67"/>
        <v>0</v>
      </c>
      <c r="BJ108" s="51">
        <f t="shared" si="68"/>
        <v>0</v>
      </c>
      <c r="BK108" s="52">
        <f t="shared" si="69"/>
        <v>36</v>
      </c>
      <c r="BL108" s="52">
        <f t="shared" si="70"/>
        <v>1</v>
      </c>
      <c r="BM108" s="52">
        <f t="shared" si="71"/>
        <v>0</v>
      </c>
    </row>
    <row r="109" spans="1:65" ht="30" customHeight="1" x14ac:dyDescent="0.25">
      <c r="A109" s="31" t="str">
        <f t="shared" si="37"/>
        <v>Д</v>
      </c>
      <c r="B109" s="31" t="str">
        <f t="shared" si="38"/>
        <v>Б</v>
      </c>
      <c r="C109" s="32" t="s">
        <v>75</v>
      </c>
      <c r="D109" s="33" t="str">
        <f t="shared" si="39"/>
        <v>Факультет физико-математических и естественных наук</v>
      </c>
      <c r="E109" s="34" t="str">
        <f t="shared" si="40"/>
        <v>'09.03.03</v>
      </c>
      <c r="F109" s="35" t="str">
        <f t="shared" si="41"/>
        <v>Прикладная информатика</v>
      </c>
      <c r="G109" s="36" t="s">
        <v>76</v>
      </c>
      <c r="H109" s="36" t="s">
        <v>77</v>
      </c>
      <c r="I109" s="37" t="s">
        <v>90</v>
      </c>
      <c r="J109" s="37"/>
      <c r="K109" s="38" t="s">
        <v>145</v>
      </c>
      <c r="L109" s="39">
        <v>6</v>
      </c>
      <c r="M109" s="39">
        <v>18</v>
      </c>
      <c r="N109" s="40" t="s">
        <v>94</v>
      </c>
      <c r="O109" s="39"/>
      <c r="P109" s="39">
        <v>2</v>
      </c>
      <c r="Q109" s="39"/>
      <c r="R109" s="40"/>
      <c r="S109" s="41"/>
      <c r="T109" s="41"/>
      <c r="U109" s="41"/>
      <c r="V109" s="41"/>
      <c r="W109" s="41"/>
      <c r="X109" s="42" t="str">
        <f t="shared" si="42"/>
        <v>НПИбд</v>
      </c>
      <c r="Y109" s="43" t="s">
        <v>129</v>
      </c>
      <c r="Z109" s="39">
        <v>1</v>
      </c>
      <c r="AA109" s="39">
        <v>1</v>
      </c>
      <c r="AB109" s="42">
        <f t="shared" si="43"/>
        <v>0</v>
      </c>
      <c r="AC109" s="39"/>
      <c r="AD109" s="39"/>
      <c r="AE109" s="44">
        <f t="shared" si="44"/>
        <v>12</v>
      </c>
      <c r="AF109" s="45">
        <f t="shared" si="45"/>
        <v>0</v>
      </c>
      <c r="AG109" s="45">
        <f t="shared" si="46"/>
        <v>0</v>
      </c>
      <c r="AH109" s="46" t="s">
        <v>82</v>
      </c>
      <c r="AI109" s="40" t="s">
        <v>99</v>
      </c>
      <c r="AJ109" s="40" t="s">
        <v>100</v>
      </c>
      <c r="AK109" s="53" t="s">
        <v>101</v>
      </c>
      <c r="AL109" s="40"/>
      <c r="AM109" s="48">
        <f t="shared" si="47"/>
        <v>0</v>
      </c>
      <c r="AN109" s="48">
        <f t="shared" si="48"/>
        <v>0</v>
      </c>
      <c r="AO109" s="48">
        <f t="shared" si="49"/>
        <v>0</v>
      </c>
      <c r="AP109" s="48">
        <f t="shared" si="50"/>
        <v>0</v>
      </c>
      <c r="AQ109" s="48">
        <f t="shared" si="51"/>
        <v>0</v>
      </c>
      <c r="AR109" s="48">
        <f t="shared" si="52"/>
        <v>0</v>
      </c>
      <c r="AS109" s="48">
        <f t="shared" si="53"/>
        <v>0</v>
      </c>
      <c r="AT109" s="48">
        <f t="shared" si="54"/>
        <v>0</v>
      </c>
      <c r="AU109" s="48">
        <f t="shared" si="55"/>
        <v>0</v>
      </c>
      <c r="AV109" s="48">
        <f t="shared" si="56"/>
        <v>0</v>
      </c>
      <c r="AW109" s="48">
        <f>IF(N109="ПП",РПП*AB109*(V109/1.5),IF(N109="ВП",ВПр*AB109*(V109/1.5),IF(N109="РПА",РПА*AB109*(V109/1.5),IF(N109="КПА",кпа*AB109*(V109/1.5),0))))</f>
        <v>0</v>
      </c>
      <c r="AX109" s="48">
        <f t="shared" si="57"/>
        <v>0</v>
      </c>
      <c r="AY109" s="48">
        <f t="shared" si="58"/>
        <v>0</v>
      </c>
      <c r="AZ109" s="48">
        <f t="shared" si="59"/>
        <v>0</v>
      </c>
      <c r="BA109" s="48">
        <f t="shared" si="60"/>
        <v>0</v>
      </c>
      <c r="BB109" s="48">
        <f t="shared" si="61"/>
        <v>0</v>
      </c>
      <c r="BC109" s="48">
        <f t="shared" si="62"/>
        <v>0</v>
      </c>
      <c r="BD109" s="48">
        <f t="shared" si="63"/>
        <v>0</v>
      </c>
      <c r="BE109" s="48">
        <f t="shared" si="64"/>
        <v>0</v>
      </c>
      <c r="BF109" s="49">
        <f t="shared" si="65"/>
        <v>0</v>
      </c>
      <c r="BG109" s="50"/>
      <c r="BH109" s="51">
        <f t="shared" si="66"/>
        <v>0</v>
      </c>
      <c r="BI109" s="51">
        <f t="shared" si="67"/>
        <v>0</v>
      </c>
      <c r="BJ109" s="51">
        <f t="shared" si="68"/>
        <v>0</v>
      </c>
      <c r="BK109" s="52">
        <f t="shared" si="69"/>
        <v>0</v>
      </c>
      <c r="BL109" s="52">
        <f t="shared" si="70"/>
        <v>0</v>
      </c>
      <c r="BM109" s="52">
        <f t="shared" si="71"/>
        <v>0</v>
      </c>
    </row>
    <row r="110" spans="1:65" ht="30" customHeight="1" x14ac:dyDescent="0.25">
      <c r="A110" s="31" t="str">
        <f t="shared" si="37"/>
        <v>Д</v>
      </c>
      <c r="B110" s="31" t="str">
        <f t="shared" si="38"/>
        <v>Б</v>
      </c>
      <c r="C110" s="32" t="s">
        <v>75</v>
      </c>
      <c r="D110" s="33" t="str">
        <f t="shared" si="39"/>
        <v>Факультет физико-математических и естественных наук</v>
      </c>
      <c r="E110" s="34" t="str">
        <f t="shared" si="40"/>
        <v>'09.03.03</v>
      </c>
      <c r="F110" s="35" t="str">
        <f t="shared" si="41"/>
        <v>Прикладная информатика</v>
      </c>
      <c r="G110" s="36" t="s">
        <v>76</v>
      </c>
      <c r="H110" s="36" t="s">
        <v>77</v>
      </c>
      <c r="I110" s="37" t="s">
        <v>90</v>
      </c>
      <c r="J110" s="37"/>
      <c r="K110" s="38" t="s">
        <v>145</v>
      </c>
      <c r="L110" s="39">
        <v>6</v>
      </c>
      <c r="M110" s="39">
        <v>18</v>
      </c>
      <c r="N110" s="40" t="s">
        <v>94</v>
      </c>
      <c r="O110" s="39"/>
      <c r="P110" s="39">
        <v>2</v>
      </c>
      <c r="Q110" s="39"/>
      <c r="R110" s="40"/>
      <c r="S110" s="41"/>
      <c r="T110" s="41"/>
      <c r="U110" s="41"/>
      <c r="V110" s="41"/>
      <c r="W110" s="41"/>
      <c r="X110" s="42" t="str">
        <f t="shared" si="42"/>
        <v>НПИбд</v>
      </c>
      <c r="Y110" s="43" t="s">
        <v>130</v>
      </c>
      <c r="Z110" s="39"/>
      <c r="AA110" s="39"/>
      <c r="AB110" s="42">
        <f t="shared" si="43"/>
        <v>0</v>
      </c>
      <c r="AC110" s="39"/>
      <c r="AD110" s="39"/>
      <c r="AE110" s="44">
        <f t="shared" si="44"/>
        <v>12</v>
      </c>
      <c r="AF110" s="45">
        <f t="shared" si="45"/>
        <v>0</v>
      </c>
      <c r="AG110" s="45">
        <f t="shared" si="46"/>
        <v>0</v>
      </c>
      <c r="AH110" s="46" t="s">
        <v>82</v>
      </c>
      <c r="AI110" s="40" t="s">
        <v>148</v>
      </c>
      <c r="AJ110" s="40"/>
      <c r="AK110" s="47" t="s">
        <v>149</v>
      </c>
      <c r="AL110" s="40"/>
      <c r="AM110" s="48">
        <f t="shared" si="47"/>
        <v>0</v>
      </c>
      <c r="AN110" s="48">
        <f t="shared" si="48"/>
        <v>0</v>
      </c>
      <c r="AO110" s="48">
        <f t="shared" si="49"/>
        <v>0</v>
      </c>
      <c r="AP110" s="48">
        <f t="shared" si="50"/>
        <v>0</v>
      </c>
      <c r="AQ110" s="48">
        <f t="shared" si="51"/>
        <v>0</v>
      </c>
      <c r="AR110" s="48">
        <f t="shared" si="52"/>
        <v>0</v>
      </c>
      <c r="AS110" s="48">
        <f t="shared" si="53"/>
        <v>0</v>
      </c>
      <c r="AT110" s="48">
        <f t="shared" si="54"/>
        <v>0</v>
      </c>
      <c r="AU110" s="48">
        <f t="shared" si="55"/>
        <v>0</v>
      </c>
      <c r="AV110" s="48">
        <f t="shared" si="56"/>
        <v>0</v>
      </c>
      <c r="AW110" s="48">
        <f>IF(N110="ПП",РПП*AB110*(V110/1.5),IF(N110="ВП",ВПр*AB110*(V110/1.5),IF(N110="РПА",РПА*AB110*(V110/1.5),IF(N110="КПА",кпа*AB110*(V110/1.5),0))))</f>
        <v>0</v>
      </c>
      <c r="AX110" s="48">
        <f t="shared" si="57"/>
        <v>0</v>
      </c>
      <c r="AY110" s="48">
        <f t="shared" si="58"/>
        <v>0</v>
      </c>
      <c r="AZ110" s="48">
        <f t="shared" si="59"/>
        <v>0</v>
      </c>
      <c r="BA110" s="48">
        <f t="shared" si="60"/>
        <v>0</v>
      </c>
      <c r="BB110" s="48">
        <f t="shared" si="61"/>
        <v>0</v>
      </c>
      <c r="BC110" s="48">
        <f t="shared" si="62"/>
        <v>0</v>
      </c>
      <c r="BD110" s="48">
        <f t="shared" si="63"/>
        <v>0</v>
      </c>
      <c r="BE110" s="48">
        <f t="shared" si="64"/>
        <v>0</v>
      </c>
      <c r="BF110" s="49">
        <f t="shared" si="65"/>
        <v>0</v>
      </c>
      <c r="BG110" s="50"/>
      <c r="BH110" s="51">
        <f t="shared" si="66"/>
        <v>0</v>
      </c>
      <c r="BI110" s="51">
        <f t="shared" si="67"/>
        <v>0</v>
      </c>
      <c r="BJ110" s="51">
        <f t="shared" si="68"/>
        <v>0</v>
      </c>
      <c r="BK110" s="52">
        <f t="shared" si="69"/>
        <v>0</v>
      </c>
      <c r="BL110" s="52">
        <f t="shared" si="70"/>
        <v>0</v>
      </c>
      <c r="BM110" s="52">
        <f t="shared" si="71"/>
        <v>0</v>
      </c>
    </row>
    <row r="111" spans="1:65" ht="30" customHeight="1" x14ac:dyDescent="0.25">
      <c r="A111" s="31" t="str">
        <f t="shared" si="37"/>
        <v>Д</v>
      </c>
      <c r="B111" s="31" t="str">
        <f t="shared" si="38"/>
        <v>Б</v>
      </c>
      <c r="C111" s="32" t="s">
        <v>75</v>
      </c>
      <c r="D111" s="33" t="str">
        <f t="shared" si="39"/>
        <v>Факультет физико-математических и естественных наук</v>
      </c>
      <c r="E111" s="34" t="str">
        <f t="shared" si="40"/>
        <v>'09.03.03</v>
      </c>
      <c r="F111" s="35" t="str">
        <f t="shared" si="41"/>
        <v>Прикладная информатика</v>
      </c>
      <c r="G111" s="36" t="s">
        <v>76</v>
      </c>
      <c r="H111" s="36" t="s">
        <v>77</v>
      </c>
      <c r="I111" s="37" t="s">
        <v>90</v>
      </c>
      <c r="J111" s="37"/>
      <c r="K111" s="38" t="s">
        <v>150</v>
      </c>
      <c r="L111" s="39">
        <v>6</v>
      </c>
      <c r="M111" s="39">
        <v>18</v>
      </c>
      <c r="N111" s="40" t="s">
        <v>79</v>
      </c>
      <c r="O111" s="39">
        <v>1</v>
      </c>
      <c r="P111" s="39"/>
      <c r="Q111" s="39"/>
      <c r="R111" s="40" t="s">
        <v>80</v>
      </c>
      <c r="S111" s="41"/>
      <c r="T111" s="41"/>
      <c r="U111" s="41"/>
      <c r="V111" s="41"/>
      <c r="W111" s="41"/>
      <c r="X111" s="42" t="str">
        <f t="shared" si="42"/>
        <v>НПИбд</v>
      </c>
      <c r="Y111" s="39" t="s">
        <v>126</v>
      </c>
      <c r="Z111" s="39">
        <v>4</v>
      </c>
      <c r="AA111" s="39">
        <v>2</v>
      </c>
      <c r="AB111" s="42">
        <f t="shared" si="43"/>
        <v>61</v>
      </c>
      <c r="AC111" s="39">
        <v>50</v>
      </c>
      <c r="AD111" s="39">
        <v>11</v>
      </c>
      <c r="AE111" s="44">
        <f t="shared" si="44"/>
        <v>61</v>
      </c>
      <c r="AF111" s="45">
        <f t="shared" si="45"/>
        <v>1</v>
      </c>
      <c r="AG111" s="45">
        <f t="shared" si="46"/>
        <v>1</v>
      </c>
      <c r="AH111" s="46" t="s">
        <v>82</v>
      </c>
      <c r="AI111" s="40" t="s">
        <v>83</v>
      </c>
      <c r="AJ111" s="40" t="s">
        <v>84</v>
      </c>
      <c r="AK111" s="47" t="s">
        <v>144</v>
      </c>
      <c r="AL111" s="40"/>
      <c r="AM111" s="48">
        <f t="shared" si="47"/>
        <v>18</v>
      </c>
      <c r="AN111" s="48">
        <f t="shared" si="48"/>
        <v>0</v>
      </c>
      <c r="AO111" s="48">
        <f t="shared" si="49"/>
        <v>0</v>
      </c>
      <c r="AP111" s="48">
        <f t="shared" si="50"/>
        <v>20.130000000000003</v>
      </c>
      <c r="AQ111" s="48">
        <f t="shared" si="51"/>
        <v>30.5</v>
      </c>
      <c r="AR111" s="48">
        <f t="shared" si="52"/>
        <v>2</v>
      </c>
      <c r="AS111" s="48">
        <f t="shared" si="53"/>
        <v>1.8</v>
      </c>
      <c r="AT111" s="48">
        <f t="shared" si="54"/>
        <v>0</v>
      </c>
      <c r="AU111" s="48">
        <f t="shared" si="55"/>
        <v>0</v>
      </c>
      <c r="AV111" s="48">
        <f t="shared" si="56"/>
        <v>0</v>
      </c>
      <c r="AW111" s="48">
        <f>IF(N111="ПП",РПП*AB111*(V111/1.5),IF(N111="ВП",ВПр*AB111*(V111/1.5),IF(N111="РПА",РПА*AB111*(V111/1.5),IF(N111="КПА",кпа*AB111*(V111/1.5),0))))</f>
        <v>0</v>
      </c>
      <c r="AX111" s="48">
        <f t="shared" si="57"/>
        <v>0</v>
      </c>
      <c r="AY111" s="48">
        <f t="shared" si="58"/>
        <v>0</v>
      </c>
      <c r="AZ111" s="48">
        <f t="shared" si="59"/>
        <v>0</v>
      </c>
      <c r="BA111" s="48">
        <f t="shared" si="60"/>
        <v>0</v>
      </c>
      <c r="BB111" s="48">
        <f t="shared" si="61"/>
        <v>0</v>
      </c>
      <c r="BC111" s="48">
        <f t="shared" si="62"/>
        <v>0</v>
      </c>
      <c r="BD111" s="48">
        <f t="shared" si="63"/>
        <v>0</v>
      </c>
      <c r="BE111" s="48">
        <f t="shared" si="64"/>
        <v>0</v>
      </c>
      <c r="BF111" s="49">
        <f t="shared" si="65"/>
        <v>72.429999999999993</v>
      </c>
      <c r="BG111" s="50"/>
      <c r="BH111" s="51">
        <f t="shared" si="66"/>
        <v>0</v>
      </c>
      <c r="BI111" s="51">
        <f t="shared" si="67"/>
        <v>0</v>
      </c>
      <c r="BJ111" s="51">
        <f t="shared" si="68"/>
        <v>0</v>
      </c>
      <c r="BK111" s="52">
        <f t="shared" si="69"/>
        <v>18</v>
      </c>
      <c r="BL111" s="52">
        <f t="shared" si="70"/>
        <v>0.5</v>
      </c>
      <c r="BM111" s="52">
        <f t="shared" si="71"/>
        <v>54.43</v>
      </c>
    </row>
    <row r="112" spans="1:65" ht="30" customHeight="1" x14ac:dyDescent="0.25">
      <c r="A112" s="31" t="str">
        <f t="shared" si="37"/>
        <v>Д</v>
      </c>
      <c r="B112" s="31" t="str">
        <f t="shared" si="38"/>
        <v>Б</v>
      </c>
      <c r="C112" s="32" t="s">
        <v>75</v>
      </c>
      <c r="D112" s="33" t="str">
        <f t="shared" si="39"/>
        <v>Факультет физико-математических и естественных наук</v>
      </c>
      <c r="E112" s="34" t="str">
        <f t="shared" si="40"/>
        <v>'09.03.03</v>
      </c>
      <c r="F112" s="35" t="str">
        <f t="shared" si="41"/>
        <v>Прикладная информатика</v>
      </c>
      <c r="G112" s="36" t="s">
        <v>76</v>
      </c>
      <c r="H112" s="36" t="s">
        <v>77</v>
      </c>
      <c r="I112" s="37" t="s">
        <v>90</v>
      </c>
      <c r="J112" s="37"/>
      <c r="K112" s="38" t="s">
        <v>150</v>
      </c>
      <c r="L112" s="39">
        <v>6</v>
      </c>
      <c r="M112" s="39">
        <v>18</v>
      </c>
      <c r="N112" s="40" t="s">
        <v>94</v>
      </c>
      <c r="O112" s="39"/>
      <c r="P112" s="39">
        <v>2</v>
      </c>
      <c r="Q112" s="39"/>
      <c r="R112" s="40"/>
      <c r="S112" s="41"/>
      <c r="T112" s="41"/>
      <c r="U112" s="41"/>
      <c r="V112" s="41"/>
      <c r="W112" s="41"/>
      <c r="X112" s="42" t="str">
        <f t="shared" si="42"/>
        <v>НПИбд</v>
      </c>
      <c r="Y112" s="39" t="s">
        <v>128</v>
      </c>
      <c r="Z112" s="39">
        <v>1</v>
      </c>
      <c r="AA112" s="39">
        <v>1</v>
      </c>
      <c r="AB112" s="42">
        <f t="shared" si="43"/>
        <v>31</v>
      </c>
      <c r="AC112" s="39">
        <v>25</v>
      </c>
      <c r="AD112" s="39">
        <v>6</v>
      </c>
      <c r="AE112" s="44">
        <f t="shared" si="44"/>
        <v>12</v>
      </c>
      <c r="AF112" s="45">
        <f t="shared" si="45"/>
        <v>1</v>
      </c>
      <c r="AG112" s="45">
        <f t="shared" si="46"/>
        <v>2.5833333333333335</v>
      </c>
      <c r="AH112" s="46" t="s">
        <v>82</v>
      </c>
      <c r="AI112" s="40" t="s">
        <v>83</v>
      </c>
      <c r="AJ112" s="40" t="s">
        <v>84</v>
      </c>
      <c r="AK112" s="53" t="s">
        <v>144</v>
      </c>
      <c r="AL112" s="40"/>
      <c r="AM112" s="48">
        <f t="shared" si="47"/>
        <v>0</v>
      </c>
      <c r="AN112" s="48">
        <f t="shared" si="48"/>
        <v>0</v>
      </c>
      <c r="AO112" s="48">
        <f t="shared" si="49"/>
        <v>36</v>
      </c>
      <c r="AP112" s="48">
        <f t="shared" si="50"/>
        <v>0</v>
      </c>
      <c r="AQ112" s="48">
        <f t="shared" si="51"/>
        <v>0</v>
      </c>
      <c r="AR112" s="48">
        <f t="shared" si="52"/>
        <v>0</v>
      </c>
      <c r="AS112" s="48">
        <f t="shared" si="53"/>
        <v>0</v>
      </c>
      <c r="AT112" s="48">
        <f t="shared" si="54"/>
        <v>0</v>
      </c>
      <c r="AU112" s="48">
        <f t="shared" si="55"/>
        <v>0</v>
      </c>
      <c r="AV112" s="48">
        <f t="shared" si="56"/>
        <v>0</v>
      </c>
      <c r="AW112" s="48">
        <f>IF(N112="ПП",РПП*AB112*(V112/1.5),IF(N112="ВП",ВПр*AB112*(V112/1.5),IF(N112="РПА",РПА*AB112*(V112/1.5),IF(N112="КПА",кпа*AB112*(V112/1.5),0))))</f>
        <v>0</v>
      </c>
      <c r="AX112" s="48">
        <f t="shared" si="57"/>
        <v>0</v>
      </c>
      <c r="AY112" s="48">
        <f t="shared" si="58"/>
        <v>0</v>
      </c>
      <c r="AZ112" s="48">
        <f t="shared" si="59"/>
        <v>0</v>
      </c>
      <c r="BA112" s="48">
        <f t="shared" si="60"/>
        <v>0</v>
      </c>
      <c r="BB112" s="48">
        <f t="shared" si="61"/>
        <v>0</v>
      </c>
      <c r="BC112" s="48">
        <f t="shared" si="62"/>
        <v>0</v>
      </c>
      <c r="BD112" s="48">
        <f t="shared" si="63"/>
        <v>0</v>
      </c>
      <c r="BE112" s="48">
        <f t="shared" si="64"/>
        <v>0</v>
      </c>
      <c r="BF112" s="49">
        <f t="shared" si="65"/>
        <v>36</v>
      </c>
      <c r="BG112" s="50"/>
      <c r="BH112" s="51">
        <f t="shared" si="66"/>
        <v>0</v>
      </c>
      <c r="BI112" s="51">
        <f t="shared" si="67"/>
        <v>0</v>
      </c>
      <c r="BJ112" s="51">
        <f t="shared" si="68"/>
        <v>0</v>
      </c>
      <c r="BK112" s="52">
        <f t="shared" si="69"/>
        <v>36</v>
      </c>
      <c r="BL112" s="52">
        <f t="shared" si="70"/>
        <v>1</v>
      </c>
      <c r="BM112" s="52">
        <f t="shared" si="71"/>
        <v>0</v>
      </c>
    </row>
    <row r="113" spans="1:65" ht="30" customHeight="1" x14ac:dyDescent="0.25">
      <c r="A113" s="31" t="str">
        <f t="shared" si="37"/>
        <v>Д</v>
      </c>
      <c r="B113" s="31" t="str">
        <f t="shared" si="38"/>
        <v>Б</v>
      </c>
      <c r="C113" s="32" t="s">
        <v>75</v>
      </c>
      <c r="D113" s="33" t="str">
        <f t="shared" si="39"/>
        <v>Факультет физико-математических и естественных наук</v>
      </c>
      <c r="E113" s="34" t="str">
        <f t="shared" si="40"/>
        <v>'09.03.03</v>
      </c>
      <c r="F113" s="35" t="str">
        <f t="shared" si="41"/>
        <v>Прикладная информатика</v>
      </c>
      <c r="G113" s="36" t="s">
        <v>76</v>
      </c>
      <c r="H113" s="36" t="s">
        <v>77</v>
      </c>
      <c r="I113" s="37" t="s">
        <v>90</v>
      </c>
      <c r="J113" s="37"/>
      <c r="K113" s="38" t="s">
        <v>150</v>
      </c>
      <c r="L113" s="39">
        <v>6</v>
      </c>
      <c r="M113" s="39">
        <v>18</v>
      </c>
      <c r="N113" s="40" t="s">
        <v>94</v>
      </c>
      <c r="O113" s="39"/>
      <c r="P113" s="39">
        <v>2</v>
      </c>
      <c r="Q113" s="39"/>
      <c r="R113" s="40"/>
      <c r="S113" s="41"/>
      <c r="T113" s="41"/>
      <c r="U113" s="41"/>
      <c r="V113" s="41"/>
      <c r="W113" s="41"/>
      <c r="X113" s="42" t="str">
        <f t="shared" si="42"/>
        <v>НПИбд</v>
      </c>
      <c r="Y113" s="39" t="s">
        <v>128</v>
      </c>
      <c r="Z113" s="39">
        <v>1</v>
      </c>
      <c r="AA113" s="39">
        <v>1</v>
      </c>
      <c r="AB113" s="42">
        <f t="shared" si="43"/>
        <v>0</v>
      </c>
      <c r="AC113" s="39"/>
      <c r="AD113" s="39"/>
      <c r="AE113" s="44">
        <f t="shared" si="44"/>
        <v>12</v>
      </c>
      <c r="AF113" s="45">
        <f t="shared" si="45"/>
        <v>0</v>
      </c>
      <c r="AG113" s="45">
        <f t="shared" si="46"/>
        <v>0</v>
      </c>
      <c r="AH113" s="46" t="s">
        <v>82</v>
      </c>
      <c r="AI113" s="40" t="s">
        <v>83</v>
      </c>
      <c r="AJ113" s="40" t="s">
        <v>84</v>
      </c>
      <c r="AK113" s="47" t="s">
        <v>144</v>
      </c>
      <c r="AL113" s="40"/>
      <c r="AM113" s="48">
        <f t="shared" si="47"/>
        <v>0</v>
      </c>
      <c r="AN113" s="48">
        <f t="shared" si="48"/>
        <v>0</v>
      </c>
      <c r="AO113" s="48">
        <f t="shared" si="49"/>
        <v>0</v>
      </c>
      <c r="AP113" s="48">
        <f t="shared" si="50"/>
        <v>0</v>
      </c>
      <c r="AQ113" s="48">
        <f t="shared" si="51"/>
        <v>0</v>
      </c>
      <c r="AR113" s="48">
        <f t="shared" si="52"/>
        <v>0</v>
      </c>
      <c r="AS113" s="48">
        <f t="shared" si="53"/>
        <v>0</v>
      </c>
      <c r="AT113" s="48">
        <f t="shared" si="54"/>
        <v>0</v>
      </c>
      <c r="AU113" s="48">
        <f t="shared" si="55"/>
        <v>0</v>
      </c>
      <c r="AV113" s="48">
        <f t="shared" si="56"/>
        <v>0</v>
      </c>
      <c r="AW113" s="48">
        <f>IF(N113="ПП",РПП*AB113*(V113/1.5),IF(N113="ВП",ВПр*AB113*(V113/1.5),IF(N113="РПА",РПА*AB113*(V113/1.5),IF(N113="КПА",кпа*AB113*(V113/1.5),0))))</f>
        <v>0</v>
      </c>
      <c r="AX113" s="48">
        <f t="shared" si="57"/>
        <v>0</v>
      </c>
      <c r="AY113" s="48">
        <f t="shared" si="58"/>
        <v>0</v>
      </c>
      <c r="AZ113" s="48">
        <f t="shared" si="59"/>
        <v>0</v>
      </c>
      <c r="BA113" s="48">
        <f t="shared" si="60"/>
        <v>0</v>
      </c>
      <c r="BB113" s="48">
        <f t="shared" si="61"/>
        <v>0</v>
      </c>
      <c r="BC113" s="48">
        <f t="shared" si="62"/>
        <v>0</v>
      </c>
      <c r="BD113" s="48">
        <f t="shared" si="63"/>
        <v>0</v>
      </c>
      <c r="BE113" s="48">
        <f t="shared" si="64"/>
        <v>0</v>
      </c>
      <c r="BF113" s="49">
        <f t="shared" si="65"/>
        <v>0</v>
      </c>
      <c r="BG113" s="50"/>
      <c r="BH113" s="51">
        <f t="shared" si="66"/>
        <v>0</v>
      </c>
      <c r="BI113" s="51">
        <f t="shared" si="67"/>
        <v>0</v>
      </c>
      <c r="BJ113" s="51">
        <f t="shared" si="68"/>
        <v>0</v>
      </c>
      <c r="BK113" s="52">
        <f t="shared" si="69"/>
        <v>0</v>
      </c>
      <c r="BL113" s="52">
        <f t="shared" si="70"/>
        <v>0</v>
      </c>
      <c r="BM113" s="52">
        <f t="shared" si="71"/>
        <v>0</v>
      </c>
    </row>
    <row r="114" spans="1:65" ht="30" customHeight="1" x14ac:dyDescent="0.25">
      <c r="A114" s="31" t="str">
        <f t="shared" si="37"/>
        <v>Д</v>
      </c>
      <c r="B114" s="31" t="str">
        <f t="shared" si="38"/>
        <v>Б</v>
      </c>
      <c r="C114" s="32" t="s">
        <v>75</v>
      </c>
      <c r="D114" s="33" t="str">
        <f t="shared" si="39"/>
        <v>Факультет физико-математических и естественных наук</v>
      </c>
      <c r="E114" s="34" t="str">
        <f t="shared" si="40"/>
        <v>'09.03.03</v>
      </c>
      <c r="F114" s="35" t="str">
        <f t="shared" si="41"/>
        <v>Прикладная информатика</v>
      </c>
      <c r="G114" s="36" t="s">
        <v>76</v>
      </c>
      <c r="H114" s="36" t="s">
        <v>77</v>
      </c>
      <c r="I114" s="37" t="s">
        <v>90</v>
      </c>
      <c r="J114" s="37"/>
      <c r="K114" s="38" t="s">
        <v>150</v>
      </c>
      <c r="L114" s="39">
        <v>6</v>
      </c>
      <c r="M114" s="39">
        <v>18</v>
      </c>
      <c r="N114" s="40" t="s">
        <v>94</v>
      </c>
      <c r="O114" s="39"/>
      <c r="P114" s="39">
        <v>2</v>
      </c>
      <c r="Q114" s="39"/>
      <c r="R114" s="40"/>
      <c r="S114" s="41"/>
      <c r="T114" s="41"/>
      <c r="U114" s="41"/>
      <c r="V114" s="41"/>
      <c r="W114" s="41"/>
      <c r="X114" s="42" t="str">
        <f t="shared" si="42"/>
        <v>НПИбд</v>
      </c>
      <c r="Y114" s="39" t="s">
        <v>129</v>
      </c>
      <c r="Z114" s="39">
        <v>1</v>
      </c>
      <c r="AA114" s="39">
        <v>1</v>
      </c>
      <c r="AB114" s="42">
        <f t="shared" si="43"/>
        <v>30</v>
      </c>
      <c r="AC114" s="39">
        <v>25</v>
      </c>
      <c r="AD114" s="39">
        <v>5</v>
      </c>
      <c r="AE114" s="44">
        <f t="shared" si="44"/>
        <v>12</v>
      </c>
      <c r="AF114" s="45">
        <f t="shared" si="45"/>
        <v>1</v>
      </c>
      <c r="AG114" s="45">
        <f t="shared" si="46"/>
        <v>2.5</v>
      </c>
      <c r="AH114" s="46" t="s">
        <v>82</v>
      </c>
      <c r="AI114" s="40" t="s">
        <v>83</v>
      </c>
      <c r="AJ114" s="40" t="s">
        <v>84</v>
      </c>
      <c r="AK114" s="47" t="s">
        <v>144</v>
      </c>
      <c r="AL114" s="40"/>
      <c r="AM114" s="48">
        <f t="shared" si="47"/>
        <v>0</v>
      </c>
      <c r="AN114" s="48">
        <f t="shared" si="48"/>
        <v>0</v>
      </c>
      <c r="AO114" s="48">
        <f t="shared" si="49"/>
        <v>36</v>
      </c>
      <c r="AP114" s="48">
        <f t="shared" si="50"/>
        <v>0</v>
      </c>
      <c r="AQ114" s="48">
        <f t="shared" si="51"/>
        <v>0</v>
      </c>
      <c r="AR114" s="48">
        <f t="shared" si="52"/>
        <v>0</v>
      </c>
      <c r="AS114" s="48">
        <f t="shared" si="53"/>
        <v>0</v>
      </c>
      <c r="AT114" s="48">
        <f t="shared" si="54"/>
        <v>0</v>
      </c>
      <c r="AU114" s="48">
        <f t="shared" si="55"/>
        <v>0</v>
      </c>
      <c r="AV114" s="48">
        <f t="shared" si="56"/>
        <v>0</v>
      </c>
      <c r="AW114" s="48">
        <f>IF(N114="ПП",РПП*AB114*(V114/1.5),IF(N114="ВП",ВПр*AB114*(V114/1.5),IF(N114="РПА",РПА*AB114*(V114/1.5),IF(N114="КПА",кпа*AB114*(V114/1.5),0))))</f>
        <v>0</v>
      </c>
      <c r="AX114" s="48">
        <f t="shared" si="57"/>
        <v>0</v>
      </c>
      <c r="AY114" s="48">
        <f t="shared" si="58"/>
        <v>0</v>
      </c>
      <c r="AZ114" s="48">
        <f t="shared" si="59"/>
        <v>0</v>
      </c>
      <c r="BA114" s="48">
        <f t="shared" si="60"/>
        <v>0</v>
      </c>
      <c r="BB114" s="48">
        <f t="shared" si="61"/>
        <v>0</v>
      </c>
      <c r="BC114" s="48">
        <f t="shared" si="62"/>
        <v>0</v>
      </c>
      <c r="BD114" s="48">
        <f t="shared" si="63"/>
        <v>0</v>
      </c>
      <c r="BE114" s="48">
        <f t="shared" si="64"/>
        <v>0</v>
      </c>
      <c r="BF114" s="49">
        <f t="shared" si="65"/>
        <v>36</v>
      </c>
      <c r="BG114" s="50"/>
      <c r="BH114" s="51">
        <f t="shared" si="66"/>
        <v>0</v>
      </c>
      <c r="BI114" s="51">
        <f t="shared" si="67"/>
        <v>0</v>
      </c>
      <c r="BJ114" s="51">
        <f t="shared" si="68"/>
        <v>0</v>
      </c>
      <c r="BK114" s="52">
        <f t="shared" si="69"/>
        <v>36</v>
      </c>
      <c r="BL114" s="52">
        <f t="shared" si="70"/>
        <v>1</v>
      </c>
      <c r="BM114" s="52">
        <f t="shared" si="71"/>
        <v>0</v>
      </c>
    </row>
    <row r="115" spans="1:65" ht="30" customHeight="1" x14ac:dyDescent="0.25">
      <c r="A115" s="31" t="str">
        <f t="shared" si="37"/>
        <v>Д</v>
      </c>
      <c r="B115" s="31" t="str">
        <f t="shared" si="38"/>
        <v>Б</v>
      </c>
      <c r="C115" s="32" t="s">
        <v>75</v>
      </c>
      <c r="D115" s="33" t="str">
        <f t="shared" si="39"/>
        <v>Факультет физико-математических и естественных наук</v>
      </c>
      <c r="E115" s="34" t="str">
        <f t="shared" si="40"/>
        <v>'09.03.03</v>
      </c>
      <c r="F115" s="35" t="str">
        <f t="shared" si="41"/>
        <v>Прикладная информатика</v>
      </c>
      <c r="G115" s="36" t="s">
        <v>76</v>
      </c>
      <c r="H115" s="36" t="s">
        <v>77</v>
      </c>
      <c r="I115" s="37" t="s">
        <v>90</v>
      </c>
      <c r="J115" s="37"/>
      <c r="K115" s="38" t="s">
        <v>150</v>
      </c>
      <c r="L115" s="39">
        <v>6</v>
      </c>
      <c r="M115" s="39">
        <v>18</v>
      </c>
      <c r="N115" s="40" t="s">
        <v>94</v>
      </c>
      <c r="O115" s="39"/>
      <c r="P115" s="39">
        <v>2</v>
      </c>
      <c r="Q115" s="39"/>
      <c r="R115" s="40"/>
      <c r="S115" s="41"/>
      <c r="T115" s="41"/>
      <c r="U115" s="41"/>
      <c r="V115" s="41"/>
      <c r="W115" s="41"/>
      <c r="X115" s="42" t="str">
        <f t="shared" si="42"/>
        <v>НПИбд</v>
      </c>
      <c r="Y115" s="43" t="s">
        <v>129</v>
      </c>
      <c r="Z115" s="39">
        <v>1</v>
      </c>
      <c r="AA115" s="39">
        <v>1</v>
      </c>
      <c r="AB115" s="42">
        <f t="shared" si="43"/>
        <v>0</v>
      </c>
      <c r="AC115" s="39"/>
      <c r="AD115" s="39"/>
      <c r="AE115" s="44">
        <f t="shared" si="44"/>
        <v>12</v>
      </c>
      <c r="AF115" s="45">
        <f t="shared" si="45"/>
        <v>0</v>
      </c>
      <c r="AG115" s="45">
        <f t="shared" si="46"/>
        <v>0</v>
      </c>
      <c r="AH115" s="46" t="s">
        <v>82</v>
      </c>
      <c r="AI115" s="40" t="s">
        <v>83</v>
      </c>
      <c r="AJ115" s="40" t="s">
        <v>84</v>
      </c>
      <c r="AK115" s="47" t="s">
        <v>93</v>
      </c>
      <c r="AL115" s="40"/>
      <c r="AM115" s="48">
        <f t="shared" si="47"/>
        <v>0</v>
      </c>
      <c r="AN115" s="48">
        <f t="shared" si="48"/>
        <v>0</v>
      </c>
      <c r="AO115" s="48">
        <f t="shared" si="49"/>
        <v>0</v>
      </c>
      <c r="AP115" s="48">
        <f t="shared" si="50"/>
        <v>0</v>
      </c>
      <c r="AQ115" s="48">
        <f t="shared" si="51"/>
        <v>0</v>
      </c>
      <c r="AR115" s="48">
        <f t="shared" si="52"/>
        <v>0</v>
      </c>
      <c r="AS115" s="48">
        <f t="shared" si="53"/>
        <v>0</v>
      </c>
      <c r="AT115" s="48">
        <f t="shared" si="54"/>
        <v>0</v>
      </c>
      <c r="AU115" s="48">
        <f t="shared" si="55"/>
        <v>0</v>
      </c>
      <c r="AV115" s="48">
        <f t="shared" si="56"/>
        <v>0</v>
      </c>
      <c r="AW115" s="48">
        <f>IF(N115="ПП",РПП*AB115*(V115/1.5),IF(N115="ВП",ВПр*AB115*(V115/1.5),IF(N115="РПА",РПА*AB115*(V115/1.5),IF(N115="КПА",кпа*AB115*(V115/1.5),0))))</f>
        <v>0</v>
      </c>
      <c r="AX115" s="48">
        <f t="shared" si="57"/>
        <v>0</v>
      </c>
      <c r="AY115" s="48">
        <f t="shared" si="58"/>
        <v>0</v>
      </c>
      <c r="AZ115" s="48">
        <f t="shared" si="59"/>
        <v>0</v>
      </c>
      <c r="BA115" s="48">
        <f t="shared" si="60"/>
        <v>0</v>
      </c>
      <c r="BB115" s="48">
        <f t="shared" si="61"/>
        <v>0</v>
      </c>
      <c r="BC115" s="48">
        <f t="shared" si="62"/>
        <v>0</v>
      </c>
      <c r="BD115" s="48">
        <f t="shared" si="63"/>
        <v>0</v>
      </c>
      <c r="BE115" s="48">
        <f t="shared" si="64"/>
        <v>0</v>
      </c>
      <c r="BF115" s="49">
        <f t="shared" si="65"/>
        <v>0</v>
      </c>
      <c r="BG115" s="50"/>
      <c r="BH115" s="51">
        <f t="shared" si="66"/>
        <v>0</v>
      </c>
      <c r="BI115" s="51">
        <f t="shared" si="67"/>
        <v>0</v>
      </c>
      <c r="BJ115" s="51">
        <f t="shared" si="68"/>
        <v>0</v>
      </c>
      <c r="BK115" s="52">
        <f t="shared" si="69"/>
        <v>0</v>
      </c>
      <c r="BL115" s="52">
        <f t="shared" si="70"/>
        <v>0</v>
      </c>
      <c r="BM115" s="52">
        <f t="shared" si="71"/>
        <v>0</v>
      </c>
    </row>
    <row r="116" spans="1:65" ht="30" customHeight="1" x14ac:dyDescent="0.25">
      <c r="A116" s="31" t="str">
        <f t="shared" si="37"/>
        <v>Д</v>
      </c>
      <c r="B116" s="31" t="str">
        <f t="shared" si="38"/>
        <v>Б</v>
      </c>
      <c r="C116" s="32" t="s">
        <v>75</v>
      </c>
      <c r="D116" s="33" t="str">
        <f t="shared" si="39"/>
        <v>Факультет физико-математических и естественных наук</v>
      </c>
      <c r="E116" s="34" t="str">
        <f t="shared" si="40"/>
        <v>'09.03.03</v>
      </c>
      <c r="F116" s="35" t="str">
        <f t="shared" si="41"/>
        <v>Прикладная информатика</v>
      </c>
      <c r="G116" s="36" t="s">
        <v>76</v>
      </c>
      <c r="H116" s="36" t="s">
        <v>77</v>
      </c>
      <c r="I116" s="37" t="s">
        <v>90</v>
      </c>
      <c r="J116" s="37"/>
      <c r="K116" s="38" t="s">
        <v>150</v>
      </c>
      <c r="L116" s="39">
        <v>6</v>
      </c>
      <c r="M116" s="39">
        <v>18</v>
      </c>
      <c r="N116" s="40" t="s">
        <v>94</v>
      </c>
      <c r="O116" s="39"/>
      <c r="P116" s="39">
        <v>2</v>
      </c>
      <c r="Q116" s="39"/>
      <c r="R116" s="40"/>
      <c r="S116" s="41"/>
      <c r="T116" s="41"/>
      <c r="U116" s="41"/>
      <c r="V116" s="41"/>
      <c r="W116" s="41"/>
      <c r="X116" s="42" t="str">
        <f t="shared" si="42"/>
        <v>НПИбд</v>
      </c>
      <c r="Y116" s="43" t="s">
        <v>130</v>
      </c>
      <c r="Z116" s="39"/>
      <c r="AA116" s="39"/>
      <c r="AB116" s="42">
        <f t="shared" si="43"/>
        <v>0</v>
      </c>
      <c r="AC116" s="39"/>
      <c r="AD116" s="39"/>
      <c r="AE116" s="44">
        <f t="shared" si="44"/>
        <v>12</v>
      </c>
      <c r="AF116" s="45">
        <f t="shared" si="45"/>
        <v>0</v>
      </c>
      <c r="AG116" s="45">
        <f t="shared" si="46"/>
        <v>0</v>
      </c>
      <c r="AH116" s="46" t="s">
        <v>82</v>
      </c>
      <c r="AI116" s="40" t="s">
        <v>83</v>
      </c>
      <c r="AJ116" s="40" t="s">
        <v>84</v>
      </c>
      <c r="AK116" s="47" t="s">
        <v>93</v>
      </c>
      <c r="AL116" s="40"/>
      <c r="AM116" s="48">
        <f t="shared" si="47"/>
        <v>0</v>
      </c>
      <c r="AN116" s="48">
        <f t="shared" si="48"/>
        <v>0</v>
      </c>
      <c r="AO116" s="48">
        <f t="shared" si="49"/>
        <v>0</v>
      </c>
      <c r="AP116" s="48">
        <f t="shared" si="50"/>
        <v>0</v>
      </c>
      <c r="AQ116" s="48">
        <f t="shared" si="51"/>
        <v>0</v>
      </c>
      <c r="AR116" s="48">
        <f t="shared" si="52"/>
        <v>0</v>
      </c>
      <c r="AS116" s="48">
        <f t="shared" si="53"/>
        <v>0</v>
      </c>
      <c r="AT116" s="48">
        <f t="shared" si="54"/>
        <v>0</v>
      </c>
      <c r="AU116" s="48">
        <f t="shared" si="55"/>
        <v>0</v>
      </c>
      <c r="AV116" s="48">
        <f t="shared" si="56"/>
        <v>0</v>
      </c>
      <c r="AW116" s="48">
        <f>IF(N116="ПП",РПП*AB116*(V116/1.5),IF(N116="ВП",ВПр*AB116*(V116/1.5),IF(N116="РПА",РПА*AB116*(V116/1.5),IF(N116="КПА",кпа*AB116*(V116/1.5),0))))</f>
        <v>0</v>
      </c>
      <c r="AX116" s="48">
        <f t="shared" si="57"/>
        <v>0</v>
      </c>
      <c r="AY116" s="48">
        <f t="shared" si="58"/>
        <v>0</v>
      </c>
      <c r="AZ116" s="48">
        <f t="shared" si="59"/>
        <v>0</v>
      </c>
      <c r="BA116" s="48">
        <f t="shared" si="60"/>
        <v>0</v>
      </c>
      <c r="BB116" s="48">
        <f t="shared" si="61"/>
        <v>0</v>
      </c>
      <c r="BC116" s="48">
        <f t="shared" si="62"/>
        <v>0</v>
      </c>
      <c r="BD116" s="48">
        <f t="shared" si="63"/>
        <v>0</v>
      </c>
      <c r="BE116" s="48">
        <f t="shared" si="64"/>
        <v>0</v>
      </c>
      <c r="BF116" s="49">
        <f t="shared" si="65"/>
        <v>0</v>
      </c>
      <c r="BG116" s="50"/>
      <c r="BH116" s="51">
        <f t="shared" si="66"/>
        <v>0</v>
      </c>
      <c r="BI116" s="51">
        <f t="shared" si="67"/>
        <v>0</v>
      </c>
      <c r="BJ116" s="51">
        <f t="shared" si="68"/>
        <v>0</v>
      </c>
      <c r="BK116" s="52">
        <f t="shared" si="69"/>
        <v>0</v>
      </c>
      <c r="BL116" s="52">
        <f t="shared" si="70"/>
        <v>0</v>
      </c>
      <c r="BM116" s="52">
        <f t="shared" si="71"/>
        <v>0</v>
      </c>
    </row>
    <row r="117" spans="1:65" ht="30" customHeight="1" x14ac:dyDescent="0.25">
      <c r="A117" s="31" t="str">
        <f t="shared" si="37"/>
        <v>Д</v>
      </c>
      <c r="B117" s="31" t="str">
        <f t="shared" si="38"/>
        <v>Б</v>
      </c>
      <c r="C117" s="32" t="s">
        <v>75</v>
      </c>
      <c r="D117" s="33" t="str">
        <f t="shared" si="39"/>
        <v>Факультет физико-математических и естественных наук</v>
      </c>
      <c r="E117" s="34" t="str">
        <f t="shared" si="40"/>
        <v>'09.03.03</v>
      </c>
      <c r="F117" s="35" t="str">
        <f t="shared" si="41"/>
        <v>Прикладная информатика</v>
      </c>
      <c r="G117" s="36" t="s">
        <v>76</v>
      </c>
      <c r="H117" s="36" t="s">
        <v>135</v>
      </c>
      <c r="I117" s="37" t="s">
        <v>136</v>
      </c>
      <c r="J117" s="37" t="s">
        <v>137</v>
      </c>
      <c r="K117" s="38" t="s">
        <v>151</v>
      </c>
      <c r="L117" s="39">
        <v>6</v>
      </c>
      <c r="M117" s="39">
        <v>18</v>
      </c>
      <c r="N117" s="40" t="s">
        <v>79</v>
      </c>
      <c r="O117" s="39">
        <v>1</v>
      </c>
      <c r="P117" s="39"/>
      <c r="Q117" s="39"/>
      <c r="R117" s="40"/>
      <c r="S117" s="41"/>
      <c r="T117" s="41"/>
      <c r="U117" s="41"/>
      <c r="V117" s="41"/>
      <c r="W117" s="41"/>
      <c r="X117" s="42" t="str">
        <f t="shared" si="42"/>
        <v>НПИбд</v>
      </c>
      <c r="Y117" s="39" t="s">
        <v>126</v>
      </c>
      <c r="Z117" s="39">
        <v>4</v>
      </c>
      <c r="AA117" s="39">
        <v>2</v>
      </c>
      <c r="AB117" s="42">
        <f t="shared" si="43"/>
        <v>19</v>
      </c>
      <c r="AC117" s="39">
        <v>13</v>
      </c>
      <c r="AD117" s="39">
        <v>6</v>
      </c>
      <c r="AE117" s="44">
        <f t="shared" si="44"/>
        <v>19</v>
      </c>
      <c r="AF117" s="45">
        <f t="shared" si="45"/>
        <v>1</v>
      </c>
      <c r="AG117" s="45">
        <f t="shared" si="46"/>
        <v>1</v>
      </c>
      <c r="AH117" s="46" t="s">
        <v>82</v>
      </c>
      <c r="AI117" s="40" t="s">
        <v>83</v>
      </c>
      <c r="AJ117" s="40" t="s">
        <v>84</v>
      </c>
      <c r="AK117" s="54" t="s">
        <v>127</v>
      </c>
      <c r="AL117" s="40"/>
      <c r="AM117" s="48">
        <f t="shared" si="47"/>
        <v>18</v>
      </c>
      <c r="AN117" s="48">
        <f t="shared" si="48"/>
        <v>0</v>
      </c>
      <c r="AO117" s="48">
        <f t="shared" si="49"/>
        <v>0</v>
      </c>
      <c r="AP117" s="48">
        <f t="shared" si="50"/>
        <v>0</v>
      </c>
      <c r="AQ117" s="48">
        <f t="shared" si="51"/>
        <v>0</v>
      </c>
      <c r="AR117" s="48">
        <f t="shared" si="52"/>
        <v>0</v>
      </c>
      <c r="AS117" s="48">
        <f t="shared" si="53"/>
        <v>1.8</v>
      </c>
      <c r="AT117" s="48">
        <f t="shared" si="54"/>
        <v>0</v>
      </c>
      <c r="AU117" s="48">
        <f t="shared" si="55"/>
        <v>0</v>
      </c>
      <c r="AV117" s="48">
        <f t="shared" si="56"/>
        <v>0</v>
      </c>
      <c r="AW117" s="48">
        <f>IF(N117="ПП",РПП*AB117*(V117/1.5),IF(N117="ВП",ВПр*AB117*(V117/1.5),IF(N117="РПА",РПА*AB117*(V117/1.5),IF(N117="КПА",кпа*AB117*(V117/1.5),0))))</f>
        <v>0</v>
      </c>
      <c r="AX117" s="48">
        <f t="shared" si="57"/>
        <v>0</v>
      </c>
      <c r="AY117" s="48">
        <f t="shared" si="58"/>
        <v>0</v>
      </c>
      <c r="AZ117" s="48">
        <f t="shared" si="59"/>
        <v>0</v>
      </c>
      <c r="BA117" s="48">
        <f t="shared" si="60"/>
        <v>0</v>
      </c>
      <c r="BB117" s="48">
        <f t="shared" si="61"/>
        <v>0</v>
      </c>
      <c r="BC117" s="48">
        <f t="shared" si="62"/>
        <v>0</v>
      </c>
      <c r="BD117" s="48">
        <f t="shared" si="63"/>
        <v>0</v>
      </c>
      <c r="BE117" s="48">
        <f t="shared" si="64"/>
        <v>0</v>
      </c>
      <c r="BF117" s="49">
        <f t="shared" si="65"/>
        <v>19.8</v>
      </c>
      <c r="BG117" s="50"/>
      <c r="BH117" s="51">
        <f t="shared" si="66"/>
        <v>0</v>
      </c>
      <c r="BI117" s="51">
        <f t="shared" si="67"/>
        <v>0</v>
      </c>
      <c r="BJ117" s="51">
        <f t="shared" si="68"/>
        <v>0</v>
      </c>
      <c r="BK117" s="52">
        <f t="shared" si="69"/>
        <v>18</v>
      </c>
      <c r="BL117" s="52">
        <f t="shared" si="70"/>
        <v>0.5</v>
      </c>
      <c r="BM117" s="52">
        <f t="shared" si="71"/>
        <v>1.8</v>
      </c>
    </row>
    <row r="118" spans="1:65" ht="30" customHeight="1" x14ac:dyDescent="0.25">
      <c r="A118" s="31" t="str">
        <f t="shared" si="37"/>
        <v>Д</v>
      </c>
      <c r="B118" s="31" t="str">
        <f t="shared" si="38"/>
        <v>Б</v>
      </c>
      <c r="C118" s="32" t="s">
        <v>75</v>
      </c>
      <c r="D118" s="33" t="str">
        <f t="shared" si="39"/>
        <v>Факультет физико-математических и естественных наук</v>
      </c>
      <c r="E118" s="34" t="str">
        <f t="shared" si="40"/>
        <v>'09.03.03</v>
      </c>
      <c r="F118" s="35" t="str">
        <f t="shared" si="41"/>
        <v>Прикладная информатика</v>
      </c>
      <c r="G118" s="36" t="s">
        <v>76</v>
      </c>
      <c r="H118" s="36" t="s">
        <v>135</v>
      </c>
      <c r="I118" s="37" t="s">
        <v>136</v>
      </c>
      <c r="J118" s="37" t="s">
        <v>137</v>
      </c>
      <c r="K118" s="38" t="s">
        <v>151</v>
      </c>
      <c r="L118" s="39">
        <v>6</v>
      </c>
      <c r="M118" s="39">
        <v>18</v>
      </c>
      <c r="N118" s="40" t="s">
        <v>94</v>
      </c>
      <c r="O118" s="39"/>
      <c r="P118" s="39">
        <v>2</v>
      </c>
      <c r="Q118" s="39"/>
      <c r="R118" s="40" t="s">
        <v>95</v>
      </c>
      <c r="S118" s="41"/>
      <c r="T118" s="41"/>
      <c r="U118" s="41"/>
      <c r="V118" s="41"/>
      <c r="W118" s="41"/>
      <c r="X118" s="42" t="str">
        <f t="shared" si="42"/>
        <v>НПИбд</v>
      </c>
      <c r="Y118" s="39" t="s">
        <v>126</v>
      </c>
      <c r="Z118" s="39">
        <v>4</v>
      </c>
      <c r="AA118" s="39">
        <v>2</v>
      </c>
      <c r="AB118" s="42">
        <f t="shared" si="43"/>
        <v>19</v>
      </c>
      <c r="AC118" s="39">
        <v>13</v>
      </c>
      <c r="AD118" s="39">
        <v>6</v>
      </c>
      <c r="AE118" s="44">
        <f t="shared" si="44"/>
        <v>12</v>
      </c>
      <c r="AF118" s="45">
        <f t="shared" si="45"/>
        <v>1</v>
      </c>
      <c r="AG118" s="45">
        <f t="shared" si="46"/>
        <v>1.5833333333333333</v>
      </c>
      <c r="AH118" s="46" t="s">
        <v>82</v>
      </c>
      <c r="AI118" s="40" t="s">
        <v>83</v>
      </c>
      <c r="AJ118" s="40" t="s">
        <v>84</v>
      </c>
      <c r="AK118" s="47" t="s">
        <v>127</v>
      </c>
      <c r="AL118" s="40"/>
      <c r="AM118" s="48">
        <f t="shared" si="47"/>
        <v>0</v>
      </c>
      <c r="AN118" s="48">
        <f t="shared" si="48"/>
        <v>0</v>
      </c>
      <c r="AO118" s="48">
        <f t="shared" si="49"/>
        <v>36</v>
      </c>
      <c r="AP118" s="48">
        <f t="shared" si="50"/>
        <v>6.2700000000000005</v>
      </c>
      <c r="AQ118" s="48">
        <f t="shared" si="51"/>
        <v>9.5</v>
      </c>
      <c r="AR118" s="48">
        <f t="shared" si="52"/>
        <v>2</v>
      </c>
      <c r="AS118" s="48">
        <f t="shared" si="53"/>
        <v>0</v>
      </c>
      <c r="AT118" s="48">
        <f t="shared" si="54"/>
        <v>0</v>
      </c>
      <c r="AU118" s="48">
        <f t="shared" si="55"/>
        <v>0</v>
      </c>
      <c r="AV118" s="48">
        <f t="shared" si="56"/>
        <v>0</v>
      </c>
      <c r="AW118" s="48">
        <f>IF(N118="ПП",РПП*AB118*(V118/1.5),IF(N118="ВП",ВПр*AB118*(V118/1.5),IF(N118="РПА",РПА*AB118*(V118/1.5),IF(N118="КПА",кпа*AB118*(V118/1.5),0))))</f>
        <v>0</v>
      </c>
      <c r="AX118" s="48">
        <f t="shared" si="57"/>
        <v>0</v>
      </c>
      <c r="AY118" s="48">
        <f t="shared" si="58"/>
        <v>0</v>
      </c>
      <c r="AZ118" s="48">
        <f t="shared" si="59"/>
        <v>0</v>
      </c>
      <c r="BA118" s="48">
        <f t="shared" si="60"/>
        <v>0</v>
      </c>
      <c r="BB118" s="48">
        <f t="shared" si="61"/>
        <v>0</v>
      </c>
      <c r="BC118" s="48">
        <f t="shared" si="62"/>
        <v>0</v>
      </c>
      <c r="BD118" s="48">
        <f t="shared" si="63"/>
        <v>0</v>
      </c>
      <c r="BE118" s="48">
        <f t="shared" si="64"/>
        <v>0</v>
      </c>
      <c r="BF118" s="49">
        <f t="shared" si="65"/>
        <v>53.77</v>
      </c>
      <c r="BG118" s="50"/>
      <c r="BH118" s="51">
        <f t="shared" si="66"/>
        <v>0</v>
      </c>
      <c r="BI118" s="51">
        <f t="shared" si="67"/>
        <v>0</v>
      </c>
      <c r="BJ118" s="51">
        <f t="shared" si="68"/>
        <v>0</v>
      </c>
      <c r="BK118" s="52">
        <f t="shared" si="69"/>
        <v>36</v>
      </c>
      <c r="BL118" s="52">
        <f t="shared" si="70"/>
        <v>1</v>
      </c>
      <c r="BM118" s="52">
        <f t="shared" si="71"/>
        <v>17.77</v>
      </c>
    </row>
    <row r="119" spans="1:65" ht="30" customHeight="1" x14ac:dyDescent="0.25">
      <c r="A119" s="31" t="str">
        <f t="shared" si="37"/>
        <v>Д</v>
      </c>
      <c r="B119" s="31" t="str">
        <f t="shared" si="38"/>
        <v>Б</v>
      </c>
      <c r="C119" s="32" t="s">
        <v>75</v>
      </c>
      <c r="D119" s="33" t="str">
        <f t="shared" si="39"/>
        <v>Факультет физико-математических и естественных наук</v>
      </c>
      <c r="E119" s="34" t="str">
        <f t="shared" si="40"/>
        <v>'09.03.03</v>
      </c>
      <c r="F119" s="35" t="str">
        <f t="shared" si="41"/>
        <v>Прикладная информатика</v>
      </c>
      <c r="G119" s="36" t="s">
        <v>76</v>
      </c>
      <c r="H119" s="36" t="s">
        <v>135</v>
      </c>
      <c r="I119" s="37" t="s">
        <v>136</v>
      </c>
      <c r="J119" s="37" t="s">
        <v>137</v>
      </c>
      <c r="K119" s="38" t="s">
        <v>151</v>
      </c>
      <c r="L119" s="39">
        <v>6</v>
      </c>
      <c r="M119" s="39">
        <v>18</v>
      </c>
      <c r="N119" s="40" t="s">
        <v>94</v>
      </c>
      <c r="O119" s="39"/>
      <c r="P119" s="39">
        <v>2</v>
      </c>
      <c r="Q119" s="39"/>
      <c r="R119" s="40" t="s">
        <v>95</v>
      </c>
      <c r="S119" s="41"/>
      <c r="T119" s="41"/>
      <c r="U119" s="41"/>
      <c r="V119" s="41"/>
      <c r="W119" s="41"/>
      <c r="X119" s="42" t="str">
        <f t="shared" si="42"/>
        <v>НПИбд</v>
      </c>
      <c r="Y119" s="39" t="s">
        <v>126</v>
      </c>
      <c r="Z119" s="39">
        <v>4</v>
      </c>
      <c r="AA119" s="39">
        <v>2</v>
      </c>
      <c r="AB119" s="42">
        <f t="shared" si="43"/>
        <v>19</v>
      </c>
      <c r="AC119" s="39">
        <v>13</v>
      </c>
      <c r="AD119" s="39">
        <v>6</v>
      </c>
      <c r="AE119" s="44">
        <f t="shared" si="44"/>
        <v>12</v>
      </c>
      <c r="AF119" s="45">
        <f t="shared" si="45"/>
        <v>1</v>
      </c>
      <c r="AG119" s="45">
        <f t="shared" si="46"/>
        <v>1.5833333333333333</v>
      </c>
      <c r="AH119" s="46" t="s">
        <v>82</v>
      </c>
      <c r="AI119" s="40" t="s">
        <v>83</v>
      </c>
      <c r="AJ119" s="40" t="s">
        <v>84</v>
      </c>
      <c r="AK119" s="47" t="s">
        <v>127</v>
      </c>
      <c r="AL119" s="40"/>
      <c r="AM119" s="48">
        <f t="shared" si="47"/>
        <v>0</v>
      </c>
      <c r="AN119" s="48">
        <f t="shared" si="48"/>
        <v>0</v>
      </c>
      <c r="AO119" s="48">
        <f t="shared" si="49"/>
        <v>36</v>
      </c>
      <c r="AP119" s="48">
        <f t="shared" si="50"/>
        <v>6.2700000000000005</v>
      </c>
      <c r="AQ119" s="48">
        <f t="shared" si="51"/>
        <v>9.5</v>
      </c>
      <c r="AR119" s="48">
        <f t="shared" si="52"/>
        <v>2</v>
      </c>
      <c r="AS119" s="48">
        <f t="shared" si="53"/>
        <v>0</v>
      </c>
      <c r="AT119" s="48">
        <f t="shared" si="54"/>
        <v>0</v>
      </c>
      <c r="AU119" s="48">
        <f t="shared" si="55"/>
        <v>0</v>
      </c>
      <c r="AV119" s="48">
        <f t="shared" si="56"/>
        <v>0</v>
      </c>
      <c r="AW119" s="48">
        <f>IF(N119="ПП",РПП*AB119*(V119/1.5),IF(N119="ВП",ВПр*AB119*(V119/1.5),IF(N119="РПА",РПА*AB119*(V119/1.5),IF(N119="КПА",кпа*AB119*(V119/1.5),0))))</f>
        <v>0</v>
      </c>
      <c r="AX119" s="48">
        <f t="shared" si="57"/>
        <v>0</v>
      </c>
      <c r="AY119" s="48">
        <f t="shared" si="58"/>
        <v>0</v>
      </c>
      <c r="AZ119" s="48">
        <f t="shared" si="59"/>
        <v>0</v>
      </c>
      <c r="BA119" s="48">
        <f t="shared" si="60"/>
        <v>0</v>
      </c>
      <c r="BB119" s="48">
        <f t="shared" si="61"/>
        <v>0</v>
      </c>
      <c r="BC119" s="48">
        <f t="shared" si="62"/>
        <v>0</v>
      </c>
      <c r="BD119" s="48">
        <f t="shared" si="63"/>
        <v>0</v>
      </c>
      <c r="BE119" s="48">
        <f t="shared" si="64"/>
        <v>0</v>
      </c>
      <c r="BF119" s="49">
        <f t="shared" si="65"/>
        <v>53.77</v>
      </c>
      <c r="BG119" s="50"/>
      <c r="BH119" s="51">
        <f t="shared" si="66"/>
        <v>0</v>
      </c>
      <c r="BI119" s="51">
        <f t="shared" si="67"/>
        <v>0</v>
      </c>
      <c r="BJ119" s="51">
        <f t="shared" si="68"/>
        <v>0</v>
      </c>
      <c r="BK119" s="52">
        <f t="shared" si="69"/>
        <v>36</v>
      </c>
      <c r="BL119" s="52">
        <f t="shared" si="70"/>
        <v>1</v>
      </c>
      <c r="BM119" s="52">
        <f t="shared" si="71"/>
        <v>17.77</v>
      </c>
    </row>
    <row r="120" spans="1:65" ht="30" customHeight="1" x14ac:dyDescent="0.25">
      <c r="A120" s="31" t="str">
        <f t="shared" si="37"/>
        <v>Д</v>
      </c>
      <c r="B120" s="31" t="str">
        <f t="shared" si="38"/>
        <v>Б</v>
      </c>
      <c r="C120" s="32" t="s">
        <v>75</v>
      </c>
      <c r="D120" s="33" t="str">
        <f t="shared" si="39"/>
        <v>Факультет физико-математических и естественных наук</v>
      </c>
      <c r="E120" s="34" t="str">
        <f t="shared" si="40"/>
        <v>'09.03.03</v>
      </c>
      <c r="F120" s="35" t="str">
        <f t="shared" si="41"/>
        <v>Прикладная информатика</v>
      </c>
      <c r="G120" s="36" t="s">
        <v>76</v>
      </c>
      <c r="H120" s="36" t="s">
        <v>135</v>
      </c>
      <c r="I120" s="37" t="s">
        <v>136</v>
      </c>
      <c r="J120" s="37" t="s">
        <v>137</v>
      </c>
      <c r="K120" s="38" t="s">
        <v>152</v>
      </c>
      <c r="L120" s="39">
        <v>6</v>
      </c>
      <c r="M120" s="39">
        <v>18</v>
      </c>
      <c r="N120" s="40" t="s">
        <v>79</v>
      </c>
      <c r="O120" s="39">
        <v>1</v>
      </c>
      <c r="P120" s="39"/>
      <c r="Q120" s="39"/>
      <c r="R120" s="40"/>
      <c r="S120" s="41"/>
      <c r="T120" s="41"/>
      <c r="U120" s="41"/>
      <c r="V120" s="41"/>
      <c r="W120" s="41"/>
      <c r="X120" s="42" t="str">
        <f t="shared" si="42"/>
        <v>НПИбд</v>
      </c>
      <c r="Y120" s="39" t="s">
        <v>126</v>
      </c>
      <c r="Z120" s="39">
        <v>4</v>
      </c>
      <c r="AA120" s="39">
        <v>2</v>
      </c>
      <c r="AB120" s="42">
        <f t="shared" si="43"/>
        <v>15</v>
      </c>
      <c r="AC120" s="39">
        <v>11</v>
      </c>
      <c r="AD120" s="39">
        <v>4</v>
      </c>
      <c r="AE120" s="44">
        <f t="shared" si="44"/>
        <v>15</v>
      </c>
      <c r="AF120" s="45">
        <f t="shared" si="45"/>
        <v>1</v>
      </c>
      <c r="AG120" s="45">
        <f t="shared" si="46"/>
        <v>1</v>
      </c>
      <c r="AH120" s="46" t="s">
        <v>82</v>
      </c>
      <c r="AI120" s="40" t="s">
        <v>83</v>
      </c>
      <c r="AJ120" s="40" t="s">
        <v>84</v>
      </c>
      <c r="AK120" s="47" t="s">
        <v>127</v>
      </c>
      <c r="AL120" s="40"/>
      <c r="AM120" s="48">
        <f t="shared" si="47"/>
        <v>18</v>
      </c>
      <c r="AN120" s="48">
        <f t="shared" si="48"/>
        <v>0</v>
      </c>
      <c r="AO120" s="48">
        <f t="shared" si="49"/>
        <v>0</v>
      </c>
      <c r="AP120" s="48">
        <f t="shared" si="50"/>
        <v>0</v>
      </c>
      <c r="AQ120" s="48">
        <f t="shared" si="51"/>
        <v>0</v>
      </c>
      <c r="AR120" s="48">
        <f t="shared" si="52"/>
        <v>0</v>
      </c>
      <c r="AS120" s="48">
        <f t="shared" si="53"/>
        <v>1.8</v>
      </c>
      <c r="AT120" s="48">
        <f t="shared" si="54"/>
        <v>0</v>
      </c>
      <c r="AU120" s="48">
        <f t="shared" si="55"/>
        <v>0</v>
      </c>
      <c r="AV120" s="48">
        <f t="shared" si="56"/>
        <v>0</v>
      </c>
      <c r="AW120" s="48">
        <f>IF(N120="ПП",РПП*AB120*(V120/1.5),IF(N120="ВП",ВПр*AB120*(V120/1.5),IF(N120="РПА",РПА*AB120*(V120/1.5),IF(N120="КПА",кпа*AB120*(V120/1.5),0))))</f>
        <v>0</v>
      </c>
      <c r="AX120" s="48">
        <f t="shared" si="57"/>
        <v>0</v>
      </c>
      <c r="AY120" s="48">
        <f t="shared" si="58"/>
        <v>0</v>
      </c>
      <c r="AZ120" s="48">
        <f t="shared" si="59"/>
        <v>0</v>
      </c>
      <c r="BA120" s="48">
        <f t="shared" si="60"/>
        <v>0</v>
      </c>
      <c r="BB120" s="48">
        <f t="shared" si="61"/>
        <v>0</v>
      </c>
      <c r="BC120" s="48">
        <f t="shared" si="62"/>
        <v>0</v>
      </c>
      <c r="BD120" s="48">
        <f t="shared" si="63"/>
        <v>0</v>
      </c>
      <c r="BE120" s="48">
        <f t="shared" si="64"/>
        <v>0</v>
      </c>
      <c r="BF120" s="49">
        <f t="shared" si="65"/>
        <v>19.8</v>
      </c>
      <c r="BG120" s="50"/>
      <c r="BH120" s="51">
        <f t="shared" si="66"/>
        <v>0</v>
      </c>
      <c r="BI120" s="51">
        <f t="shared" si="67"/>
        <v>0</v>
      </c>
      <c r="BJ120" s="51">
        <f t="shared" si="68"/>
        <v>0</v>
      </c>
      <c r="BK120" s="52">
        <f t="shared" si="69"/>
        <v>18</v>
      </c>
      <c r="BL120" s="52">
        <f t="shared" si="70"/>
        <v>0.5</v>
      </c>
      <c r="BM120" s="52">
        <f t="shared" si="71"/>
        <v>1.8</v>
      </c>
    </row>
    <row r="121" spans="1:65" ht="30" customHeight="1" x14ac:dyDescent="0.25">
      <c r="A121" s="31" t="str">
        <f t="shared" si="37"/>
        <v>Д</v>
      </c>
      <c r="B121" s="31" t="str">
        <f t="shared" si="38"/>
        <v>Б</v>
      </c>
      <c r="C121" s="32" t="s">
        <v>75</v>
      </c>
      <c r="D121" s="33" t="str">
        <f t="shared" si="39"/>
        <v>Факультет физико-математических и естественных наук</v>
      </c>
      <c r="E121" s="34" t="str">
        <f t="shared" si="40"/>
        <v>'09.03.03</v>
      </c>
      <c r="F121" s="35" t="str">
        <f t="shared" si="41"/>
        <v>Прикладная информатика</v>
      </c>
      <c r="G121" s="36" t="s">
        <v>76</v>
      </c>
      <c r="H121" s="36" t="s">
        <v>135</v>
      </c>
      <c r="I121" s="37" t="s">
        <v>136</v>
      </c>
      <c r="J121" s="37" t="s">
        <v>137</v>
      </c>
      <c r="K121" s="38" t="s">
        <v>152</v>
      </c>
      <c r="L121" s="39">
        <v>6</v>
      </c>
      <c r="M121" s="39">
        <v>18</v>
      </c>
      <c r="N121" s="40" t="s">
        <v>94</v>
      </c>
      <c r="O121" s="39"/>
      <c r="P121" s="39">
        <v>2</v>
      </c>
      <c r="Q121" s="39"/>
      <c r="R121" s="40" t="s">
        <v>95</v>
      </c>
      <c r="S121" s="41"/>
      <c r="T121" s="41"/>
      <c r="U121" s="41"/>
      <c r="V121" s="41"/>
      <c r="W121" s="41"/>
      <c r="X121" s="42" t="str">
        <f t="shared" si="42"/>
        <v>НПИбд</v>
      </c>
      <c r="Y121" s="39" t="s">
        <v>126</v>
      </c>
      <c r="Z121" s="39">
        <v>4</v>
      </c>
      <c r="AA121" s="39">
        <v>2</v>
      </c>
      <c r="AB121" s="42">
        <f t="shared" si="43"/>
        <v>15</v>
      </c>
      <c r="AC121" s="39">
        <v>11</v>
      </c>
      <c r="AD121" s="39">
        <v>4</v>
      </c>
      <c r="AE121" s="44">
        <f t="shared" si="44"/>
        <v>12</v>
      </c>
      <c r="AF121" s="45">
        <f t="shared" si="45"/>
        <v>1</v>
      </c>
      <c r="AG121" s="45">
        <f t="shared" si="46"/>
        <v>1.25</v>
      </c>
      <c r="AH121" s="46" t="s">
        <v>82</v>
      </c>
      <c r="AI121" s="40" t="s">
        <v>83</v>
      </c>
      <c r="AJ121" s="40" t="s">
        <v>116</v>
      </c>
      <c r="AK121" s="47" t="s">
        <v>146</v>
      </c>
      <c r="AL121" s="40"/>
      <c r="AM121" s="48">
        <f t="shared" si="47"/>
        <v>0</v>
      </c>
      <c r="AN121" s="48">
        <f t="shared" si="48"/>
        <v>0</v>
      </c>
      <c r="AO121" s="48">
        <f t="shared" si="49"/>
        <v>36</v>
      </c>
      <c r="AP121" s="48">
        <f t="shared" si="50"/>
        <v>4.95</v>
      </c>
      <c r="AQ121" s="48">
        <f t="shared" si="51"/>
        <v>7.5</v>
      </c>
      <c r="AR121" s="48">
        <f t="shared" si="52"/>
        <v>2</v>
      </c>
      <c r="AS121" s="48">
        <f t="shared" si="53"/>
        <v>0</v>
      </c>
      <c r="AT121" s="48">
        <f t="shared" si="54"/>
        <v>0</v>
      </c>
      <c r="AU121" s="48">
        <f t="shared" si="55"/>
        <v>0</v>
      </c>
      <c r="AV121" s="48">
        <f t="shared" si="56"/>
        <v>0</v>
      </c>
      <c r="AW121" s="48">
        <f>IF(N121="ПП",РПП*AB121*(V121/1.5),IF(N121="ВП",ВПр*AB121*(V121/1.5),IF(N121="РПА",РПА*AB121*(V121/1.5),IF(N121="КПА",кпа*AB121*(V121/1.5),0))))</f>
        <v>0</v>
      </c>
      <c r="AX121" s="48">
        <f t="shared" si="57"/>
        <v>0</v>
      </c>
      <c r="AY121" s="48">
        <f t="shared" si="58"/>
        <v>0</v>
      </c>
      <c r="AZ121" s="48">
        <f t="shared" si="59"/>
        <v>0</v>
      </c>
      <c r="BA121" s="48">
        <f t="shared" si="60"/>
        <v>0</v>
      </c>
      <c r="BB121" s="48">
        <f t="shared" si="61"/>
        <v>0</v>
      </c>
      <c r="BC121" s="48">
        <f t="shared" si="62"/>
        <v>0</v>
      </c>
      <c r="BD121" s="48">
        <f t="shared" si="63"/>
        <v>0</v>
      </c>
      <c r="BE121" s="48">
        <f t="shared" si="64"/>
        <v>0</v>
      </c>
      <c r="BF121" s="49">
        <f t="shared" si="65"/>
        <v>50.45</v>
      </c>
      <c r="BG121" s="50"/>
      <c r="BH121" s="51">
        <f t="shared" si="66"/>
        <v>0</v>
      </c>
      <c r="BI121" s="51">
        <f t="shared" si="67"/>
        <v>0</v>
      </c>
      <c r="BJ121" s="51">
        <f t="shared" si="68"/>
        <v>0</v>
      </c>
      <c r="BK121" s="52">
        <f t="shared" si="69"/>
        <v>36</v>
      </c>
      <c r="BL121" s="52">
        <f t="shared" si="70"/>
        <v>1</v>
      </c>
      <c r="BM121" s="52">
        <f t="shared" si="71"/>
        <v>14.45</v>
      </c>
    </row>
    <row r="122" spans="1:65" ht="30" customHeight="1" x14ac:dyDescent="0.25">
      <c r="A122" s="31" t="str">
        <f t="shared" si="37"/>
        <v>Д</v>
      </c>
      <c r="B122" s="31" t="str">
        <f t="shared" si="38"/>
        <v>Б</v>
      </c>
      <c r="C122" s="32" t="s">
        <v>75</v>
      </c>
      <c r="D122" s="33" t="str">
        <f t="shared" si="39"/>
        <v>Факультет физико-математических и естественных наук</v>
      </c>
      <c r="E122" s="34" t="str">
        <f t="shared" si="40"/>
        <v>'09.03.03</v>
      </c>
      <c r="F122" s="35" t="str">
        <f t="shared" si="41"/>
        <v>Прикладная информатика</v>
      </c>
      <c r="G122" s="36" t="s">
        <v>76</v>
      </c>
      <c r="H122" s="36" t="s">
        <v>135</v>
      </c>
      <c r="I122" s="37" t="s">
        <v>136</v>
      </c>
      <c r="J122" s="37" t="s">
        <v>137</v>
      </c>
      <c r="K122" s="38" t="s">
        <v>152</v>
      </c>
      <c r="L122" s="39">
        <v>6</v>
      </c>
      <c r="M122" s="39">
        <v>18</v>
      </c>
      <c r="N122" s="40" t="s">
        <v>94</v>
      </c>
      <c r="O122" s="39"/>
      <c r="P122" s="39">
        <v>2</v>
      </c>
      <c r="Q122" s="39"/>
      <c r="R122" s="40" t="s">
        <v>95</v>
      </c>
      <c r="S122" s="41"/>
      <c r="T122" s="41"/>
      <c r="U122" s="41"/>
      <c r="V122" s="41"/>
      <c r="W122" s="41"/>
      <c r="X122" s="42" t="str">
        <f t="shared" si="42"/>
        <v>НПИбд</v>
      </c>
      <c r="Y122" s="39"/>
      <c r="Z122" s="39"/>
      <c r="AA122" s="39"/>
      <c r="AB122" s="42">
        <f t="shared" si="43"/>
        <v>0</v>
      </c>
      <c r="AC122" s="39"/>
      <c r="AD122" s="39"/>
      <c r="AE122" s="44">
        <f t="shared" si="44"/>
        <v>12</v>
      </c>
      <c r="AF122" s="45">
        <f t="shared" si="45"/>
        <v>0</v>
      </c>
      <c r="AG122" s="45">
        <f t="shared" si="46"/>
        <v>0</v>
      </c>
      <c r="AH122" s="46" t="s">
        <v>82</v>
      </c>
      <c r="AI122" s="40" t="s">
        <v>83</v>
      </c>
      <c r="AJ122" s="40" t="s">
        <v>116</v>
      </c>
      <c r="AK122" s="56" t="s">
        <v>146</v>
      </c>
      <c r="AL122" s="40"/>
      <c r="AM122" s="48">
        <f t="shared" si="47"/>
        <v>0</v>
      </c>
      <c r="AN122" s="48">
        <f t="shared" si="48"/>
        <v>0</v>
      </c>
      <c r="AO122" s="48">
        <f t="shared" si="49"/>
        <v>0</v>
      </c>
      <c r="AP122" s="48">
        <f t="shared" si="50"/>
        <v>0</v>
      </c>
      <c r="AQ122" s="48">
        <f t="shared" si="51"/>
        <v>0</v>
      </c>
      <c r="AR122" s="48">
        <f t="shared" si="52"/>
        <v>0</v>
      </c>
      <c r="AS122" s="48">
        <f t="shared" si="53"/>
        <v>0</v>
      </c>
      <c r="AT122" s="48">
        <f t="shared" si="54"/>
        <v>0</v>
      </c>
      <c r="AU122" s="48">
        <f t="shared" si="55"/>
        <v>0</v>
      </c>
      <c r="AV122" s="48">
        <f t="shared" si="56"/>
        <v>0</v>
      </c>
      <c r="AW122" s="48">
        <f>IF(N122="ПП",РПП*AB122*(V122/1.5),IF(N122="ВП",ВПр*AB122*(V122/1.5),IF(N122="РПА",РПА*AB122*(V122/1.5),IF(N122="КПА",кпа*AB122*(V122/1.5),0))))</f>
        <v>0</v>
      </c>
      <c r="AX122" s="48">
        <f t="shared" si="57"/>
        <v>0</v>
      </c>
      <c r="AY122" s="48">
        <f t="shared" si="58"/>
        <v>0</v>
      </c>
      <c r="AZ122" s="48">
        <f t="shared" si="59"/>
        <v>0</v>
      </c>
      <c r="BA122" s="48">
        <f t="shared" si="60"/>
        <v>0</v>
      </c>
      <c r="BB122" s="48">
        <f t="shared" si="61"/>
        <v>0</v>
      </c>
      <c r="BC122" s="48">
        <f t="shared" si="62"/>
        <v>0</v>
      </c>
      <c r="BD122" s="48">
        <f t="shared" si="63"/>
        <v>0</v>
      </c>
      <c r="BE122" s="48">
        <f t="shared" si="64"/>
        <v>0</v>
      </c>
      <c r="BF122" s="49">
        <f t="shared" si="65"/>
        <v>0</v>
      </c>
      <c r="BG122" s="50"/>
      <c r="BH122" s="51">
        <f t="shared" si="66"/>
        <v>0</v>
      </c>
      <c r="BI122" s="51">
        <f t="shared" si="67"/>
        <v>0</v>
      </c>
      <c r="BJ122" s="51">
        <f t="shared" si="68"/>
        <v>0</v>
      </c>
      <c r="BK122" s="52">
        <f t="shared" si="69"/>
        <v>0</v>
      </c>
      <c r="BL122" s="52">
        <f t="shared" si="70"/>
        <v>0</v>
      </c>
      <c r="BM122" s="52">
        <f t="shared" si="71"/>
        <v>0</v>
      </c>
    </row>
    <row r="123" spans="1:65" ht="30" customHeight="1" x14ac:dyDescent="0.25">
      <c r="A123" s="31" t="str">
        <f t="shared" si="37"/>
        <v>Д</v>
      </c>
      <c r="B123" s="31" t="str">
        <f t="shared" si="38"/>
        <v>Б</v>
      </c>
      <c r="C123" s="32" t="s">
        <v>75</v>
      </c>
      <c r="D123" s="33" t="str">
        <f t="shared" si="39"/>
        <v>Факультет физико-математических и естественных наук</v>
      </c>
      <c r="E123" s="34" t="str">
        <f t="shared" si="40"/>
        <v>'09.03.03</v>
      </c>
      <c r="F123" s="35" t="str">
        <f t="shared" si="41"/>
        <v>Прикладная информатика</v>
      </c>
      <c r="G123" s="36" t="s">
        <v>153</v>
      </c>
      <c r="H123" s="36" t="s">
        <v>77</v>
      </c>
      <c r="I123" s="37" t="s">
        <v>90</v>
      </c>
      <c r="J123" s="37" t="s">
        <v>154</v>
      </c>
      <c r="K123" s="38" t="s">
        <v>155</v>
      </c>
      <c r="L123" s="39">
        <v>6</v>
      </c>
      <c r="M123" s="39">
        <v>18</v>
      </c>
      <c r="N123" s="40" t="s">
        <v>156</v>
      </c>
      <c r="O123" s="39"/>
      <c r="P123" s="39"/>
      <c r="Q123" s="39"/>
      <c r="R123" s="40"/>
      <c r="S123" s="41"/>
      <c r="T123" s="41"/>
      <c r="U123" s="41">
        <v>3</v>
      </c>
      <c r="V123" s="41"/>
      <c r="W123" s="41"/>
      <c r="X123" s="42" t="str">
        <f t="shared" si="42"/>
        <v>НПИбд</v>
      </c>
      <c r="Y123" s="39" t="s">
        <v>126</v>
      </c>
      <c r="Z123" s="39">
        <v>4</v>
      </c>
      <c r="AA123" s="39">
        <v>2</v>
      </c>
      <c r="AB123" s="42">
        <f t="shared" si="43"/>
        <v>31</v>
      </c>
      <c r="AC123" s="58">
        <v>25</v>
      </c>
      <c r="AD123" s="58">
        <v>6</v>
      </c>
      <c r="AE123" s="44">
        <f t="shared" si="44"/>
        <v>1</v>
      </c>
      <c r="AF123" s="45">
        <f t="shared" si="45"/>
        <v>1</v>
      </c>
      <c r="AG123" s="45">
        <f t="shared" si="46"/>
        <v>31</v>
      </c>
      <c r="AH123" s="46" t="s">
        <v>82</v>
      </c>
      <c r="AI123" s="40" t="s">
        <v>83</v>
      </c>
      <c r="AJ123" s="40" t="s">
        <v>84</v>
      </c>
      <c r="AK123" s="47" t="s">
        <v>104</v>
      </c>
      <c r="AL123" s="40"/>
      <c r="AM123" s="48">
        <f t="shared" si="47"/>
        <v>0</v>
      </c>
      <c r="AN123" s="48">
        <f t="shared" si="48"/>
        <v>0</v>
      </c>
      <c r="AO123" s="48">
        <f t="shared" si="49"/>
        <v>0</v>
      </c>
      <c r="AP123" s="48">
        <f t="shared" si="50"/>
        <v>0</v>
      </c>
      <c r="AQ123" s="48">
        <f t="shared" si="51"/>
        <v>0</v>
      </c>
      <c r="AR123" s="48">
        <f t="shared" si="52"/>
        <v>0</v>
      </c>
      <c r="AS123" s="48">
        <f t="shared" si="53"/>
        <v>0</v>
      </c>
      <c r="AT123" s="48">
        <f t="shared" si="54"/>
        <v>0</v>
      </c>
      <c r="AU123" s="48">
        <f t="shared" si="55"/>
        <v>0</v>
      </c>
      <c r="AV123" s="48">
        <f t="shared" si="56"/>
        <v>93</v>
      </c>
      <c r="AW123" s="48">
        <f>IF(N123="ПП",РПП*AB123*(V123/1.5),IF(N123="ВП",ВПр*AB123*(V123/1.5),IF(N123="РПА",РПА*AB123*(V123/1.5),IF(N123="КПА",кпа*AB123*(V123/1.5),0))))</f>
        <v>0</v>
      </c>
      <c r="AX123" s="48">
        <f t="shared" si="57"/>
        <v>0</v>
      </c>
      <c r="AY123" s="48">
        <f t="shared" si="58"/>
        <v>0</v>
      </c>
      <c r="AZ123" s="48">
        <f t="shared" si="59"/>
        <v>0</v>
      </c>
      <c r="BA123" s="48">
        <f t="shared" si="60"/>
        <v>0</v>
      </c>
      <c r="BB123" s="48">
        <f t="shared" si="61"/>
        <v>0</v>
      </c>
      <c r="BC123" s="48">
        <f t="shared" si="62"/>
        <v>0</v>
      </c>
      <c r="BD123" s="48">
        <f t="shared" si="63"/>
        <v>0</v>
      </c>
      <c r="BE123" s="48">
        <f t="shared" si="64"/>
        <v>0</v>
      </c>
      <c r="BF123" s="49">
        <f t="shared" si="65"/>
        <v>93</v>
      </c>
      <c r="BG123" s="50"/>
      <c r="BH123" s="51">
        <f t="shared" si="66"/>
        <v>0</v>
      </c>
      <c r="BI123" s="51">
        <f t="shared" si="67"/>
        <v>0</v>
      </c>
      <c r="BJ123" s="51">
        <f t="shared" si="68"/>
        <v>0</v>
      </c>
      <c r="BK123" s="52">
        <f t="shared" si="69"/>
        <v>0</v>
      </c>
      <c r="BL123" s="52">
        <f t="shared" si="70"/>
        <v>0</v>
      </c>
      <c r="BM123" s="52">
        <f t="shared" si="71"/>
        <v>93</v>
      </c>
    </row>
    <row r="124" spans="1:65" ht="30" customHeight="1" x14ac:dyDescent="0.25">
      <c r="A124" s="31" t="str">
        <f t="shared" si="37"/>
        <v>Д</v>
      </c>
      <c r="B124" s="31" t="str">
        <f t="shared" si="38"/>
        <v>Б</v>
      </c>
      <c r="C124" s="32" t="s">
        <v>75</v>
      </c>
      <c r="D124" s="33" t="str">
        <f t="shared" si="39"/>
        <v>Факультет физико-математических и естественных наук</v>
      </c>
      <c r="E124" s="34" t="str">
        <f t="shared" si="40"/>
        <v>'09.03.03</v>
      </c>
      <c r="F124" s="35" t="str">
        <f t="shared" si="41"/>
        <v>Прикладная информатика</v>
      </c>
      <c r="G124" s="36" t="s">
        <v>76</v>
      </c>
      <c r="H124" s="36" t="s">
        <v>77</v>
      </c>
      <c r="I124" s="37" t="s">
        <v>90</v>
      </c>
      <c r="J124" s="37"/>
      <c r="K124" s="38" t="s">
        <v>157</v>
      </c>
      <c r="L124" s="39">
        <v>7</v>
      </c>
      <c r="M124" s="39">
        <v>18</v>
      </c>
      <c r="N124" s="40" t="s">
        <v>79</v>
      </c>
      <c r="O124" s="39">
        <v>1</v>
      </c>
      <c r="P124" s="39"/>
      <c r="Q124" s="39"/>
      <c r="R124" s="40"/>
      <c r="S124" s="41"/>
      <c r="T124" s="41"/>
      <c r="U124" s="41"/>
      <c r="V124" s="41"/>
      <c r="W124" s="41"/>
      <c r="X124" s="42" t="str">
        <f t="shared" si="42"/>
        <v>НПИбд</v>
      </c>
      <c r="Y124" s="43" t="s">
        <v>158</v>
      </c>
      <c r="Z124" s="43" t="s">
        <v>136</v>
      </c>
      <c r="AA124" s="43" t="s">
        <v>159</v>
      </c>
      <c r="AB124" s="42">
        <f t="shared" si="43"/>
        <v>33</v>
      </c>
      <c r="AC124" s="39">
        <v>31</v>
      </c>
      <c r="AD124" s="39">
        <v>2</v>
      </c>
      <c r="AE124" s="44">
        <f t="shared" si="44"/>
        <v>33</v>
      </c>
      <c r="AF124" s="45">
        <f t="shared" si="45"/>
        <v>1</v>
      </c>
      <c r="AG124" s="45">
        <f t="shared" si="46"/>
        <v>1</v>
      </c>
      <c r="AH124" s="46" t="s">
        <v>82</v>
      </c>
      <c r="AI124" s="40" t="s">
        <v>83</v>
      </c>
      <c r="AJ124" s="40" t="s">
        <v>84</v>
      </c>
      <c r="AK124" s="47" t="s">
        <v>104</v>
      </c>
      <c r="AL124" s="40"/>
      <c r="AM124" s="48">
        <f t="shared" si="47"/>
        <v>18</v>
      </c>
      <c r="AN124" s="48">
        <f t="shared" si="48"/>
        <v>0</v>
      </c>
      <c r="AO124" s="48">
        <f t="shared" si="49"/>
        <v>0</v>
      </c>
      <c r="AP124" s="48">
        <f t="shared" si="50"/>
        <v>0</v>
      </c>
      <c r="AQ124" s="48">
        <f t="shared" si="51"/>
        <v>0</v>
      </c>
      <c r="AR124" s="48">
        <f t="shared" si="52"/>
        <v>0</v>
      </c>
      <c r="AS124" s="48">
        <f t="shared" si="53"/>
        <v>0.9</v>
      </c>
      <c r="AT124" s="48">
        <f t="shared" si="54"/>
        <v>0</v>
      </c>
      <c r="AU124" s="48">
        <f t="shared" si="55"/>
        <v>0</v>
      </c>
      <c r="AV124" s="48">
        <f t="shared" si="56"/>
        <v>0</v>
      </c>
      <c r="AW124" s="48">
        <f>IF(N124="ПП",РПП*AB124*(V124/1.5),IF(N124="ВП",ВПр*AB124*(V124/1.5),IF(N124="РПА",РПА*AB124*(V124/1.5),IF(N124="КПА",кпа*AB124*(V124/1.5),0))))</f>
        <v>0</v>
      </c>
      <c r="AX124" s="48">
        <f t="shared" si="57"/>
        <v>0</v>
      </c>
      <c r="AY124" s="48">
        <f t="shared" si="58"/>
        <v>0</v>
      </c>
      <c r="AZ124" s="48">
        <f t="shared" si="59"/>
        <v>0</v>
      </c>
      <c r="BA124" s="48">
        <f t="shared" si="60"/>
        <v>0</v>
      </c>
      <c r="BB124" s="48">
        <f t="shared" si="61"/>
        <v>0</v>
      </c>
      <c r="BC124" s="48">
        <f t="shared" si="62"/>
        <v>0</v>
      </c>
      <c r="BD124" s="48">
        <f t="shared" si="63"/>
        <v>0</v>
      </c>
      <c r="BE124" s="48">
        <f t="shared" si="64"/>
        <v>0</v>
      </c>
      <c r="BF124" s="49">
        <f t="shared" si="65"/>
        <v>18.899999999999999</v>
      </c>
      <c r="BG124" s="50"/>
      <c r="BH124" s="51">
        <f t="shared" si="66"/>
        <v>18</v>
      </c>
      <c r="BI124" s="51">
        <f t="shared" si="67"/>
        <v>0.5</v>
      </c>
      <c r="BJ124" s="51">
        <f t="shared" si="68"/>
        <v>0.9</v>
      </c>
      <c r="BK124" s="52">
        <f t="shared" si="69"/>
        <v>0</v>
      </c>
      <c r="BL124" s="52">
        <f t="shared" si="70"/>
        <v>0</v>
      </c>
      <c r="BM124" s="52">
        <f t="shared" si="71"/>
        <v>0</v>
      </c>
    </row>
    <row r="125" spans="1:65" ht="30" customHeight="1" x14ac:dyDescent="0.25">
      <c r="A125" s="31" t="str">
        <f t="shared" si="37"/>
        <v>Д</v>
      </c>
      <c r="B125" s="31" t="str">
        <f t="shared" si="38"/>
        <v>Б</v>
      </c>
      <c r="C125" s="32" t="s">
        <v>75</v>
      </c>
      <c r="D125" s="33" t="str">
        <f t="shared" si="39"/>
        <v>Факультет физико-математических и естественных наук</v>
      </c>
      <c r="E125" s="34" t="str">
        <f t="shared" si="40"/>
        <v>'09.03.03</v>
      </c>
      <c r="F125" s="35" t="str">
        <f t="shared" si="41"/>
        <v>Прикладная информатика</v>
      </c>
      <c r="G125" s="36" t="s">
        <v>76</v>
      </c>
      <c r="H125" s="36" t="s">
        <v>77</v>
      </c>
      <c r="I125" s="37" t="s">
        <v>90</v>
      </c>
      <c r="J125" s="37"/>
      <c r="K125" s="38" t="s">
        <v>157</v>
      </c>
      <c r="L125" s="39">
        <v>7</v>
      </c>
      <c r="M125" s="39">
        <v>18</v>
      </c>
      <c r="N125" s="40" t="s">
        <v>94</v>
      </c>
      <c r="O125" s="39"/>
      <c r="P125" s="39">
        <v>2</v>
      </c>
      <c r="Q125" s="39"/>
      <c r="R125" s="40" t="s">
        <v>95</v>
      </c>
      <c r="S125" s="41"/>
      <c r="T125" s="41"/>
      <c r="U125" s="41"/>
      <c r="V125" s="41"/>
      <c r="W125" s="41"/>
      <c r="X125" s="42" t="str">
        <f t="shared" si="42"/>
        <v>НПИбд</v>
      </c>
      <c r="Y125" s="43" t="s">
        <v>158</v>
      </c>
      <c r="Z125" s="43" t="s">
        <v>159</v>
      </c>
      <c r="AA125" s="43" t="s">
        <v>159</v>
      </c>
      <c r="AB125" s="42">
        <f t="shared" si="43"/>
        <v>33</v>
      </c>
      <c r="AC125" s="39">
        <v>31</v>
      </c>
      <c r="AD125" s="39">
        <v>2</v>
      </c>
      <c r="AE125" s="44">
        <f t="shared" si="44"/>
        <v>12</v>
      </c>
      <c r="AF125" s="45">
        <f t="shared" si="45"/>
        <v>1</v>
      </c>
      <c r="AG125" s="45">
        <f t="shared" si="46"/>
        <v>2.75</v>
      </c>
      <c r="AH125" s="46" t="s">
        <v>82</v>
      </c>
      <c r="AI125" s="40" t="s">
        <v>83</v>
      </c>
      <c r="AJ125" s="40" t="s">
        <v>84</v>
      </c>
      <c r="AK125" s="47" t="s">
        <v>93</v>
      </c>
      <c r="AL125" s="40"/>
      <c r="AM125" s="48">
        <f t="shared" si="47"/>
        <v>0</v>
      </c>
      <c r="AN125" s="48">
        <f t="shared" si="48"/>
        <v>0</v>
      </c>
      <c r="AO125" s="48">
        <f t="shared" si="49"/>
        <v>36</v>
      </c>
      <c r="AP125" s="48">
        <f t="shared" si="50"/>
        <v>10.89</v>
      </c>
      <c r="AQ125" s="48">
        <f t="shared" si="51"/>
        <v>16.5</v>
      </c>
      <c r="AR125" s="48">
        <f t="shared" si="52"/>
        <v>1</v>
      </c>
      <c r="AS125" s="48">
        <f t="shared" si="53"/>
        <v>0</v>
      </c>
      <c r="AT125" s="48">
        <f t="shared" si="54"/>
        <v>0</v>
      </c>
      <c r="AU125" s="48">
        <f t="shared" si="55"/>
        <v>0</v>
      </c>
      <c r="AV125" s="48">
        <f t="shared" si="56"/>
        <v>0</v>
      </c>
      <c r="AW125" s="48">
        <f>IF(N125="ПП",РПП*AB125*(V125/1.5),IF(N125="ВП",ВПр*AB125*(V125/1.5),IF(N125="РПА",РПА*AB125*(V125/1.5),IF(N125="КПА",кпа*AB125*(V125/1.5),0))))</f>
        <v>0</v>
      </c>
      <c r="AX125" s="48">
        <f t="shared" si="57"/>
        <v>0</v>
      </c>
      <c r="AY125" s="48">
        <f t="shared" si="58"/>
        <v>0</v>
      </c>
      <c r="AZ125" s="48">
        <f t="shared" si="59"/>
        <v>0</v>
      </c>
      <c r="BA125" s="48">
        <f t="shared" si="60"/>
        <v>0</v>
      </c>
      <c r="BB125" s="48">
        <f t="shared" si="61"/>
        <v>0</v>
      </c>
      <c r="BC125" s="48">
        <f t="shared" si="62"/>
        <v>0</v>
      </c>
      <c r="BD125" s="48">
        <f t="shared" si="63"/>
        <v>0</v>
      </c>
      <c r="BE125" s="48">
        <f t="shared" si="64"/>
        <v>0</v>
      </c>
      <c r="BF125" s="49">
        <f t="shared" si="65"/>
        <v>64.39</v>
      </c>
      <c r="BG125" s="50"/>
      <c r="BH125" s="51">
        <f t="shared" si="66"/>
        <v>36</v>
      </c>
      <c r="BI125" s="51">
        <f t="shared" si="67"/>
        <v>1</v>
      </c>
      <c r="BJ125" s="51">
        <f t="shared" si="68"/>
        <v>28.39</v>
      </c>
      <c r="BK125" s="52">
        <f t="shared" si="69"/>
        <v>0</v>
      </c>
      <c r="BL125" s="52">
        <f t="shared" si="70"/>
        <v>0</v>
      </c>
      <c r="BM125" s="52">
        <f t="shared" si="71"/>
        <v>0</v>
      </c>
    </row>
    <row r="126" spans="1:65" ht="30" customHeight="1" x14ac:dyDescent="0.25">
      <c r="A126" s="31" t="str">
        <f t="shared" si="37"/>
        <v>Д</v>
      </c>
      <c r="B126" s="31" t="str">
        <f t="shared" si="38"/>
        <v>Б</v>
      </c>
      <c r="C126" s="32" t="s">
        <v>75</v>
      </c>
      <c r="D126" s="33" t="str">
        <f t="shared" si="39"/>
        <v>Факультет физико-математических и естественных наук</v>
      </c>
      <c r="E126" s="34" t="str">
        <f t="shared" si="40"/>
        <v>'09.03.03</v>
      </c>
      <c r="F126" s="35" t="str">
        <f t="shared" si="41"/>
        <v>Прикладная информатика</v>
      </c>
      <c r="G126" s="36" t="s">
        <v>76</v>
      </c>
      <c r="H126" s="36" t="s">
        <v>77</v>
      </c>
      <c r="I126" s="37" t="s">
        <v>90</v>
      </c>
      <c r="J126" s="37"/>
      <c r="K126" s="38" t="s">
        <v>157</v>
      </c>
      <c r="L126" s="39">
        <v>7</v>
      </c>
      <c r="M126" s="39">
        <v>18</v>
      </c>
      <c r="N126" s="40" t="s">
        <v>94</v>
      </c>
      <c r="O126" s="39"/>
      <c r="P126" s="39">
        <v>2</v>
      </c>
      <c r="Q126" s="39"/>
      <c r="R126" s="40" t="s">
        <v>95</v>
      </c>
      <c r="S126" s="41"/>
      <c r="T126" s="41"/>
      <c r="U126" s="41"/>
      <c r="V126" s="41"/>
      <c r="W126" s="41"/>
      <c r="X126" s="42" t="str">
        <f t="shared" si="42"/>
        <v>НПИбд</v>
      </c>
      <c r="Y126" s="43" t="s">
        <v>158</v>
      </c>
      <c r="Z126" s="43" t="s">
        <v>159</v>
      </c>
      <c r="AA126" s="43" t="s">
        <v>159</v>
      </c>
      <c r="AB126" s="42">
        <f t="shared" si="43"/>
        <v>0</v>
      </c>
      <c r="AC126" s="39"/>
      <c r="AD126" s="39"/>
      <c r="AE126" s="44">
        <f t="shared" si="44"/>
        <v>12</v>
      </c>
      <c r="AF126" s="45">
        <f t="shared" si="45"/>
        <v>0</v>
      </c>
      <c r="AG126" s="45">
        <f t="shared" si="46"/>
        <v>0</v>
      </c>
      <c r="AH126" s="46" t="s">
        <v>82</v>
      </c>
      <c r="AI126" s="40" t="s">
        <v>83</v>
      </c>
      <c r="AJ126" s="40" t="s">
        <v>84</v>
      </c>
      <c r="AK126" s="47" t="s">
        <v>93</v>
      </c>
      <c r="AL126" s="40"/>
      <c r="AM126" s="48">
        <f t="shared" si="47"/>
        <v>0</v>
      </c>
      <c r="AN126" s="48">
        <f t="shared" si="48"/>
        <v>0</v>
      </c>
      <c r="AO126" s="48">
        <f t="shared" si="49"/>
        <v>0</v>
      </c>
      <c r="AP126" s="48">
        <f t="shared" si="50"/>
        <v>0</v>
      </c>
      <c r="AQ126" s="48">
        <f t="shared" si="51"/>
        <v>0</v>
      </c>
      <c r="AR126" s="48">
        <f t="shared" si="52"/>
        <v>0</v>
      </c>
      <c r="AS126" s="48">
        <f t="shared" si="53"/>
        <v>0</v>
      </c>
      <c r="AT126" s="48">
        <f t="shared" si="54"/>
        <v>0</v>
      </c>
      <c r="AU126" s="48">
        <f t="shared" si="55"/>
        <v>0</v>
      </c>
      <c r="AV126" s="48">
        <f t="shared" si="56"/>
        <v>0</v>
      </c>
      <c r="AW126" s="48">
        <f>IF(N126="ПП",РПП*AB126*(V126/1.5),IF(N126="ВП",ВПр*AB126*(V126/1.5),IF(N126="РПА",РПА*AB126*(V126/1.5),IF(N126="КПА",кпа*AB126*(V126/1.5),0))))</f>
        <v>0</v>
      </c>
      <c r="AX126" s="48">
        <f t="shared" si="57"/>
        <v>0</v>
      </c>
      <c r="AY126" s="48">
        <f t="shared" si="58"/>
        <v>0</v>
      </c>
      <c r="AZ126" s="48">
        <f t="shared" si="59"/>
        <v>0</v>
      </c>
      <c r="BA126" s="48">
        <f t="shared" si="60"/>
        <v>0</v>
      </c>
      <c r="BB126" s="48">
        <f t="shared" si="61"/>
        <v>0</v>
      </c>
      <c r="BC126" s="48">
        <f t="shared" si="62"/>
        <v>0</v>
      </c>
      <c r="BD126" s="48">
        <f t="shared" si="63"/>
        <v>0</v>
      </c>
      <c r="BE126" s="48">
        <f t="shared" si="64"/>
        <v>0</v>
      </c>
      <c r="BF126" s="49">
        <f t="shared" si="65"/>
        <v>0</v>
      </c>
      <c r="BG126" s="50"/>
      <c r="BH126" s="51">
        <f t="shared" si="66"/>
        <v>0</v>
      </c>
      <c r="BI126" s="51">
        <f t="shared" si="67"/>
        <v>0</v>
      </c>
      <c r="BJ126" s="51">
        <f t="shared" si="68"/>
        <v>0</v>
      </c>
      <c r="BK126" s="52">
        <f t="shared" si="69"/>
        <v>0</v>
      </c>
      <c r="BL126" s="52">
        <f t="shared" si="70"/>
        <v>0</v>
      </c>
      <c r="BM126" s="52">
        <f t="shared" si="71"/>
        <v>0</v>
      </c>
    </row>
    <row r="127" spans="1:65" ht="30" customHeight="1" x14ac:dyDescent="0.25">
      <c r="A127" s="31" t="str">
        <f t="shared" si="37"/>
        <v>Д</v>
      </c>
      <c r="B127" s="31" t="str">
        <f t="shared" si="38"/>
        <v>Б</v>
      </c>
      <c r="C127" s="32" t="s">
        <v>75</v>
      </c>
      <c r="D127" s="33" t="str">
        <f t="shared" si="39"/>
        <v>Факультет физико-математических и естественных наук</v>
      </c>
      <c r="E127" s="34" t="str">
        <f t="shared" si="40"/>
        <v>'09.03.03</v>
      </c>
      <c r="F127" s="35" t="str">
        <f t="shared" si="41"/>
        <v>Прикладная информатика</v>
      </c>
      <c r="G127" s="36" t="s">
        <v>76</v>
      </c>
      <c r="H127" s="36" t="s">
        <v>77</v>
      </c>
      <c r="I127" s="37" t="s">
        <v>90</v>
      </c>
      <c r="J127" s="37"/>
      <c r="K127" s="38" t="s">
        <v>160</v>
      </c>
      <c r="L127" s="39">
        <v>7</v>
      </c>
      <c r="M127" s="39">
        <v>18</v>
      </c>
      <c r="N127" s="40" t="s">
        <v>94</v>
      </c>
      <c r="O127" s="39">
        <v>1</v>
      </c>
      <c r="P127" s="39"/>
      <c r="Q127" s="39"/>
      <c r="R127" s="40" t="s">
        <v>95</v>
      </c>
      <c r="S127" s="41"/>
      <c r="T127" s="41"/>
      <c r="U127" s="41"/>
      <c r="V127" s="41"/>
      <c r="W127" s="41"/>
      <c r="X127" s="42" t="str">
        <f t="shared" si="42"/>
        <v>НПИбд</v>
      </c>
      <c r="Y127" s="43" t="s">
        <v>161</v>
      </c>
      <c r="Z127" s="43" t="s">
        <v>136</v>
      </c>
      <c r="AA127" s="43" t="s">
        <v>159</v>
      </c>
      <c r="AB127" s="42">
        <f t="shared" si="43"/>
        <v>33</v>
      </c>
      <c r="AC127" s="39">
        <v>31</v>
      </c>
      <c r="AD127" s="39">
        <v>2</v>
      </c>
      <c r="AE127" s="44">
        <f t="shared" si="44"/>
        <v>12</v>
      </c>
      <c r="AF127" s="45">
        <f t="shared" si="45"/>
        <v>1</v>
      </c>
      <c r="AG127" s="45">
        <f t="shared" si="46"/>
        <v>2.75</v>
      </c>
      <c r="AH127" s="46" t="s">
        <v>82</v>
      </c>
      <c r="AI127" s="40" t="s">
        <v>148</v>
      </c>
      <c r="AJ127" s="40"/>
      <c r="AK127" s="55" t="s">
        <v>149</v>
      </c>
      <c r="AL127" s="40"/>
      <c r="AM127" s="48">
        <f t="shared" si="47"/>
        <v>0</v>
      </c>
      <c r="AN127" s="48">
        <f t="shared" si="48"/>
        <v>0</v>
      </c>
      <c r="AO127" s="48">
        <f t="shared" si="49"/>
        <v>0</v>
      </c>
      <c r="AP127" s="48">
        <f t="shared" si="50"/>
        <v>10.89</v>
      </c>
      <c r="AQ127" s="48">
        <f t="shared" si="51"/>
        <v>0</v>
      </c>
      <c r="AR127" s="48">
        <f t="shared" si="52"/>
        <v>0</v>
      </c>
      <c r="AS127" s="48">
        <f t="shared" si="53"/>
        <v>0</v>
      </c>
      <c r="AT127" s="48">
        <f t="shared" si="54"/>
        <v>0</v>
      </c>
      <c r="AU127" s="48">
        <f t="shared" si="55"/>
        <v>0</v>
      </c>
      <c r="AV127" s="48">
        <f t="shared" si="56"/>
        <v>0</v>
      </c>
      <c r="AW127" s="48">
        <f>IF(N127="ПП",РПП*AB127*(V127/1.5),IF(N127="ВП",ВПр*AB127*(V127/1.5),IF(N127="РПА",РПА*AB127*(V127/1.5),IF(N127="КПА",кпа*AB127*(V127/1.5),0))))</f>
        <v>0</v>
      </c>
      <c r="AX127" s="48">
        <f t="shared" si="57"/>
        <v>0</v>
      </c>
      <c r="AY127" s="48">
        <f t="shared" si="58"/>
        <v>0</v>
      </c>
      <c r="AZ127" s="48">
        <f t="shared" si="59"/>
        <v>0</v>
      </c>
      <c r="BA127" s="48">
        <f t="shared" si="60"/>
        <v>0</v>
      </c>
      <c r="BB127" s="48">
        <f t="shared" si="61"/>
        <v>0</v>
      </c>
      <c r="BC127" s="48">
        <f t="shared" si="62"/>
        <v>0</v>
      </c>
      <c r="BD127" s="48">
        <f t="shared" si="63"/>
        <v>0</v>
      </c>
      <c r="BE127" s="48">
        <f t="shared" si="64"/>
        <v>0</v>
      </c>
      <c r="BF127" s="49">
        <f t="shared" si="65"/>
        <v>10.89</v>
      </c>
      <c r="BG127" s="50"/>
      <c r="BH127" s="51">
        <f t="shared" si="66"/>
        <v>0</v>
      </c>
      <c r="BI127" s="51">
        <f t="shared" si="67"/>
        <v>0</v>
      </c>
      <c r="BJ127" s="51">
        <f t="shared" si="68"/>
        <v>10.89</v>
      </c>
      <c r="BK127" s="52">
        <f t="shared" si="69"/>
        <v>0</v>
      </c>
      <c r="BL127" s="52">
        <f t="shared" si="70"/>
        <v>0</v>
      </c>
      <c r="BM127" s="52">
        <f t="shared" si="71"/>
        <v>0</v>
      </c>
    </row>
    <row r="128" spans="1:65" ht="30" customHeight="1" x14ac:dyDescent="0.25">
      <c r="A128" s="31" t="str">
        <f t="shared" ref="A128:A182" si="72">IF(C128&gt;0, VLOOKUP(C128,Код_ООП,11,FALSE()),0)</f>
        <v>Д</v>
      </c>
      <c r="B128" s="31" t="str">
        <f t="shared" ref="B128:B182" si="73">IF(C128&gt;0, VLOOKUP(C128,Код_ООП,12,FALSE()),0)</f>
        <v>Б</v>
      </c>
      <c r="C128" s="32" t="s">
        <v>75</v>
      </c>
      <c r="D128" s="33" t="str">
        <f t="shared" ref="D128:D182" si="74">IF(C128&gt;0,VLOOKUP(LEFT(C128,1),ОУП,2,FALSE()),0)</f>
        <v>Факультет физико-математических и естественных наук</v>
      </c>
      <c r="E128" s="34" t="str">
        <f t="shared" ref="E128:E182" si="75">IF(C128&gt;0, VLOOKUP(C128,Код_ООП,2,FALSE()),0)</f>
        <v>'09.03.03</v>
      </c>
      <c r="F128" s="35" t="str">
        <f t="shared" ref="F128:F182" si="76">IF(C128&gt;0, VLOOKUP(C128,Код_ООП,13,FALSE()),0)</f>
        <v>Прикладная информатика</v>
      </c>
      <c r="G128" s="36" t="s">
        <v>76</v>
      </c>
      <c r="H128" s="36" t="s">
        <v>77</v>
      </c>
      <c r="I128" s="37" t="s">
        <v>90</v>
      </c>
      <c r="J128" s="37"/>
      <c r="K128" s="38" t="s">
        <v>160</v>
      </c>
      <c r="L128" s="39">
        <v>7</v>
      </c>
      <c r="M128" s="39">
        <v>18</v>
      </c>
      <c r="N128" s="40" t="s">
        <v>94</v>
      </c>
      <c r="O128" s="39"/>
      <c r="P128" s="39">
        <v>2</v>
      </c>
      <c r="Q128" s="39"/>
      <c r="R128" s="40" t="s">
        <v>95</v>
      </c>
      <c r="S128" s="41"/>
      <c r="T128" s="41"/>
      <c r="U128" s="41"/>
      <c r="V128" s="41"/>
      <c r="W128" s="41"/>
      <c r="X128" s="42" t="str">
        <f t="shared" ref="X128:X182" si="77">MID(C128,1,5)</f>
        <v>НПИбд</v>
      </c>
      <c r="Y128" s="43" t="s">
        <v>158</v>
      </c>
      <c r="Z128" s="43" t="s">
        <v>159</v>
      </c>
      <c r="AA128" s="43" t="s">
        <v>159</v>
      </c>
      <c r="AB128" s="42">
        <f t="shared" ref="AB128:AB182" si="78">AC128+AD128</f>
        <v>0</v>
      </c>
      <c r="AC128" s="39"/>
      <c r="AD128" s="39"/>
      <c r="AE128" s="44">
        <f t="shared" ref="AE128:AE182" si="79">IF(N128="сп",6,IF(N128="клн",8,IF(OR(N128="лаб",N128="ия"),12,IF(OR(N128="пр",N128="ТЕСТ"),IF(OR(B128="Б",B128="С"),24,12),IF(N128="лек",AB128,1)))))</f>
        <v>12</v>
      </c>
      <c r="AF128" s="45">
        <f t="shared" ref="AF128:AF182" si="80">IF(AG128&gt;1,1,AG128)</f>
        <v>0</v>
      </c>
      <c r="AG128" s="45">
        <f t="shared" ref="AG128:AG182" si="81">AB128/AE128</f>
        <v>0</v>
      </c>
      <c r="AH128" s="46" t="s">
        <v>82</v>
      </c>
      <c r="AI128" s="40" t="s">
        <v>83</v>
      </c>
      <c r="AJ128" s="40" t="s">
        <v>84</v>
      </c>
      <c r="AK128" s="47" t="s">
        <v>93</v>
      </c>
      <c r="AL128" s="40"/>
      <c r="AM128" s="48">
        <f t="shared" ref="AM128:AM182" si="82">IF(AB128&gt;0,IF(OR(N128="лек",N128="ТУИС"),O128*M128,0),0)</f>
        <v>0</v>
      </c>
      <c r="AN128" s="48">
        <f t="shared" ref="AN128:AN182" si="83">IF(OR(N128="пр",N128="ия",N128="сп"),Q128*AF128*M128,0)</f>
        <v>0</v>
      </c>
      <c r="AO128" s="48">
        <f t="shared" ref="AO128:AO182" si="84">IF(OR(N128="лаб",N128="клн"),P128*AF128*M128,0)</f>
        <v>0</v>
      </c>
      <c r="AP128" s="48">
        <f t="shared" ref="AP128:AP182" si="85">(IF((AND(OR(L128=1,L128=2,L128=3,L128=4,L128=5,L128=6,L128=7,L128=8,L128=9,L128=10,L128=11,L128=12),OR(R128="Зач",R128="Экз"))),ТКиРА*AB128,0)+IF(SUM(O128:Q128)&lt;&gt;0,IF(R128="ТК",ТКиРА*AB128,0),0))*(IF(G128="ФТД",0,1))</f>
        <v>0</v>
      </c>
      <c r="AQ128" s="48">
        <f t="shared" ref="AQ128:AQ182" si="86">IF(SUM(P128:Q128)&lt;&gt;0,IF(R128="Зач",ПАБРС*AB128,0),0)+IF(O128&lt;&gt;0,IF(R128="Экз",ПАБРС*AB128,0),0)</f>
        <v>0</v>
      </c>
      <c r="AR128" s="48">
        <f t="shared" ref="AR128:AR182" si="87">(IF(AQ128&lt;&gt;0,ОфВед*(IF(OR(N128="лек",N128="лаб"),AA128,AF128)),0))*(IF(G128="ФТД",0,1))</f>
        <v>0</v>
      </c>
      <c r="AS128" s="48">
        <f t="shared" ref="AS128:AS182" si="88">(IF(A128="Д",ТКЛД,IF(A128="В",ТКЛВ,IF(A128="З",ТКЛЗ,0))))*(IF(G128="ФТД",0,IF(B128="ЦМ",O128*M128,AM128)))*AA128</f>
        <v>0</v>
      </c>
      <c r="AT128" s="48">
        <f t="shared" ref="AT128:AT182" si="89">IF(S128="К",AB128*ВПКР,IF(S128="М",AB128*ВПИБ,0))</f>
        <v>0</v>
      </c>
      <c r="AU128" s="48">
        <f t="shared" ref="AU128:AU182" si="90">IF(OR(N128="лаб",N128="пр"),IF(T128="К",AB128*ВПКП,0),0)</f>
        <v>0</v>
      </c>
      <c r="AV128" s="48">
        <f t="shared" ref="AV128:AV182" si="91">IF(N128="УП",U128/1.5*AB128*РУП,IF(N128="УПМ",U128/1.5*AB128*РУПЛеч,0))</f>
        <v>0</v>
      </c>
      <c r="AW128" s="48">
        <f>IF(N128="ПП",РПП*AB128*(V128/1.5),IF(N128="ВП",ВПр*AB128*(V128/1.5),IF(N128="РПА",РПА*AB128*(V128/1.5),IF(N128="КПА",кпа*AB128*(V128/1.5),0))))</f>
        <v>0</v>
      </c>
      <c r="AX128" s="48">
        <f t="shared" ref="AX128:AX182" si="92">IF(N128="НР",(AC128*НИРМ+AD128*НИРМИн)*(W128/1.5),IF(N128="НИ",(AC128*НИРА+AD128*НИРАИ)*(W128/1.5),0))</f>
        <v>0</v>
      </c>
      <c r="AY128" s="48">
        <f t="shared" ref="AY128:AY182" si="93">IF(AND(N128="ЦП",B128="ЦМ"),AB128*ЦП,0)</f>
        <v>0</v>
      </c>
      <c r="AZ128" s="48">
        <f t="shared" ref="AZ128:AZ182" si="94">IF(B128="А",IF(N128="РР",AB128*РефАсп,IF(N128="РРФ",AB128*РефФил,0)),0)</f>
        <v>0</v>
      </c>
      <c r="BA128" s="48">
        <f t="shared" ref="BA128:BA182" si="95">IF(AND(R128="КЭ",N128="ЧК"),AB128*КдЭк,0)</f>
        <v>0</v>
      </c>
      <c r="BB128" s="48">
        <f t="shared" ref="BB128:BB182" si="96">IF(AND(N128="НКД",B128="Д"),AB128*НКД,0)+IF(AND(N128="РПЛ",B128="А"),AB128*РукПЛ,0)+IF(AND(N128="РСтж",B128="А"),AC128*РукСт+AD128*РукИСт,0)+IF(N128="ФГТ",AC128*РукРФа+AD128*РукИна,0)</f>
        <v>0</v>
      </c>
      <c r="BC128" s="48">
        <f t="shared" ref="BC128:BC182" si="97">IF(N128="РК",IF(OR(B128="С",B128="М",B128="ЦМ"),(AC128*РСМ+AD128*РСМИ),0),0)+IF(N128="РК",IF(B128="Б",(AC128*РБ+AD128*РБИ),0),0)+IF(N128="РК",IF(B128="А",(AC128*РНКР+AD128*РНКРИн),0),0)+IF(AND(R128="ПАкр"),AB128*0.3)</f>
        <v>0</v>
      </c>
      <c r="BD128" s="48">
        <f t="shared" ref="BD128:BD182" si="98">IF(N128="РДП",IF(B128="А",AB128*РРА,IF(OR(B128="С",B128="М",B128="ЦМ"),AB128*РРСМ,IF(B128="Б",AB128*РРБ,0))),IF(N128="РДИ",AB128*РДП,0))</f>
        <v>0</v>
      </c>
      <c r="BE128" s="48">
        <f t="shared" ref="BE128:BE182" si="99">IF(N128="ЧГ",AB128*ЧГ,IF(N128="ПГ",AB128*ПГ,IF(N128="ТЕСТ",ТГИЭ*AF128,IF(N128="СГ",AB128*СГ,0))))</f>
        <v>0</v>
      </c>
      <c r="BF128" s="49">
        <f t="shared" ref="BF128:BF182" si="100">SUM(AM128:BE128)</f>
        <v>0</v>
      </c>
      <c r="BG128" s="50"/>
      <c r="BH128" s="51">
        <f t="shared" ref="BH128:BH182" si="101">IF(OR(L128="1;1",L128="1;2",L128=1,L128="3;1",L128="3;2",L128=3,L128="5;1",L128="5;2",L128=5,L128="7;1",L128="7;2",L128=7,L128="9;1",L128="9;2",L128=9,L128=11),SUM(AM128:AO128),0)</f>
        <v>0</v>
      </c>
      <c r="BI128" s="51">
        <f t="shared" ref="BI128:BI182" si="102">IF(BH128&lt;&gt;0,SUM(O128:Q128)/2,0)</f>
        <v>0</v>
      </c>
      <c r="BJ128" s="51">
        <f t="shared" ref="BJ128:BJ182" si="103">IF(OR(L128="1;1",L128="1;2",L128=1,L128="3;1",L128="3;2",L128=3,L128="5;1",L128="5;2",L128=5,L128="7;1",L128="7;2",L128=7,L128="9;1",L128="9;2",L128=9,L128=11),SUM(AP128:BE128),0)</f>
        <v>0</v>
      </c>
      <c r="BK128" s="52">
        <f t="shared" ref="BK128:BK182" si="104">IF(OR(L128="2;3",L128="2;4",L128=2,L128="4;3",L128="4;4",L128=4,L128="6;3",L128="6;4",L128=6,L128="8;3",L128="8;4",L128=8,L128="10;3",L128="10;4",L128=10,L128=12),SUM(AM128:AO128),0)</f>
        <v>0</v>
      </c>
      <c r="BL128" s="52">
        <f t="shared" ref="BL128:BL182" si="105">IF(BK128&lt;&gt;0,SUM(O128:Q128)/2,0)</f>
        <v>0</v>
      </c>
      <c r="BM128" s="52">
        <f t="shared" ref="BM128:BM182" si="106">IF(OR(L128="2;3",L128="2;4",L128=2,L128="4;3",L128="4;4",L128=4,L128="6;3",L128="6;4",L128=6,L128="8;3",L128="8;4",L128=8,L128="10;3",L128="10;4",L128=10,L128=12),SUM(AP128:BE128),0)</f>
        <v>0</v>
      </c>
    </row>
    <row r="129" spans="1:65" ht="30" customHeight="1" x14ac:dyDescent="0.25">
      <c r="A129" s="31" t="str">
        <f t="shared" si="72"/>
        <v>Д</v>
      </c>
      <c r="B129" s="31" t="str">
        <f t="shared" si="73"/>
        <v>Б</v>
      </c>
      <c r="C129" s="32" t="s">
        <v>75</v>
      </c>
      <c r="D129" s="33" t="str">
        <f t="shared" si="74"/>
        <v>Факультет физико-математических и естественных наук</v>
      </c>
      <c r="E129" s="34" t="str">
        <f t="shared" si="75"/>
        <v>'09.03.03</v>
      </c>
      <c r="F129" s="35" t="str">
        <f t="shared" si="76"/>
        <v>Прикладная информатика</v>
      </c>
      <c r="G129" s="36" t="s">
        <v>153</v>
      </c>
      <c r="H129" s="36" t="s">
        <v>77</v>
      </c>
      <c r="I129" s="37" t="s">
        <v>90</v>
      </c>
      <c r="J129" s="37" t="s">
        <v>137</v>
      </c>
      <c r="K129" s="38" t="s">
        <v>162</v>
      </c>
      <c r="L129" s="39">
        <v>7</v>
      </c>
      <c r="M129" s="39">
        <v>18</v>
      </c>
      <c r="N129" s="40" t="s">
        <v>79</v>
      </c>
      <c r="O129" s="39">
        <v>1</v>
      </c>
      <c r="P129" s="39"/>
      <c r="Q129" s="39"/>
      <c r="R129" s="40" t="s">
        <v>80</v>
      </c>
      <c r="S129" s="41"/>
      <c r="T129" s="41"/>
      <c r="U129" s="41"/>
      <c r="V129" s="41"/>
      <c r="W129" s="41"/>
      <c r="X129" s="42" t="str">
        <f t="shared" si="77"/>
        <v>НПИбд</v>
      </c>
      <c r="Y129" s="43" t="s">
        <v>158</v>
      </c>
      <c r="Z129" s="43" t="s">
        <v>136</v>
      </c>
      <c r="AA129" s="43" t="s">
        <v>159</v>
      </c>
      <c r="AB129" s="42">
        <f t="shared" si="78"/>
        <v>8</v>
      </c>
      <c r="AC129" s="39">
        <v>7</v>
      </c>
      <c r="AD129" s="39">
        <v>1</v>
      </c>
      <c r="AE129" s="44">
        <f t="shared" si="79"/>
        <v>8</v>
      </c>
      <c r="AF129" s="45">
        <f t="shared" si="80"/>
        <v>1</v>
      </c>
      <c r="AG129" s="45">
        <f t="shared" si="81"/>
        <v>1</v>
      </c>
      <c r="AH129" s="46" t="s">
        <v>82</v>
      </c>
      <c r="AI129" s="40" t="s">
        <v>83</v>
      </c>
      <c r="AJ129" s="40" t="s">
        <v>84</v>
      </c>
      <c r="AK129" s="47" t="s">
        <v>104</v>
      </c>
      <c r="AL129" s="40"/>
      <c r="AM129" s="48">
        <f t="shared" si="82"/>
        <v>18</v>
      </c>
      <c r="AN129" s="48">
        <f t="shared" si="83"/>
        <v>0</v>
      </c>
      <c r="AO129" s="48">
        <f t="shared" si="84"/>
        <v>0</v>
      </c>
      <c r="AP129" s="48">
        <f t="shared" si="85"/>
        <v>2.64</v>
      </c>
      <c r="AQ129" s="48">
        <f t="shared" si="86"/>
        <v>4</v>
      </c>
      <c r="AR129" s="48">
        <f t="shared" si="87"/>
        <v>1</v>
      </c>
      <c r="AS129" s="48">
        <f t="shared" si="88"/>
        <v>0.9</v>
      </c>
      <c r="AT129" s="48">
        <f t="shared" si="89"/>
        <v>0</v>
      </c>
      <c r="AU129" s="48">
        <f t="shared" si="90"/>
        <v>0</v>
      </c>
      <c r="AV129" s="48">
        <f t="shared" si="91"/>
        <v>0</v>
      </c>
      <c r="AW129" s="48">
        <f>IF(N129="ПП",РПП*AB129*(V129/1.5),IF(N129="ВП",ВПр*AB129*(V129/1.5),IF(N129="РПА",РПА*AB129*(V129/1.5),IF(N129="КПА",кпа*AB129*(V129/1.5),0))))</f>
        <v>0</v>
      </c>
      <c r="AX129" s="48">
        <f t="shared" si="92"/>
        <v>0</v>
      </c>
      <c r="AY129" s="48">
        <f t="shared" si="93"/>
        <v>0</v>
      </c>
      <c r="AZ129" s="48">
        <f t="shared" si="94"/>
        <v>0</v>
      </c>
      <c r="BA129" s="48">
        <f t="shared" si="95"/>
        <v>0</v>
      </c>
      <c r="BB129" s="48">
        <f t="shared" si="96"/>
        <v>0</v>
      </c>
      <c r="BC129" s="48">
        <f t="shared" si="97"/>
        <v>0</v>
      </c>
      <c r="BD129" s="48">
        <f t="shared" si="98"/>
        <v>0</v>
      </c>
      <c r="BE129" s="48">
        <f t="shared" si="99"/>
        <v>0</v>
      </c>
      <c r="BF129" s="49">
        <f t="shared" si="100"/>
        <v>26.54</v>
      </c>
      <c r="BG129" s="50"/>
      <c r="BH129" s="51">
        <f t="shared" si="101"/>
        <v>18</v>
      </c>
      <c r="BI129" s="51">
        <f t="shared" si="102"/>
        <v>0.5</v>
      </c>
      <c r="BJ129" s="51">
        <f t="shared" si="103"/>
        <v>8.5400000000000009</v>
      </c>
      <c r="BK129" s="52">
        <f t="shared" si="104"/>
        <v>0</v>
      </c>
      <c r="BL129" s="52">
        <f t="shared" si="105"/>
        <v>0</v>
      </c>
      <c r="BM129" s="52">
        <f t="shared" si="106"/>
        <v>0</v>
      </c>
    </row>
    <row r="130" spans="1:65" ht="30" customHeight="1" x14ac:dyDescent="0.25">
      <c r="A130" s="31" t="str">
        <f t="shared" si="72"/>
        <v>Д</v>
      </c>
      <c r="B130" s="31" t="str">
        <f t="shared" si="73"/>
        <v>Б</v>
      </c>
      <c r="C130" s="32" t="s">
        <v>75</v>
      </c>
      <c r="D130" s="33" t="str">
        <f t="shared" si="74"/>
        <v>Факультет физико-математических и естественных наук</v>
      </c>
      <c r="E130" s="34" t="str">
        <f t="shared" si="75"/>
        <v>'09.03.03</v>
      </c>
      <c r="F130" s="35" t="str">
        <f t="shared" si="76"/>
        <v>Прикладная информатика</v>
      </c>
      <c r="G130" s="36" t="s">
        <v>153</v>
      </c>
      <c r="H130" s="36" t="s">
        <v>77</v>
      </c>
      <c r="I130" s="37" t="s">
        <v>90</v>
      </c>
      <c r="J130" s="37" t="s">
        <v>137</v>
      </c>
      <c r="K130" s="38" t="s">
        <v>162</v>
      </c>
      <c r="L130" s="39">
        <v>7</v>
      </c>
      <c r="M130" s="39">
        <v>18</v>
      </c>
      <c r="N130" s="40" t="s">
        <v>94</v>
      </c>
      <c r="O130" s="39"/>
      <c r="P130" s="39">
        <v>2</v>
      </c>
      <c r="Q130" s="39"/>
      <c r="R130" s="40"/>
      <c r="S130" s="41"/>
      <c r="T130" s="41"/>
      <c r="U130" s="41"/>
      <c r="V130" s="41"/>
      <c r="W130" s="41"/>
      <c r="X130" s="42" t="str">
        <f t="shared" si="77"/>
        <v>НПИбд</v>
      </c>
      <c r="Y130" s="43" t="s">
        <v>158</v>
      </c>
      <c r="Z130" s="43" t="s">
        <v>136</v>
      </c>
      <c r="AA130" s="43" t="s">
        <v>159</v>
      </c>
      <c r="AB130" s="42">
        <f t="shared" si="78"/>
        <v>8</v>
      </c>
      <c r="AC130" s="39">
        <v>7</v>
      </c>
      <c r="AD130" s="39">
        <v>1</v>
      </c>
      <c r="AE130" s="44">
        <f t="shared" si="79"/>
        <v>12</v>
      </c>
      <c r="AF130" s="45">
        <f t="shared" si="80"/>
        <v>0.66666666666666663</v>
      </c>
      <c r="AG130" s="45">
        <f t="shared" si="81"/>
        <v>0.66666666666666663</v>
      </c>
      <c r="AH130" s="46" t="s">
        <v>82</v>
      </c>
      <c r="AI130" s="40"/>
      <c r="AJ130" s="40"/>
      <c r="AK130" s="47"/>
      <c r="AL130" s="40"/>
      <c r="AM130" s="48">
        <f t="shared" si="82"/>
        <v>0</v>
      </c>
      <c r="AN130" s="48">
        <f t="shared" si="83"/>
        <v>0</v>
      </c>
      <c r="AO130" s="48">
        <f t="shared" si="84"/>
        <v>24</v>
      </c>
      <c r="AP130" s="48">
        <f t="shared" si="85"/>
        <v>0</v>
      </c>
      <c r="AQ130" s="48">
        <f t="shared" si="86"/>
        <v>0</v>
      </c>
      <c r="AR130" s="48">
        <f t="shared" si="87"/>
        <v>0</v>
      </c>
      <c r="AS130" s="48">
        <f t="shared" si="88"/>
        <v>0</v>
      </c>
      <c r="AT130" s="48">
        <f t="shared" si="89"/>
        <v>0</v>
      </c>
      <c r="AU130" s="48">
        <f t="shared" si="90"/>
        <v>0</v>
      </c>
      <c r="AV130" s="48">
        <f t="shared" si="91"/>
        <v>0</v>
      </c>
      <c r="AW130" s="48">
        <f>IF(N130="ПП",РПП*AB130*(V130/1.5),IF(N130="ВП",ВПр*AB130*(V130/1.5),IF(N130="РПА",РПА*AB130*(V130/1.5),IF(N130="КПА",кпа*AB130*(V130/1.5),0))))</f>
        <v>0</v>
      </c>
      <c r="AX130" s="48">
        <f t="shared" si="92"/>
        <v>0</v>
      </c>
      <c r="AY130" s="48">
        <f t="shared" si="93"/>
        <v>0</v>
      </c>
      <c r="AZ130" s="48">
        <f t="shared" si="94"/>
        <v>0</v>
      </c>
      <c r="BA130" s="48">
        <f t="shared" si="95"/>
        <v>0</v>
      </c>
      <c r="BB130" s="48">
        <f t="shared" si="96"/>
        <v>0</v>
      </c>
      <c r="BC130" s="48">
        <f t="shared" si="97"/>
        <v>0</v>
      </c>
      <c r="BD130" s="48">
        <f t="shared" si="98"/>
        <v>0</v>
      </c>
      <c r="BE130" s="48">
        <f t="shared" si="99"/>
        <v>0</v>
      </c>
      <c r="BF130" s="49">
        <f t="shared" si="100"/>
        <v>24</v>
      </c>
      <c r="BG130" s="50"/>
      <c r="BH130" s="51">
        <f t="shared" si="101"/>
        <v>24</v>
      </c>
      <c r="BI130" s="51">
        <f t="shared" si="102"/>
        <v>1</v>
      </c>
      <c r="BJ130" s="51">
        <f t="shared" si="103"/>
        <v>0</v>
      </c>
      <c r="BK130" s="52">
        <f t="shared" si="104"/>
        <v>0</v>
      </c>
      <c r="BL130" s="52">
        <f t="shared" si="105"/>
        <v>0</v>
      </c>
      <c r="BM130" s="52">
        <f t="shared" si="106"/>
        <v>0</v>
      </c>
    </row>
    <row r="131" spans="1:65" ht="30" customHeight="1" x14ac:dyDescent="0.25">
      <c r="A131" s="31" t="str">
        <f t="shared" si="72"/>
        <v>Д</v>
      </c>
      <c r="B131" s="31" t="str">
        <f t="shared" si="73"/>
        <v>Б</v>
      </c>
      <c r="C131" s="32" t="s">
        <v>75</v>
      </c>
      <c r="D131" s="33" t="str">
        <f t="shared" si="74"/>
        <v>Факультет физико-математических и естественных наук</v>
      </c>
      <c r="E131" s="34" t="str">
        <f t="shared" si="75"/>
        <v>'09.03.03</v>
      </c>
      <c r="F131" s="35" t="str">
        <f t="shared" si="76"/>
        <v>Прикладная информатика</v>
      </c>
      <c r="G131" s="36" t="s">
        <v>153</v>
      </c>
      <c r="H131" s="36" t="s">
        <v>77</v>
      </c>
      <c r="I131" s="37" t="s">
        <v>90</v>
      </c>
      <c r="J131" s="37" t="s">
        <v>137</v>
      </c>
      <c r="K131" s="38" t="s">
        <v>163</v>
      </c>
      <c r="L131" s="39">
        <v>7</v>
      </c>
      <c r="M131" s="39">
        <v>18</v>
      </c>
      <c r="N131" s="40" t="s">
        <v>79</v>
      </c>
      <c r="O131" s="39">
        <v>1</v>
      </c>
      <c r="P131" s="39"/>
      <c r="Q131" s="39"/>
      <c r="R131" s="40" t="s">
        <v>80</v>
      </c>
      <c r="S131" s="41"/>
      <c r="T131" s="41"/>
      <c r="U131" s="41"/>
      <c r="V131" s="41"/>
      <c r="W131" s="41"/>
      <c r="X131" s="42" t="str">
        <f t="shared" si="77"/>
        <v>НПИбд</v>
      </c>
      <c r="Y131" s="43" t="s">
        <v>158</v>
      </c>
      <c r="Z131" s="43" t="s">
        <v>136</v>
      </c>
      <c r="AA131" s="43" t="s">
        <v>159</v>
      </c>
      <c r="AB131" s="42">
        <f t="shared" si="78"/>
        <v>16</v>
      </c>
      <c r="AC131" s="39">
        <v>14</v>
      </c>
      <c r="AD131" s="39">
        <v>2</v>
      </c>
      <c r="AE131" s="44">
        <f t="shared" si="79"/>
        <v>16</v>
      </c>
      <c r="AF131" s="45">
        <f t="shared" si="80"/>
        <v>1</v>
      </c>
      <c r="AG131" s="45">
        <f t="shared" si="81"/>
        <v>1</v>
      </c>
      <c r="AH131" s="46" t="s">
        <v>82</v>
      </c>
      <c r="AI131" s="40"/>
      <c r="AJ131" s="40"/>
      <c r="AK131" s="47"/>
      <c r="AL131" s="40"/>
      <c r="AM131" s="48">
        <f t="shared" si="82"/>
        <v>18</v>
      </c>
      <c r="AN131" s="48">
        <f t="shared" si="83"/>
        <v>0</v>
      </c>
      <c r="AO131" s="48">
        <f t="shared" si="84"/>
        <v>0</v>
      </c>
      <c r="AP131" s="48">
        <f t="shared" si="85"/>
        <v>5.28</v>
      </c>
      <c r="AQ131" s="48">
        <f t="shared" si="86"/>
        <v>8</v>
      </c>
      <c r="AR131" s="48">
        <f t="shared" si="87"/>
        <v>1</v>
      </c>
      <c r="AS131" s="48">
        <f t="shared" si="88"/>
        <v>0.9</v>
      </c>
      <c r="AT131" s="48">
        <f t="shared" si="89"/>
        <v>0</v>
      </c>
      <c r="AU131" s="48">
        <f t="shared" si="90"/>
        <v>0</v>
      </c>
      <c r="AV131" s="48">
        <f t="shared" si="91"/>
        <v>0</v>
      </c>
      <c r="AW131" s="48">
        <f>IF(N131="ПП",РПП*AB131*(V131/1.5),IF(N131="ВП",ВПр*AB131*(V131/1.5),IF(N131="РПА",РПА*AB131*(V131/1.5),IF(N131="КПА",кпа*AB131*(V131/1.5),0))))</f>
        <v>0</v>
      </c>
      <c r="AX131" s="48">
        <f t="shared" si="92"/>
        <v>0</v>
      </c>
      <c r="AY131" s="48">
        <f t="shared" si="93"/>
        <v>0</v>
      </c>
      <c r="AZ131" s="48">
        <f t="shared" si="94"/>
        <v>0</v>
      </c>
      <c r="BA131" s="48">
        <f t="shared" si="95"/>
        <v>0</v>
      </c>
      <c r="BB131" s="48">
        <f t="shared" si="96"/>
        <v>0</v>
      </c>
      <c r="BC131" s="48">
        <f t="shared" si="97"/>
        <v>0</v>
      </c>
      <c r="BD131" s="48">
        <f t="shared" si="98"/>
        <v>0</v>
      </c>
      <c r="BE131" s="48">
        <f t="shared" si="99"/>
        <v>0</v>
      </c>
      <c r="BF131" s="49">
        <f t="shared" si="100"/>
        <v>33.18</v>
      </c>
      <c r="BG131" s="50"/>
      <c r="BH131" s="51">
        <f t="shared" si="101"/>
        <v>18</v>
      </c>
      <c r="BI131" s="51">
        <f t="shared" si="102"/>
        <v>0.5</v>
      </c>
      <c r="BJ131" s="51">
        <f t="shared" si="103"/>
        <v>15.180000000000001</v>
      </c>
      <c r="BK131" s="52">
        <f t="shared" si="104"/>
        <v>0</v>
      </c>
      <c r="BL131" s="52">
        <f t="shared" si="105"/>
        <v>0</v>
      </c>
      <c r="BM131" s="52">
        <f t="shared" si="106"/>
        <v>0</v>
      </c>
    </row>
    <row r="132" spans="1:65" ht="30" customHeight="1" x14ac:dyDescent="0.25">
      <c r="A132" s="31" t="str">
        <f t="shared" si="72"/>
        <v>Д</v>
      </c>
      <c r="B132" s="31" t="str">
        <f t="shared" si="73"/>
        <v>Б</v>
      </c>
      <c r="C132" s="32" t="s">
        <v>75</v>
      </c>
      <c r="D132" s="33" t="str">
        <f t="shared" si="74"/>
        <v>Факультет физико-математических и естественных наук</v>
      </c>
      <c r="E132" s="34" t="str">
        <f t="shared" si="75"/>
        <v>'09.03.03</v>
      </c>
      <c r="F132" s="35" t="str">
        <f t="shared" si="76"/>
        <v>Прикладная информатика</v>
      </c>
      <c r="G132" s="36" t="s">
        <v>153</v>
      </c>
      <c r="H132" s="36" t="s">
        <v>77</v>
      </c>
      <c r="I132" s="37" t="s">
        <v>90</v>
      </c>
      <c r="J132" s="37" t="s">
        <v>137</v>
      </c>
      <c r="K132" s="38" t="s">
        <v>163</v>
      </c>
      <c r="L132" s="39">
        <v>7</v>
      </c>
      <c r="M132" s="39">
        <v>18</v>
      </c>
      <c r="N132" s="40" t="s">
        <v>86</v>
      </c>
      <c r="O132" s="39"/>
      <c r="P132" s="39"/>
      <c r="Q132" s="39">
        <v>2</v>
      </c>
      <c r="R132" s="40"/>
      <c r="S132" s="41"/>
      <c r="T132" s="41"/>
      <c r="U132" s="41"/>
      <c r="V132" s="41"/>
      <c r="W132" s="41"/>
      <c r="X132" s="42" t="str">
        <f t="shared" si="77"/>
        <v>НПИбд</v>
      </c>
      <c r="Y132" s="43" t="s">
        <v>158</v>
      </c>
      <c r="Z132" s="43" t="s">
        <v>136</v>
      </c>
      <c r="AA132" s="43" t="s">
        <v>159</v>
      </c>
      <c r="AB132" s="42">
        <f t="shared" si="78"/>
        <v>16</v>
      </c>
      <c r="AC132" s="39">
        <v>14</v>
      </c>
      <c r="AD132" s="39">
        <v>2</v>
      </c>
      <c r="AE132" s="44">
        <f t="shared" si="79"/>
        <v>24</v>
      </c>
      <c r="AF132" s="45">
        <f t="shared" si="80"/>
        <v>0.66666666666666663</v>
      </c>
      <c r="AG132" s="45">
        <f t="shared" si="81"/>
        <v>0.66666666666666663</v>
      </c>
      <c r="AH132" s="46" t="s">
        <v>82</v>
      </c>
      <c r="AI132" s="40"/>
      <c r="AJ132" s="40"/>
      <c r="AK132" s="47"/>
      <c r="AL132" s="40"/>
      <c r="AM132" s="48">
        <f t="shared" si="82"/>
        <v>0</v>
      </c>
      <c r="AN132" s="48">
        <f t="shared" si="83"/>
        <v>24</v>
      </c>
      <c r="AO132" s="48">
        <f t="shared" si="84"/>
        <v>0</v>
      </c>
      <c r="AP132" s="48">
        <f t="shared" si="85"/>
        <v>0</v>
      </c>
      <c r="AQ132" s="48">
        <f t="shared" si="86"/>
        <v>0</v>
      </c>
      <c r="AR132" s="48">
        <f t="shared" si="87"/>
        <v>0</v>
      </c>
      <c r="AS132" s="48">
        <f t="shared" si="88"/>
        <v>0</v>
      </c>
      <c r="AT132" s="48">
        <f t="shared" si="89"/>
        <v>0</v>
      </c>
      <c r="AU132" s="48">
        <f t="shared" si="90"/>
        <v>0</v>
      </c>
      <c r="AV132" s="48">
        <f t="shared" si="91"/>
        <v>0</v>
      </c>
      <c r="AW132" s="48">
        <f>IF(N132="ПП",РПП*AB132*(V132/1.5),IF(N132="ВП",ВПр*AB132*(V132/1.5),IF(N132="РПА",РПА*AB132*(V132/1.5),IF(N132="КПА",кпа*AB132*(V132/1.5),0))))</f>
        <v>0</v>
      </c>
      <c r="AX132" s="48">
        <f t="shared" si="92"/>
        <v>0</v>
      </c>
      <c r="AY132" s="48">
        <f t="shared" si="93"/>
        <v>0</v>
      </c>
      <c r="AZ132" s="48">
        <f t="shared" si="94"/>
        <v>0</v>
      </c>
      <c r="BA132" s="48">
        <f t="shared" si="95"/>
        <v>0</v>
      </c>
      <c r="BB132" s="48">
        <f t="shared" si="96"/>
        <v>0</v>
      </c>
      <c r="BC132" s="48">
        <f t="shared" si="97"/>
        <v>0</v>
      </c>
      <c r="BD132" s="48">
        <f t="shared" si="98"/>
        <v>0</v>
      </c>
      <c r="BE132" s="48">
        <f t="shared" si="99"/>
        <v>0</v>
      </c>
      <c r="BF132" s="49">
        <f t="shared" si="100"/>
        <v>24</v>
      </c>
      <c r="BG132" s="50"/>
      <c r="BH132" s="51">
        <f t="shared" si="101"/>
        <v>24</v>
      </c>
      <c r="BI132" s="51">
        <f t="shared" si="102"/>
        <v>1</v>
      </c>
      <c r="BJ132" s="51">
        <f t="shared" si="103"/>
        <v>0</v>
      </c>
      <c r="BK132" s="52">
        <f t="shared" si="104"/>
        <v>0</v>
      </c>
      <c r="BL132" s="52">
        <f t="shared" si="105"/>
        <v>0</v>
      </c>
      <c r="BM132" s="52">
        <f t="shared" si="106"/>
        <v>0</v>
      </c>
    </row>
    <row r="133" spans="1:65" ht="30" customHeight="1" x14ac:dyDescent="0.25">
      <c r="A133" s="31" t="str">
        <f t="shared" si="72"/>
        <v>Д</v>
      </c>
      <c r="B133" s="31" t="str">
        <f t="shared" si="73"/>
        <v>Б</v>
      </c>
      <c r="C133" s="32" t="s">
        <v>75</v>
      </c>
      <c r="D133" s="33" t="str">
        <f t="shared" si="74"/>
        <v>Факультет физико-математических и естественных наук</v>
      </c>
      <c r="E133" s="34" t="str">
        <f t="shared" si="75"/>
        <v>'09.03.03</v>
      </c>
      <c r="F133" s="35" t="str">
        <f t="shared" si="76"/>
        <v>Прикладная информатика</v>
      </c>
      <c r="G133" s="36" t="s">
        <v>76</v>
      </c>
      <c r="H133" s="36" t="s">
        <v>135</v>
      </c>
      <c r="I133" s="37" t="s">
        <v>90</v>
      </c>
      <c r="J133" s="37" t="s">
        <v>154</v>
      </c>
      <c r="K133" s="38" t="s">
        <v>164</v>
      </c>
      <c r="L133" s="39">
        <v>7</v>
      </c>
      <c r="M133" s="39">
        <v>18</v>
      </c>
      <c r="N133" s="40" t="s">
        <v>79</v>
      </c>
      <c r="O133" s="39">
        <v>1</v>
      </c>
      <c r="P133" s="39"/>
      <c r="Q133" s="39"/>
      <c r="R133" s="40" t="s">
        <v>80</v>
      </c>
      <c r="S133" s="41"/>
      <c r="T133" s="41"/>
      <c r="U133" s="41"/>
      <c r="V133" s="41"/>
      <c r="W133" s="41"/>
      <c r="X133" s="42" t="str">
        <f t="shared" si="77"/>
        <v>НПИбд</v>
      </c>
      <c r="Y133" s="43" t="s">
        <v>158</v>
      </c>
      <c r="Z133" s="43" t="s">
        <v>136</v>
      </c>
      <c r="AA133" s="43" t="s">
        <v>159</v>
      </c>
      <c r="AB133" s="42">
        <f t="shared" si="78"/>
        <v>7</v>
      </c>
      <c r="AC133" s="39">
        <v>6</v>
      </c>
      <c r="AD133" s="39">
        <v>1</v>
      </c>
      <c r="AE133" s="44">
        <f t="shared" si="79"/>
        <v>7</v>
      </c>
      <c r="AF133" s="45">
        <f t="shared" si="80"/>
        <v>1</v>
      </c>
      <c r="AG133" s="45">
        <f t="shared" si="81"/>
        <v>1</v>
      </c>
      <c r="AH133" s="46" t="s">
        <v>82</v>
      </c>
      <c r="AI133" s="40"/>
      <c r="AJ133" s="40"/>
      <c r="AK133" s="47"/>
      <c r="AL133" s="40"/>
      <c r="AM133" s="48">
        <f t="shared" si="82"/>
        <v>18</v>
      </c>
      <c r="AN133" s="48">
        <f t="shared" si="83"/>
        <v>0</v>
      </c>
      <c r="AO133" s="48">
        <f t="shared" si="84"/>
        <v>0</v>
      </c>
      <c r="AP133" s="48">
        <f t="shared" si="85"/>
        <v>2.31</v>
      </c>
      <c r="AQ133" s="48">
        <f t="shared" si="86"/>
        <v>3.5</v>
      </c>
      <c r="AR133" s="48">
        <f t="shared" si="87"/>
        <v>1</v>
      </c>
      <c r="AS133" s="48">
        <f t="shared" si="88"/>
        <v>0.9</v>
      </c>
      <c r="AT133" s="48">
        <f t="shared" si="89"/>
        <v>0</v>
      </c>
      <c r="AU133" s="48">
        <f t="shared" si="90"/>
        <v>0</v>
      </c>
      <c r="AV133" s="48">
        <f t="shared" si="91"/>
        <v>0</v>
      </c>
      <c r="AW133" s="48">
        <f>IF(N133="ПП",РПП*AB133*(V133/1.5),IF(N133="ВП",ВПр*AB133*(V133/1.5),IF(N133="РПА",РПА*AB133*(V133/1.5),IF(N133="КПА",кпа*AB133*(V133/1.5),0))))</f>
        <v>0</v>
      </c>
      <c r="AX133" s="48">
        <f t="shared" si="92"/>
        <v>0</v>
      </c>
      <c r="AY133" s="48">
        <f t="shared" si="93"/>
        <v>0</v>
      </c>
      <c r="AZ133" s="48">
        <f t="shared" si="94"/>
        <v>0</v>
      </c>
      <c r="BA133" s="48">
        <f t="shared" si="95"/>
        <v>0</v>
      </c>
      <c r="BB133" s="48">
        <f t="shared" si="96"/>
        <v>0</v>
      </c>
      <c r="BC133" s="48">
        <f t="shared" si="97"/>
        <v>0</v>
      </c>
      <c r="BD133" s="48">
        <f t="shared" si="98"/>
        <v>0</v>
      </c>
      <c r="BE133" s="48">
        <f t="shared" si="99"/>
        <v>0</v>
      </c>
      <c r="BF133" s="49">
        <f t="shared" si="100"/>
        <v>25.709999999999997</v>
      </c>
      <c r="BG133" s="50"/>
      <c r="BH133" s="51">
        <f t="shared" si="101"/>
        <v>18</v>
      </c>
      <c r="BI133" s="51">
        <f t="shared" si="102"/>
        <v>0.5</v>
      </c>
      <c r="BJ133" s="51">
        <f t="shared" si="103"/>
        <v>7.7100000000000009</v>
      </c>
      <c r="BK133" s="52">
        <f t="shared" si="104"/>
        <v>0</v>
      </c>
      <c r="BL133" s="52">
        <f t="shared" si="105"/>
        <v>0</v>
      </c>
      <c r="BM133" s="52">
        <f t="shared" si="106"/>
        <v>0</v>
      </c>
    </row>
    <row r="134" spans="1:65" ht="30" customHeight="1" x14ac:dyDescent="0.25">
      <c r="A134" s="31" t="str">
        <f t="shared" si="72"/>
        <v>Д</v>
      </c>
      <c r="B134" s="31" t="str">
        <f t="shared" si="73"/>
        <v>Б</v>
      </c>
      <c r="C134" s="32" t="s">
        <v>75</v>
      </c>
      <c r="D134" s="33" t="str">
        <f t="shared" si="74"/>
        <v>Факультет физико-математических и естественных наук</v>
      </c>
      <c r="E134" s="34" t="str">
        <f t="shared" si="75"/>
        <v>'09.03.03</v>
      </c>
      <c r="F134" s="35" t="str">
        <f t="shared" si="76"/>
        <v>Прикладная информатика</v>
      </c>
      <c r="G134" s="36" t="s">
        <v>76</v>
      </c>
      <c r="H134" s="36" t="s">
        <v>135</v>
      </c>
      <c r="I134" s="37" t="s">
        <v>90</v>
      </c>
      <c r="J134" s="37" t="s">
        <v>154</v>
      </c>
      <c r="K134" s="38" t="s">
        <v>164</v>
      </c>
      <c r="L134" s="39">
        <v>7</v>
      </c>
      <c r="M134" s="39">
        <v>18</v>
      </c>
      <c r="N134" s="40" t="s">
        <v>94</v>
      </c>
      <c r="O134" s="39"/>
      <c r="P134" s="39">
        <v>2</v>
      </c>
      <c r="Q134" s="39"/>
      <c r="R134" s="40"/>
      <c r="S134" s="41"/>
      <c r="T134" s="41"/>
      <c r="U134" s="41"/>
      <c r="V134" s="41"/>
      <c r="W134" s="41"/>
      <c r="X134" s="42" t="str">
        <f t="shared" si="77"/>
        <v>НПИбд</v>
      </c>
      <c r="Y134" s="43" t="s">
        <v>158</v>
      </c>
      <c r="Z134" s="43" t="s">
        <v>136</v>
      </c>
      <c r="AA134" s="43" t="s">
        <v>159</v>
      </c>
      <c r="AB134" s="42">
        <f t="shared" si="78"/>
        <v>7</v>
      </c>
      <c r="AC134" s="39">
        <v>6</v>
      </c>
      <c r="AD134" s="39">
        <v>1</v>
      </c>
      <c r="AE134" s="44">
        <f t="shared" si="79"/>
        <v>12</v>
      </c>
      <c r="AF134" s="45">
        <f t="shared" si="80"/>
        <v>0.58333333333333337</v>
      </c>
      <c r="AG134" s="45">
        <f t="shared" si="81"/>
        <v>0.58333333333333337</v>
      </c>
      <c r="AH134" s="46" t="s">
        <v>82</v>
      </c>
      <c r="AI134" s="40"/>
      <c r="AJ134" s="40"/>
      <c r="AK134" s="47"/>
      <c r="AL134" s="40"/>
      <c r="AM134" s="48">
        <f t="shared" si="82"/>
        <v>0</v>
      </c>
      <c r="AN134" s="48">
        <f t="shared" si="83"/>
        <v>0</v>
      </c>
      <c r="AO134" s="48">
        <f t="shared" si="84"/>
        <v>21</v>
      </c>
      <c r="AP134" s="48">
        <f t="shared" si="85"/>
        <v>0</v>
      </c>
      <c r="AQ134" s="48">
        <f t="shared" si="86"/>
        <v>0</v>
      </c>
      <c r="AR134" s="48">
        <f t="shared" si="87"/>
        <v>0</v>
      </c>
      <c r="AS134" s="48">
        <f t="shared" si="88"/>
        <v>0</v>
      </c>
      <c r="AT134" s="48">
        <f t="shared" si="89"/>
        <v>0</v>
      </c>
      <c r="AU134" s="48">
        <f t="shared" si="90"/>
        <v>0</v>
      </c>
      <c r="AV134" s="48">
        <f t="shared" si="91"/>
        <v>0</v>
      </c>
      <c r="AW134" s="48">
        <f>IF(N134="ПП",РПП*AB134*(V134/1.5),IF(N134="ВП",ВПр*AB134*(V134/1.5),IF(N134="РПА",РПА*AB134*(V134/1.5),IF(N134="КПА",кпа*AB134*(V134/1.5),0))))</f>
        <v>0</v>
      </c>
      <c r="AX134" s="48">
        <f t="shared" si="92"/>
        <v>0</v>
      </c>
      <c r="AY134" s="48">
        <f t="shared" si="93"/>
        <v>0</v>
      </c>
      <c r="AZ134" s="48">
        <f t="shared" si="94"/>
        <v>0</v>
      </c>
      <c r="BA134" s="48">
        <f t="shared" si="95"/>
        <v>0</v>
      </c>
      <c r="BB134" s="48">
        <f t="shared" si="96"/>
        <v>0</v>
      </c>
      <c r="BC134" s="48">
        <f t="shared" si="97"/>
        <v>0</v>
      </c>
      <c r="BD134" s="48">
        <f t="shared" si="98"/>
        <v>0</v>
      </c>
      <c r="BE134" s="48">
        <f t="shared" si="99"/>
        <v>0</v>
      </c>
      <c r="BF134" s="49">
        <f t="shared" si="100"/>
        <v>21</v>
      </c>
      <c r="BG134" s="50"/>
      <c r="BH134" s="51">
        <f t="shared" si="101"/>
        <v>21</v>
      </c>
      <c r="BI134" s="51">
        <f t="shared" si="102"/>
        <v>1</v>
      </c>
      <c r="BJ134" s="51">
        <f t="shared" si="103"/>
        <v>0</v>
      </c>
      <c r="BK134" s="52">
        <f t="shared" si="104"/>
        <v>0</v>
      </c>
      <c r="BL134" s="52">
        <f t="shared" si="105"/>
        <v>0</v>
      </c>
      <c r="BM134" s="52">
        <f t="shared" si="106"/>
        <v>0</v>
      </c>
    </row>
    <row r="135" spans="1:65" ht="30" customHeight="1" x14ac:dyDescent="0.25">
      <c r="A135" s="31" t="str">
        <f t="shared" si="72"/>
        <v>Д</v>
      </c>
      <c r="B135" s="31" t="str">
        <f t="shared" si="73"/>
        <v>Б</v>
      </c>
      <c r="C135" s="32" t="s">
        <v>75</v>
      </c>
      <c r="D135" s="33" t="str">
        <f t="shared" si="74"/>
        <v>Факультет физико-математических и естественных наук</v>
      </c>
      <c r="E135" s="34" t="str">
        <f t="shared" si="75"/>
        <v>'09.03.03</v>
      </c>
      <c r="F135" s="35" t="str">
        <f t="shared" si="76"/>
        <v>Прикладная информатика</v>
      </c>
      <c r="G135" s="36" t="s">
        <v>76</v>
      </c>
      <c r="H135" s="36" t="s">
        <v>135</v>
      </c>
      <c r="I135" s="37" t="s">
        <v>90</v>
      </c>
      <c r="J135" s="37" t="s">
        <v>154</v>
      </c>
      <c r="K135" s="38" t="s">
        <v>165</v>
      </c>
      <c r="L135" s="39">
        <v>7</v>
      </c>
      <c r="M135" s="39">
        <v>18</v>
      </c>
      <c r="N135" s="40" t="s">
        <v>94</v>
      </c>
      <c r="O135" s="39"/>
      <c r="P135" s="39">
        <v>2</v>
      </c>
      <c r="Q135" s="39"/>
      <c r="R135" s="40" t="s">
        <v>95</v>
      </c>
      <c r="S135" s="41"/>
      <c r="T135" s="41"/>
      <c r="U135" s="41"/>
      <c r="V135" s="41"/>
      <c r="W135" s="41"/>
      <c r="X135" s="42" t="str">
        <f t="shared" si="77"/>
        <v>НПИбд</v>
      </c>
      <c r="Y135" s="43" t="s">
        <v>158</v>
      </c>
      <c r="Z135" s="43" t="s">
        <v>136</v>
      </c>
      <c r="AA135" s="43" t="s">
        <v>159</v>
      </c>
      <c r="AB135" s="42">
        <f t="shared" si="78"/>
        <v>7</v>
      </c>
      <c r="AC135" s="39">
        <v>6</v>
      </c>
      <c r="AD135" s="39">
        <v>1</v>
      </c>
      <c r="AE135" s="44">
        <f t="shared" si="79"/>
        <v>12</v>
      </c>
      <c r="AF135" s="45">
        <f t="shared" si="80"/>
        <v>0.58333333333333337</v>
      </c>
      <c r="AG135" s="45">
        <f t="shared" si="81"/>
        <v>0.58333333333333337</v>
      </c>
      <c r="AH135" s="46" t="s">
        <v>82</v>
      </c>
      <c r="AI135" s="40"/>
      <c r="AJ135" s="40"/>
      <c r="AK135" s="47"/>
      <c r="AL135" s="40"/>
      <c r="AM135" s="48">
        <f t="shared" si="82"/>
        <v>0</v>
      </c>
      <c r="AN135" s="48">
        <f t="shared" si="83"/>
        <v>0</v>
      </c>
      <c r="AO135" s="48">
        <f t="shared" si="84"/>
        <v>21</v>
      </c>
      <c r="AP135" s="48">
        <f t="shared" si="85"/>
        <v>2.31</v>
      </c>
      <c r="AQ135" s="48">
        <f t="shared" si="86"/>
        <v>3.5</v>
      </c>
      <c r="AR135" s="48">
        <f t="shared" si="87"/>
        <v>1</v>
      </c>
      <c r="AS135" s="48">
        <f t="shared" si="88"/>
        <v>0</v>
      </c>
      <c r="AT135" s="48">
        <f t="shared" si="89"/>
        <v>0</v>
      </c>
      <c r="AU135" s="48">
        <f t="shared" si="90"/>
        <v>0</v>
      </c>
      <c r="AV135" s="48">
        <f t="shared" si="91"/>
        <v>0</v>
      </c>
      <c r="AW135" s="48">
        <f>IF(N135="ПП",РПП*AB135*(V135/1.5),IF(N135="ВП",ВПр*AB135*(V135/1.5),IF(N135="РПА",РПА*AB135*(V135/1.5),IF(N135="КПА",кпа*AB135*(V135/1.5),0))))</f>
        <v>0</v>
      </c>
      <c r="AX135" s="48">
        <f t="shared" si="92"/>
        <v>0</v>
      </c>
      <c r="AY135" s="48">
        <f t="shared" si="93"/>
        <v>0</v>
      </c>
      <c r="AZ135" s="48">
        <f t="shared" si="94"/>
        <v>0</v>
      </c>
      <c r="BA135" s="48">
        <f t="shared" si="95"/>
        <v>0</v>
      </c>
      <c r="BB135" s="48">
        <f t="shared" si="96"/>
        <v>0</v>
      </c>
      <c r="BC135" s="48">
        <f t="shared" si="97"/>
        <v>0</v>
      </c>
      <c r="BD135" s="48">
        <f t="shared" si="98"/>
        <v>0</v>
      </c>
      <c r="BE135" s="48">
        <f t="shared" si="99"/>
        <v>0</v>
      </c>
      <c r="BF135" s="49">
        <f t="shared" si="100"/>
        <v>27.81</v>
      </c>
      <c r="BG135" s="50"/>
      <c r="BH135" s="51">
        <f t="shared" si="101"/>
        <v>21</v>
      </c>
      <c r="BI135" s="51">
        <f t="shared" si="102"/>
        <v>1</v>
      </c>
      <c r="BJ135" s="51">
        <f t="shared" si="103"/>
        <v>6.8100000000000005</v>
      </c>
      <c r="BK135" s="52">
        <f t="shared" si="104"/>
        <v>0</v>
      </c>
      <c r="BL135" s="52">
        <f t="shared" si="105"/>
        <v>0</v>
      </c>
      <c r="BM135" s="52">
        <f t="shared" si="106"/>
        <v>0</v>
      </c>
    </row>
    <row r="136" spans="1:65" ht="30" customHeight="1" x14ac:dyDescent="0.25">
      <c r="A136" s="31" t="str">
        <f t="shared" si="72"/>
        <v>Д</v>
      </c>
      <c r="B136" s="31" t="str">
        <f t="shared" si="73"/>
        <v>Б</v>
      </c>
      <c r="C136" s="32" t="s">
        <v>75</v>
      </c>
      <c r="D136" s="33" t="str">
        <f t="shared" si="74"/>
        <v>Факультет физико-математических и естественных наук</v>
      </c>
      <c r="E136" s="34" t="str">
        <f t="shared" si="75"/>
        <v>'09.03.03</v>
      </c>
      <c r="F136" s="35" t="str">
        <f t="shared" si="76"/>
        <v>Прикладная информатика</v>
      </c>
      <c r="G136" s="36" t="s">
        <v>166</v>
      </c>
      <c r="H136" s="36" t="s">
        <v>77</v>
      </c>
      <c r="I136" s="37" t="s">
        <v>90</v>
      </c>
      <c r="J136" s="37" t="s">
        <v>154</v>
      </c>
      <c r="K136" s="38" t="s">
        <v>167</v>
      </c>
      <c r="L136" s="39">
        <v>8</v>
      </c>
      <c r="M136" s="39"/>
      <c r="N136" s="40" t="s">
        <v>168</v>
      </c>
      <c r="O136" s="39"/>
      <c r="P136" s="39"/>
      <c r="Q136" s="39"/>
      <c r="R136" s="40"/>
      <c r="S136" s="41"/>
      <c r="T136" s="41"/>
      <c r="U136" s="41"/>
      <c r="V136" s="41">
        <v>3</v>
      </c>
      <c r="W136" s="41"/>
      <c r="X136" s="42" t="str">
        <f t="shared" si="77"/>
        <v>НПИбд</v>
      </c>
      <c r="Y136" s="43" t="s">
        <v>158</v>
      </c>
      <c r="Z136" s="43"/>
      <c r="AA136" s="43" t="s">
        <v>159</v>
      </c>
      <c r="AB136" s="42">
        <f t="shared" si="78"/>
        <v>17</v>
      </c>
      <c r="AC136" s="39">
        <v>15</v>
      </c>
      <c r="AD136" s="39">
        <v>2</v>
      </c>
      <c r="AE136" s="44">
        <f t="shared" si="79"/>
        <v>1</v>
      </c>
      <c r="AF136" s="45">
        <f t="shared" si="80"/>
        <v>1</v>
      </c>
      <c r="AG136" s="45">
        <f t="shared" si="81"/>
        <v>17</v>
      </c>
      <c r="AH136" s="46" t="s">
        <v>82</v>
      </c>
      <c r="AI136" s="40"/>
      <c r="AJ136" s="40"/>
      <c r="AK136" s="47"/>
      <c r="AL136" s="40"/>
      <c r="AM136" s="48">
        <f t="shared" si="82"/>
        <v>0</v>
      </c>
      <c r="AN136" s="48">
        <f t="shared" si="83"/>
        <v>0</v>
      </c>
      <c r="AO136" s="48">
        <f t="shared" si="84"/>
        <v>0</v>
      </c>
      <c r="AP136" s="48">
        <f t="shared" si="85"/>
        <v>0</v>
      </c>
      <c r="AQ136" s="48">
        <f t="shared" si="86"/>
        <v>0</v>
      </c>
      <c r="AR136" s="48">
        <f t="shared" si="87"/>
        <v>0</v>
      </c>
      <c r="AS136" s="48">
        <f t="shared" si="88"/>
        <v>0</v>
      </c>
      <c r="AT136" s="48">
        <f t="shared" si="89"/>
        <v>0</v>
      </c>
      <c r="AU136" s="48">
        <f t="shared" si="90"/>
        <v>0</v>
      </c>
      <c r="AV136" s="48">
        <f t="shared" si="91"/>
        <v>0</v>
      </c>
      <c r="AW136" s="48">
        <f>IF(N136="ПП",РПП*AB136*(V136/1.5),IF(N136="ВП",ВПр*AB136*(V136/1.5),IF(N136="РПА",РПА*AB136*(V136/1.5),IF(N136="КПА",кпа*AB136*(V136/1.5),0))))</f>
        <v>51</v>
      </c>
      <c r="AX136" s="48">
        <f t="shared" si="92"/>
        <v>0</v>
      </c>
      <c r="AY136" s="48">
        <f t="shared" si="93"/>
        <v>0</v>
      </c>
      <c r="AZ136" s="48">
        <f t="shared" si="94"/>
        <v>0</v>
      </c>
      <c r="BA136" s="48">
        <f t="shared" si="95"/>
        <v>0</v>
      </c>
      <c r="BB136" s="48">
        <f t="shared" si="96"/>
        <v>0</v>
      </c>
      <c r="BC136" s="48">
        <f t="shared" si="97"/>
        <v>0</v>
      </c>
      <c r="BD136" s="48">
        <f t="shared" si="98"/>
        <v>0</v>
      </c>
      <c r="BE136" s="48">
        <f t="shared" si="99"/>
        <v>0</v>
      </c>
      <c r="BF136" s="49">
        <f t="shared" si="100"/>
        <v>51</v>
      </c>
      <c r="BG136" s="50"/>
      <c r="BH136" s="51">
        <f t="shared" si="101"/>
        <v>0</v>
      </c>
      <c r="BI136" s="51">
        <f t="shared" si="102"/>
        <v>0</v>
      </c>
      <c r="BJ136" s="51">
        <f t="shared" si="103"/>
        <v>0</v>
      </c>
      <c r="BK136" s="52">
        <f t="shared" si="104"/>
        <v>0</v>
      </c>
      <c r="BL136" s="52">
        <f t="shared" si="105"/>
        <v>0</v>
      </c>
      <c r="BM136" s="52">
        <f t="shared" si="106"/>
        <v>51</v>
      </c>
    </row>
    <row r="137" spans="1:65" ht="30" customHeight="1" x14ac:dyDescent="0.25">
      <c r="A137" s="31" t="str">
        <f t="shared" si="72"/>
        <v>Д</v>
      </c>
      <c r="B137" s="31" t="str">
        <f t="shared" si="73"/>
        <v>Б</v>
      </c>
      <c r="C137" s="32" t="s">
        <v>75</v>
      </c>
      <c r="D137" s="33" t="str">
        <f t="shared" si="74"/>
        <v>Факультет физико-математических и естественных наук</v>
      </c>
      <c r="E137" s="34" t="str">
        <f t="shared" si="75"/>
        <v>'09.03.03</v>
      </c>
      <c r="F137" s="35" t="str">
        <f t="shared" si="76"/>
        <v>Прикладная информатика</v>
      </c>
      <c r="G137" s="36" t="s">
        <v>166</v>
      </c>
      <c r="H137" s="36" t="s">
        <v>77</v>
      </c>
      <c r="I137" s="37" t="s">
        <v>90</v>
      </c>
      <c r="J137" s="37" t="s">
        <v>154</v>
      </c>
      <c r="K137" s="38" t="s">
        <v>169</v>
      </c>
      <c r="L137" s="39">
        <v>8</v>
      </c>
      <c r="M137" s="39"/>
      <c r="N137" s="128" t="s">
        <v>2680</v>
      </c>
      <c r="O137" s="39"/>
      <c r="P137" s="39"/>
      <c r="Q137" s="39"/>
      <c r="R137" s="40"/>
      <c r="S137" s="41"/>
      <c r="T137" s="41"/>
      <c r="U137" s="41"/>
      <c r="V137" s="41"/>
      <c r="W137" s="41">
        <v>9</v>
      </c>
      <c r="X137" s="42" t="str">
        <f t="shared" si="77"/>
        <v>НПИбд</v>
      </c>
      <c r="Y137" s="43" t="s">
        <v>158</v>
      </c>
      <c r="Z137" s="43"/>
      <c r="AA137" s="43" t="s">
        <v>159</v>
      </c>
      <c r="AB137" s="42">
        <f t="shared" si="78"/>
        <v>17</v>
      </c>
      <c r="AC137" s="39">
        <v>15</v>
      </c>
      <c r="AD137" s="39">
        <v>2</v>
      </c>
      <c r="AE137" s="44">
        <f t="shared" si="79"/>
        <v>1</v>
      </c>
      <c r="AF137" s="45">
        <f t="shared" si="80"/>
        <v>1</v>
      </c>
      <c r="AG137" s="45">
        <f t="shared" si="81"/>
        <v>17</v>
      </c>
      <c r="AH137" s="46" t="s">
        <v>82</v>
      </c>
      <c r="AI137" s="40"/>
      <c r="AJ137" s="40"/>
      <c r="AK137" s="47"/>
      <c r="AL137" s="40"/>
      <c r="AM137" s="48">
        <f t="shared" si="82"/>
        <v>0</v>
      </c>
      <c r="AN137" s="48">
        <f t="shared" si="83"/>
        <v>0</v>
      </c>
      <c r="AO137" s="48">
        <f t="shared" si="84"/>
        <v>0</v>
      </c>
      <c r="AP137" s="48">
        <f t="shared" si="85"/>
        <v>0</v>
      </c>
      <c r="AQ137" s="48">
        <f t="shared" si="86"/>
        <v>0</v>
      </c>
      <c r="AR137" s="48">
        <f t="shared" si="87"/>
        <v>0</v>
      </c>
      <c r="AS137" s="48">
        <f t="shared" si="88"/>
        <v>0</v>
      </c>
      <c r="AT137" s="48">
        <f t="shared" si="89"/>
        <v>0</v>
      </c>
      <c r="AU137" s="48">
        <f t="shared" si="90"/>
        <v>0</v>
      </c>
      <c r="AV137" s="48">
        <f t="shared" si="91"/>
        <v>0</v>
      </c>
      <c r="AW137" s="48">
        <f>IF(N137="ПП",РПП*AB137*(V137/1.5),IF(N137="ВП",ВПр*AB137*(V137/1.5),IF(N137="РПА",РПА*AB137*(V137/1.5),IF(N137="КПА",кпа*AB137*(V137/1.5),0))))</f>
        <v>0</v>
      </c>
      <c r="AX137" s="48">
        <f t="shared" si="92"/>
        <v>108</v>
      </c>
      <c r="AY137" s="48">
        <f t="shared" si="93"/>
        <v>0</v>
      </c>
      <c r="AZ137" s="48">
        <f t="shared" si="94"/>
        <v>0</v>
      </c>
      <c r="BA137" s="48">
        <f t="shared" si="95"/>
        <v>0</v>
      </c>
      <c r="BB137" s="48">
        <f t="shared" si="96"/>
        <v>0</v>
      </c>
      <c r="BC137" s="48">
        <f t="shared" si="97"/>
        <v>0</v>
      </c>
      <c r="BD137" s="48">
        <f t="shared" si="98"/>
        <v>0</v>
      </c>
      <c r="BE137" s="48">
        <f t="shared" si="99"/>
        <v>0</v>
      </c>
      <c r="BF137" s="49">
        <f t="shared" si="100"/>
        <v>108</v>
      </c>
      <c r="BG137" s="50"/>
      <c r="BH137" s="51">
        <f t="shared" si="101"/>
        <v>0</v>
      </c>
      <c r="BI137" s="51">
        <f t="shared" si="102"/>
        <v>0</v>
      </c>
      <c r="BJ137" s="51">
        <f t="shared" si="103"/>
        <v>0</v>
      </c>
      <c r="BK137" s="52">
        <f t="shared" si="104"/>
        <v>0</v>
      </c>
      <c r="BL137" s="52">
        <f t="shared" si="105"/>
        <v>0</v>
      </c>
      <c r="BM137" s="52">
        <f t="shared" si="106"/>
        <v>108</v>
      </c>
    </row>
    <row r="138" spans="1:65" ht="30" customHeight="1" x14ac:dyDescent="0.25">
      <c r="A138" s="31" t="str">
        <f t="shared" si="72"/>
        <v>Д</v>
      </c>
      <c r="B138" s="31" t="str">
        <f t="shared" si="73"/>
        <v>Б</v>
      </c>
      <c r="C138" s="32" t="s">
        <v>75</v>
      </c>
      <c r="D138" s="33" t="str">
        <f t="shared" si="74"/>
        <v>Факультет физико-математических и естественных наук</v>
      </c>
      <c r="E138" s="34" t="str">
        <f t="shared" si="75"/>
        <v>'09.03.03</v>
      </c>
      <c r="F138" s="35" t="str">
        <f t="shared" si="76"/>
        <v>Прикладная информатика</v>
      </c>
      <c r="G138" s="36" t="s">
        <v>166</v>
      </c>
      <c r="H138" s="36" t="s">
        <v>77</v>
      </c>
      <c r="I138" s="37" t="s">
        <v>90</v>
      </c>
      <c r="J138" s="37" t="s">
        <v>154</v>
      </c>
      <c r="K138" s="38" t="s">
        <v>170</v>
      </c>
      <c r="L138" s="39">
        <v>8</v>
      </c>
      <c r="M138" s="39"/>
      <c r="N138" s="40" t="s">
        <v>168</v>
      </c>
      <c r="O138" s="39"/>
      <c r="P138" s="39"/>
      <c r="Q138" s="39"/>
      <c r="R138" s="40"/>
      <c r="S138" s="41"/>
      <c r="T138" s="41"/>
      <c r="U138" s="41"/>
      <c r="V138" s="41">
        <v>6</v>
      </c>
      <c r="W138" s="41"/>
      <c r="X138" s="42" t="str">
        <f t="shared" si="77"/>
        <v>НПИбд</v>
      </c>
      <c r="Y138" s="43" t="s">
        <v>158</v>
      </c>
      <c r="Z138" s="43"/>
      <c r="AA138" s="43" t="s">
        <v>159</v>
      </c>
      <c r="AB138" s="42">
        <f t="shared" si="78"/>
        <v>17</v>
      </c>
      <c r="AC138" s="39">
        <v>15</v>
      </c>
      <c r="AD138" s="39">
        <v>2</v>
      </c>
      <c r="AE138" s="44">
        <f t="shared" si="79"/>
        <v>1</v>
      </c>
      <c r="AF138" s="45">
        <f t="shared" si="80"/>
        <v>1</v>
      </c>
      <c r="AG138" s="45">
        <f t="shared" si="81"/>
        <v>17</v>
      </c>
      <c r="AH138" s="46" t="s">
        <v>82</v>
      </c>
      <c r="AI138" s="40"/>
      <c r="AJ138" s="40"/>
      <c r="AK138" s="47"/>
      <c r="AL138" s="40"/>
      <c r="AM138" s="48">
        <f t="shared" si="82"/>
        <v>0</v>
      </c>
      <c r="AN138" s="48">
        <f t="shared" si="83"/>
        <v>0</v>
      </c>
      <c r="AO138" s="48">
        <f t="shared" si="84"/>
        <v>0</v>
      </c>
      <c r="AP138" s="48">
        <f t="shared" si="85"/>
        <v>0</v>
      </c>
      <c r="AQ138" s="48">
        <f t="shared" si="86"/>
        <v>0</v>
      </c>
      <c r="AR138" s="48">
        <f t="shared" si="87"/>
        <v>0</v>
      </c>
      <c r="AS138" s="48">
        <f t="shared" si="88"/>
        <v>0</v>
      </c>
      <c r="AT138" s="48">
        <f t="shared" si="89"/>
        <v>0</v>
      </c>
      <c r="AU138" s="48">
        <f t="shared" si="90"/>
        <v>0</v>
      </c>
      <c r="AV138" s="48">
        <f t="shared" si="91"/>
        <v>0</v>
      </c>
      <c r="AW138" s="48">
        <f>IF(N138="ПП",РПП*AB138*(V138/1.5),IF(N138="ВП",ВПр*AB138*(V138/1.5),IF(N138="РПА",РПА*AB138*(V138/1.5),IF(N138="КПА",кпа*AB138*(V138/1.5),0))))</f>
        <v>102</v>
      </c>
      <c r="AX138" s="48">
        <f t="shared" si="92"/>
        <v>0</v>
      </c>
      <c r="AY138" s="48">
        <f t="shared" si="93"/>
        <v>0</v>
      </c>
      <c r="AZ138" s="48">
        <f t="shared" si="94"/>
        <v>0</v>
      </c>
      <c r="BA138" s="48">
        <f t="shared" si="95"/>
        <v>0</v>
      </c>
      <c r="BB138" s="48">
        <f t="shared" si="96"/>
        <v>0</v>
      </c>
      <c r="BC138" s="48">
        <f t="shared" si="97"/>
        <v>0</v>
      </c>
      <c r="BD138" s="48">
        <f t="shared" si="98"/>
        <v>0</v>
      </c>
      <c r="BE138" s="48">
        <f t="shared" si="99"/>
        <v>0</v>
      </c>
      <c r="BF138" s="49">
        <f t="shared" si="100"/>
        <v>102</v>
      </c>
      <c r="BG138" s="50"/>
      <c r="BH138" s="51">
        <f t="shared" si="101"/>
        <v>0</v>
      </c>
      <c r="BI138" s="51">
        <f t="shared" si="102"/>
        <v>0</v>
      </c>
      <c r="BJ138" s="51">
        <f t="shared" si="103"/>
        <v>0</v>
      </c>
      <c r="BK138" s="52">
        <f t="shared" si="104"/>
        <v>0</v>
      </c>
      <c r="BL138" s="52">
        <f t="shared" si="105"/>
        <v>0</v>
      </c>
      <c r="BM138" s="52">
        <f t="shared" si="106"/>
        <v>102</v>
      </c>
    </row>
    <row r="139" spans="1:65" ht="30" customHeight="1" x14ac:dyDescent="0.25">
      <c r="A139" s="31" t="str">
        <f t="shared" si="72"/>
        <v>Д</v>
      </c>
      <c r="B139" s="31" t="str">
        <f t="shared" si="73"/>
        <v>Б</v>
      </c>
      <c r="C139" s="32" t="s">
        <v>75</v>
      </c>
      <c r="D139" s="33" t="str">
        <f t="shared" si="74"/>
        <v>Факультет физико-математических и естественных наук</v>
      </c>
      <c r="E139" s="34" t="str">
        <f t="shared" si="75"/>
        <v>'09.03.03</v>
      </c>
      <c r="F139" s="35" t="str">
        <f t="shared" si="76"/>
        <v>Прикладная информатика</v>
      </c>
      <c r="G139" s="36" t="s">
        <v>166</v>
      </c>
      <c r="H139" s="36" t="s">
        <v>77</v>
      </c>
      <c r="I139" s="37" t="s">
        <v>90</v>
      </c>
      <c r="J139" s="37"/>
      <c r="K139" s="38" t="s">
        <v>171</v>
      </c>
      <c r="L139" s="39">
        <v>8</v>
      </c>
      <c r="M139" s="39"/>
      <c r="N139" s="40" t="s">
        <v>172</v>
      </c>
      <c r="O139" s="39"/>
      <c r="P139" s="39"/>
      <c r="Q139" s="39"/>
      <c r="R139" s="40" t="s">
        <v>173</v>
      </c>
      <c r="S139" s="41"/>
      <c r="T139" s="41"/>
      <c r="U139" s="41"/>
      <c r="V139" s="41"/>
      <c r="W139" s="41"/>
      <c r="X139" s="42" t="str">
        <f t="shared" si="77"/>
        <v>НПИбд</v>
      </c>
      <c r="Y139" s="39" t="s">
        <v>161</v>
      </c>
      <c r="Z139" s="39"/>
      <c r="AA139" s="39">
        <v>1</v>
      </c>
      <c r="AB139" s="42">
        <f t="shared" si="78"/>
        <v>17</v>
      </c>
      <c r="AC139" s="39">
        <v>15</v>
      </c>
      <c r="AD139" s="39">
        <v>2</v>
      </c>
      <c r="AE139" s="44">
        <f t="shared" si="79"/>
        <v>1</v>
      </c>
      <c r="AF139" s="45">
        <f t="shared" si="80"/>
        <v>1</v>
      </c>
      <c r="AG139" s="45">
        <f t="shared" si="81"/>
        <v>17</v>
      </c>
      <c r="AH139" s="46" t="s">
        <v>82</v>
      </c>
      <c r="AI139" s="40" t="s">
        <v>83</v>
      </c>
      <c r="AJ139" s="40" t="s">
        <v>84</v>
      </c>
      <c r="AK139" s="47" t="s">
        <v>97</v>
      </c>
      <c r="AL139" s="40"/>
      <c r="AM139" s="48">
        <f t="shared" si="82"/>
        <v>0</v>
      </c>
      <c r="AN139" s="48">
        <f t="shared" si="83"/>
        <v>0</v>
      </c>
      <c r="AO139" s="48">
        <f t="shared" si="84"/>
        <v>0</v>
      </c>
      <c r="AP139" s="48">
        <f t="shared" si="85"/>
        <v>0</v>
      </c>
      <c r="AQ139" s="48">
        <f t="shared" si="86"/>
        <v>0</v>
      </c>
      <c r="AR139" s="48">
        <f t="shared" si="87"/>
        <v>0</v>
      </c>
      <c r="AS139" s="48">
        <f t="shared" si="88"/>
        <v>0</v>
      </c>
      <c r="AT139" s="48">
        <f t="shared" si="89"/>
        <v>0</v>
      </c>
      <c r="AU139" s="48">
        <f t="shared" si="90"/>
        <v>0</v>
      </c>
      <c r="AV139" s="48">
        <f t="shared" si="91"/>
        <v>0</v>
      </c>
      <c r="AW139" s="48">
        <f>IF(N139="ПП",РПП*AB139*(V139/1.5),IF(N139="ВП",ВПр*AB139*(V139/1.5),IF(N139="РПА",РПА*AB139*(V139/1.5),IF(N139="КПА",кпа*AB139*(V139/1.5),0))))</f>
        <v>0</v>
      </c>
      <c r="AX139" s="48">
        <f t="shared" si="92"/>
        <v>0</v>
      </c>
      <c r="AY139" s="48">
        <f t="shared" si="93"/>
        <v>0</v>
      </c>
      <c r="AZ139" s="48">
        <f t="shared" si="94"/>
        <v>0</v>
      </c>
      <c r="BA139" s="48">
        <f t="shared" si="95"/>
        <v>0</v>
      </c>
      <c r="BB139" s="48">
        <f t="shared" si="96"/>
        <v>0</v>
      </c>
      <c r="BC139" s="48">
        <f t="shared" si="97"/>
        <v>360</v>
      </c>
      <c r="BD139" s="48">
        <f t="shared" si="98"/>
        <v>0</v>
      </c>
      <c r="BE139" s="48">
        <f t="shared" si="99"/>
        <v>0</v>
      </c>
      <c r="BF139" s="49">
        <f t="shared" si="100"/>
        <v>360</v>
      </c>
      <c r="BG139" s="50"/>
      <c r="BH139" s="51">
        <f t="shared" si="101"/>
        <v>0</v>
      </c>
      <c r="BI139" s="51">
        <f t="shared" si="102"/>
        <v>0</v>
      </c>
      <c r="BJ139" s="51">
        <f t="shared" si="103"/>
        <v>0</v>
      </c>
      <c r="BK139" s="52">
        <f t="shared" si="104"/>
        <v>0</v>
      </c>
      <c r="BL139" s="52">
        <f t="shared" si="105"/>
        <v>0</v>
      </c>
      <c r="BM139" s="52">
        <f t="shared" si="106"/>
        <v>360</v>
      </c>
    </row>
    <row r="140" spans="1:65" ht="30" customHeight="1" x14ac:dyDescent="0.25">
      <c r="A140" s="31" t="str">
        <f t="shared" si="72"/>
        <v>Д</v>
      </c>
      <c r="B140" s="31" t="str">
        <f t="shared" si="73"/>
        <v>Б</v>
      </c>
      <c r="C140" s="32" t="s">
        <v>75</v>
      </c>
      <c r="D140" s="33" t="str">
        <f t="shared" si="74"/>
        <v>Факультет физико-математических и естественных наук</v>
      </c>
      <c r="E140" s="34" t="str">
        <f t="shared" si="75"/>
        <v>'09.03.03</v>
      </c>
      <c r="F140" s="35" t="str">
        <f t="shared" si="76"/>
        <v>Прикладная информатика</v>
      </c>
      <c r="G140" s="36" t="s">
        <v>166</v>
      </c>
      <c r="H140" s="36" t="s">
        <v>77</v>
      </c>
      <c r="I140" s="37" t="s">
        <v>90</v>
      </c>
      <c r="J140" s="37"/>
      <c r="K140" s="38" t="s">
        <v>47</v>
      </c>
      <c r="L140" s="39">
        <v>8</v>
      </c>
      <c r="M140" s="39"/>
      <c r="N140" s="40" t="s">
        <v>174</v>
      </c>
      <c r="O140" s="39"/>
      <c r="P140" s="39"/>
      <c r="Q140" s="39"/>
      <c r="R140" s="40" t="s">
        <v>173</v>
      </c>
      <c r="S140" s="41"/>
      <c r="T140" s="41"/>
      <c r="U140" s="41"/>
      <c r="V140" s="41"/>
      <c r="W140" s="41"/>
      <c r="X140" s="42" t="str">
        <f t="shared" si="77"/>
        <v>НПИбд</v>
      </c>
      <c r="Y140" s="39" t="s">
        <v>161</v>
      </c>
      <c r="Z140" s="39"/>
      <c r="AA140" s="39">
        <v>1</v>
      </c>
      <c r="AB140" s="42">
        <f t="shared" si="78"/>
        <v>17</v>
      </c>
      <c r="AC140" s="39">
        <v>15</v>
      </c>
      <c r="AD140" s="39">
        <v>2</v>
      </c>
      <c r="AE140" s="44">
        <f t="shared" si="79"/>
        <v>1</v>
      </c>
      <c r="AF140" s="45">
        <f t="shared" si="80"/>
        <v>1</v>
      </c>
      <c r="AG140" s="45">
        <f t="shared" si="81"/>
        <v>17</v>
      </c>
      <c r="AH140" s="46" t="s">
        <v>82</v>
      </c>
      <c r="AI140" s="40" t="s">
        <v>83</v>
      </c>
      <c r="AJ140" s="40" t="s">
        <v>84</v>
      </c>
      <c r="AK140" s="47" t="s">
        <v>97</v>
      </c>
      <c r="AL140" s="40"/>
      <c r="AM140" s="48">
        <f t="shared" si="82"/>
        <v>0</v>
      </c>
      <c r="AN140" s="48">
        <f t="shared" si="83"/>
        <v>0</v>
      </c>
      <c r="AO140" s="48">
        <f t="shared" si="84"/>
        <v>0</v>
      </c>
      <c r="AP140" s="48">
        <f t="shared" si="85"/>
        <v>0</v>
      </c>
      <c r="AQ140" s="48">
        <f t="shared" si="86"/>
        <v>0</v>
      </c>
      <c r="AR140" s="48">
        <f t="shared" si="87"/>
        <v>0</v>
      </c>
      <c r="AS140" s="48">
        <f t="shared" si="88"/>
        <v>0</v>
      </c>
      <c r="AT140" s="48">
        <f t="shared" si="89"/>
        <v>0</v>
      </c>
      <c r="AU140" s="48">
        <f t="shared" si="90"/>
        <v>0</v>
      </c>
      <c r="AV140" s="48">
        <f t="shared" si="91"/>
        <v>0</v>
      </c>
      <c r="AW140" s="48">
        <f>IF(N140="ПП",РПП*AB140*(V140/1.5),IF(N140="ВП",ВПр*AB140*(V140/1.5),IF(N140="РПА",РПА*AB140*(V140/1.5),IF(N140="КПА",кпа*AB140*(V140/1.5),0))))</f>
        <v>0</v>
      </c>
      <c r="AX140" s="48">
        <f t="shared" si="92"/>
        <v>0</v>
      </c>
      <c r="AY140" s="48">
        <f t="shared" si="93"/>
        <v>0</v>
      </c>
      <c r="AZ140" s="48">
        <f t="shared" si="94"/>
        <v>0</v>
      </c>
      <c r="BA140" s="48">
        <f t="shared" si="95"/>
        <v>0</v>
      </c>
      <c r="BB140" s="48">
        <f t="shared" si="96"/>
        <v>0</v>
      </c>
      <c r="BC140" s="48">
        <f t="shared" si="97"/>
        <v>0</v>
      </c>
      <c r="BD140" s="48">
        <f t="shared" si="98"/>
        <v>34</v>
      </c>
      <c r="BE140" s="48">
        <f t="shared" si="99"/>
        <v>0</v>
      </c>
      <c r="BF140" s="49">
        <f t="shared" si="100"/>
        <v>34</v>
      </c>
      <c r="BG140" s="50"/>
      <c r="BH140" s="51">
        <f t="shared" si="101"/>
        <v>0</v>
      </c>
      <c r="BI140" s="51">
        <f t="shared" si="102"/>
        <v>0</v>
      </c>
      <c r="BJ140" s="51">
        <f t="shared" si="103"/>
        <v>0</v>
      </c>
      <c r="BK140" s="52">
        <f t="shared" si="104"/>
        <v>0</v>
      </c>
      <c r="BL140" s="52">
        <f t="shared" si="105"/>
        <v>0</v>
      </c>
      <c r="BM140" s="52">
        <f t="shared" si="106"/>
        <v>34</v>
      </c>
    </row>
    <row r="141" spans="1:65" ht="30" customHeight="1" x14ac:dyDescent="0.25">
      <c r="A141" s="31" t="str">
        <f t="shared" si="72"/>
        <v>Д</v>
      </c>
      <c r="B141" s="31" t="str">
        <f t="shared" si="73"/>
        <v>Б</v>
      </c>
      <c r="C141" s="32" t="s">
        <v>75</v>
      </c>
      <c r="D141" s="33" t="str">
        <f t="shared" si="74"/>
        <v>Факультет физико-математических и естественных наук</v>
      </c>
      <c r="E141" s="34" t="str">
        <f t="shared" si="75"/>
        <v>'09.03.03</v>
      </c>
      <c r="F141" s="35" t="str">
        <f t="shared" si="76"/>
        <v>Прикладная информатика</v>
      </c>
      <c r="G141" s="36" t="s">
        <v>166</v>
      </c>
      <c r="H141" s="36" t="s">
        <v>77</v>
      </c>
      <c r="I141" s="37" t="s">
        <v>90</v>
      </c>
      <c r="J141" s="37"/>
      <c r="K141" s="38" t="s">
        <v>175</v>
      </c>
      <c r="L141" s="39">
        <v>8</v>
      </c>
      <c r="M141" s="39"/>
      <c r="N141" s="40" t="s">
        <v>176</v>
      </c>
      <c r="O141" s="39"/>
      <c r="P141" s="39"/>
      <c r="Q141" s="39"/>
      <c r="R141" s="40"/>
      <c r="S141" s="41"/>
      <c r="T141" s="41"/>
      <c r="U141" s="41"/>
      <c r="V141" s="41">
        <v>3</v>
      </c>
      <c r="W141" s="41"/>
      <c r="X141" s="42" t="str">
        <f t="shared" si="77"/>
        <v>НПИбд</v>
      </c>
      <c r="Y141" s="39" t="s">
        <v>161</v>
      </c>
      <c r="Z141" s="39"/>
      <c r="AA141" s="39">
        <v>1</v>
      </c>
      <c r="AB141" s="42">
        <f t="shared" si="78"/>
        <v>17</v>
      </c>
      <c r="AC141" s="39">
        <v>15</v>
      </c>
      <c r="AD141" s="39">
        <v>2</v>
      </c>
      <c r="AE141" s="44">
        <f t="shared" si="79"/>
        <v>24</v>
      </c>
      <c r="AF141" s="45">
        <f t="shared" si="80"/>
        <v>0.70833333333333337</v>
      </c>
      <c r="AG141" s="45">
        <f t="shared" si="81"/>
        <v>0.70833333333333337</v>
      </c>
      <c r="AH141" s="46" t="s">
        <v>82</v>
      </c>
      <c r="AI141" s="40" t="s">
        <v>83</v>
      </c>
      <c r="AJ141" s="40" t="s">
        <v>84</v>
      </c>
      <c r="AK141" s="47" t="s">
        <v>93</v>
      </c>
      <c r="AL141" s="40"/>
      <c r="AM141" s="48">
        <f t="shared" si="82"/>
        <v>0</v>
      </c>
      <c r="AN141" s="48">
        <f t="shared" si="83"/>
        <v>0</v>
      </c>
      <c r="AO141" s="48">
        <f t="shared" si="84"/>
        <v>0</v>
      </c>
      <c r="AP141" s="48">
        <f t="shared" si="85"/>
        <v>0</v>
      </c>
      <c r="AQ141" s="48">
        <f t="shared" si="86"/>
        <v>0</v>
      </c>
      <c r="AR141" s="48">
        <f t="shared" si="87"/>
        <v>0</v>
      </c>
      <c r="AS141" s="48">
        <f t="shared" si="88"/>
        <v>0</v>
      </c>
      <c r="AT141" s="48">
        <f t="shared" si="89"/>
        <v>0</v>
      </c>
      <c r="AU141" s="48">
        <f t="shared" si="90"/>
        <v>0</v>
      </c>
      <c r="AV141" s="48">
        <f t="shared" si="91"/>
        <v>0</v>
      </c>
      <c r="AW141" s="48">
        <f>IF(N141="ПП",РПП*AB141*(V141/1.5),IF(N141="ВП",ВПр*AB141*(V141/1.5),IF(N141="РПА",РПА*AB141*(V141/1.5),IF(N141="КПА",кпа*AB141*(V141/1.5),0))))</f>
        <v>0</v>
      </c>
      <c r="AX141" s="48">
        <f t="shared" si="92"/>
        <v>0</v>
      </c>
      <c r="AY141" s="48">
        <f t="shared" si="93"/>
        <v>0</v>
      </c>
      <c r="AZ141" s="48">
        <f t="shared" si="94"/>
        <v>0</v>
      </c>
      <c r="BA141" s="48">
        <f t="shared" si="95"/>
        <v>0</v>
      </c>
      <c r="BB141" s="48">
        <f t="shared" si="96"/>
        <v>0</v>
      </c>
      <c r="BC141" s="48">
        <f t="shared" si="97"/>
        <v>0</v>
      </c>
      <c r="BD141" s="48">
        <f t="shared" si="98"/>
        <v>0</v>
      </c>
      <c r="BE141" s="48">
        <f t="shared" si="99"/>
        <v>1.4166666666666667</v>
      </c>
      <c r="BF141" s="49">
        <f t="shared" si="100"/>
        <v>1.4166666666666667</v>
      </c>
      <c r="BG141" s="50"/>
      <c r="BH141" s="51">
        <f t="shared" si="101"/>
        <v>0</v>
      </c>
      <c r="BI141" s="51">
        <f t="shared" si="102"/>
        <v>0</v>
      </c>
      <c r="BJ141" s="51">
        <f t="shared" si="103"/>
        <v>0</v>
      </c>
      <c r="BK141" s="52">
        <f t="shared" si="104"/>
        <v>0</v>
      </c>
      <c r="BL141" s="52">
        <f t="shared" si="105"/>
        <v>0</v>
      </c>
      <c r="BM141" s="52">
        <f t="shared" si="106"/>
        <v>1.4166666666666667</v>
      </c>
    </row>
    <row r="142" spans="1:65" ht="30" customHeight="1" x14ac:dyDescent="0.25">
      <c r="A142" s="31" t="str">
        <f t="shared" si="72"/>
        <v>Д</v>
      </c>
      <c r="B142" s="31" t="str">
        <f t="shared" si="73"/>
        <v>Б</v>
      </c>
      <c r="C142" s="32" t="s">
        <v>75</v>
      </c>
      <c r="D142" s="33" t="str">
        <f t="shared" si="74"/>
        <v>Факультет физико-математических и естественных наук</v>
      </c>
      <c r="E142" s="34" t="str">
        <f t="shared" si="75"/>
        <v>'09.03.03</v>
      </c>
      <c r="F142" s="35" t="str">
        <f t="shared" si="76"/>
        <v>Прикладная информатика</v>
      </c>
      <c r="G142" s="36" t="s">
        <v>166</v>
      </c>
      <c r="H142" s="36" t="s">
        <v>77</v>
      </c>
      <c r="I142" s="37" t="s">
        <v>90</v>
      </c>
      <c r="J142" s="37"/>
      <c r="K142" s="38" t="s">
        <v>177</v>
      </c>
      <c r="L142" s="39">
        <v>8</v>
      </c>
      <c r="M142" s="39"/>
      <c r="N142" s="40" t="s">
        <v>181</v>
      </c>
      <c r="O142" s="39"/>
      <c r="P142" s="39"/>
      <c r="Q142" s="39"/>
      <c r="R142" s="40"/>
      <c r="S142" s="41"/>
      <c r="T142" s="41"/>
      <c r="U142" s="41"/>
      <c r="V142" s="41"/>
      <c r="W142" s="41"/>
      <c r="X142" s="42" t="str">
        <f t="shared" si="77"/>
        <v>НПИбд</v>
      </c>
      <c r="Y142" s="39" t="s">
        <v>161</v>
      </c>
      <c r="Z142" s="39"/>
      <c r="AA142" s="39">
        <v>1</v>
      </c>
      <c r="AB142" s="42">
        <f t="shared" si="78"/>
        <v>17</v>
      </c>
      <c r="AC142" s="39">
        <v>15</v>
      </c>
      <c r="AD142" s="39">
        <v>2</v>
      </c>
      <c r="AE142" s="44">
        <f t="shared" si="79"/>
        <v>1</v>
      </c>
      <c r="AF142" s="45">
        <f t="shared" si="80"/>
        <v>1</v>
      </c>
      <c r="AG142" s="45">
        <f t="shared" si="81"/>
        <v>17</v>
      </c>
      <c r="AH142" s="46" t="s">
        <v>82</v>
      </c>
      <c r="AI142" s="40" t="s">
        <v>83</v>
      </c>
      <c r="AJ142" s="40" t="s">
        <v>84</v>
      </c>
      <c r="AK142" s="47" t="s">
        <v>93</v>
      </c>
      <c r="AL142" s="40"/>
      <c r="AM142" s="48">
        <f t="shared" si="82"/>
        <v>0</v>
      </c>
      <c r="AN142" s="48">
        <f t="shared" si="83"/>
        <v>0</v>
      </c>
      <c r="AO142" s="48">
        <f t="shared" si="84"/>
        <v>0</v>
      </c>
      <c r="AP142" s="48">
        <f t="shared" si="85"/>
        <v>0</v>
      </c>
      <c r="AQ142" s="48">
        <f t="shared" si="86"/>
        <v>0</v>
      </c>
      <c r="AR142" s="48">
        <f t="shared" si="87"/>
        <v>0</v>
      </c>
      <c r="AS142" s="48">
        <f t="shared" si="88"/>
        <v>0</v>
      </c>
      <c r="AT142" s="48">
        <f t="shared" si="89"/>
        <v>0</v>
      </c>
      <c r="AU142" s="48">
        <f t="shared" si="90"/>
        <v>0</v>
      </c>
      <c r="AV142" s="48">
        <f t="shared" si="91"/>
        <v>0</v>
      </c>
      <c r="AW142" s="48">
        <f>IF(N142="ПП",РПП*AB142*(V142/1.5),IF(N142="ВП",ВПр*AB142*(V142/1.5),IF(N142="РПА",РПА*AB142*(V142/1.5),IF(N142="КПА",кпа*AB142*(V142/1.5),0))))</f>
        <v>0</v>
      </c>
      <c r="AX142" s="48">
        <f t="shared" si="92"/>
        <v>0</v>
      </c>
      <c r="AY142" s="48">
        <f t="shared" si="93"/>
        <v>0</v>
      </c>
      <c r="AZ142" s="48">
        <f t="shared" si="94"/>
        <v>0</v>
      </c>
      <c r="BA142" s="48">
        <f t="shared" si="95"/>
        <v>0</v>
      </c>
      <c r="BB142" s="48">
        <f t="shared" si="96"/>
        <v>0</v>
      </c>
      <c r="BC142" s="48">
        <f t="shared" si="97"/>
        <v>0</v>
      </c>
      <c r="BD142" s="48">
        <f t="shared" si="98"/>
        <v>0</v>
      </c>
      <c r="BE142" s="48">
        <f t="shared" si="99"/>
        <v>8.5</v>
      </c>
      <c r="BF142" s="49">
        <f t="shared" si="100"/>
        <v>8.5</v>
      </c>
      <c r="BG142" s="50"/>
      <c r="BH142" s="51">
        <f t="shared" si="101"/>
        <v>0</v>
      </c>
      <c r="BI142" s="51">
        <f t="shared" si="102"/>
        <v>0</v>
      </c>
      <c r="BJ142" s="51">
        <f t="shared" si="103"/>
        <v>0</v>
      </c>
      <c r="BK142" s="52">
        <f t="shared" si="104"/>
        <v>0</v>
      </c>
      <c r="BL142" s="52">
        <f t="shared" si="105"/>
        <v>0</v>
      </c>
      <c r="BM142" s="52">
        <f t="shared" si="106"/>
        <v>8.5</v>
      </c>
    </row>
    <row r="143" spans="1:65" ht="30" customHeight="1" x14ac:dyDescent="0.25">
      <c r="A143" s="31" t="str">
        <f t="shared" si="72"/>
        <v>Д</v>
      </c>
      <c r="B143" s="31" t="str">
        <f t="shared" si="73"/>
        <v>Б</v>
      </c>
      <c r="C143" s="32" t="s">
        <v>182</v>
      </c>
      <c r="D143" s="33" t="str">
        <f t="shared" si="74"/>
        <v>Факультет физико-математических и естественных наук</v>
      </c>
      <c r="E143" s="34" t="str">
        <f t="shared" si="75"/>
        <v>'01.03.02</v>
      </c>
      <c r="F143" s="35" t="str">
        <f t="shared" si="76"/>
        <v>Прикладная математика и информатика</v>
      </c>
      <c r="G143" s="36" t="s">
        <v>76</v>
      </c>
      <c r="H143" s="36" t="s">
        <v>183</v>
      </c>
      <c r="I143" s="37"/>
      <c r="J143" s="37"/>
      <c r="K143" s="38" t="s">
        <v>184</v>
      </c>
      <c r="L143" s="39">
        <v>5</v>
      </c>
      <c r="M143" s="39">
        <v>17</v>
      </c>
      <c r="N143" s="40" t="s">
        <v>79</v>
      </c>
      <c r="O143" s="39">
        <v>1</v>
      </c>
      <c r="P143" s="39"/>
      <c r="Q143" s="39"/>
      <c r="R143" s="40"/>
      <c r="S143" s="39"/>
      <c r="T143" s="39"/>
      <c r="U143" s="39"/>
      <c r="V143" s="39"/>
      <c r="W143" s="39"/>
      <c r="X143" s="42" t="str">
        <f t="shared" si="77"/>
        <v>НПМбд</v>
      </c>
      <c r="Y143" s="43" t="s">
        <v>128</v>
      </c>
      <c r="Z143" s="39">
        <v>2</v>
      </c>
      <c r="AA143" s="39">
        <v>1</v>
      </c>
      <c r="AB143" s="42">
        <f t="shared" si="78"/>
        <v>24</v>
      </c>
      <c r="AC143" s="39">
        <v>21</v>
      </c>
      <c r="AD143" s="39">
        <v>3</v>
      </c>
      <c r="AE143" s="44">
        <f t="shared" si="79"/>
        <v>24</v>
      </c>
      <c r="AF143" s="45">
        <f t="shared" si="80"/>
        <v>1</v>
      </c>
      <c r="AG143" s="45">
        <f t="shared" si="81"/>
        <v>1</v>
      </c>
      <c r="AH143" s="46" t="s">
        <v>82</v>
      </c>
      <c r="AI143" s="40" t="s">
        <v>83</v>
      </c>
      <c r="AJ143" s="40" t="s">
        <v>84</v>
      </c>
      <c r="AK143" s="47" t="s">
        <v>97</v>
      </c>
      <c r="AL143" s="40"/>
      <c r="AM143" s="48">
        <f t="shared" si="82"/>
        <v>17</v>
      </c>
      <c r="AN143" s="48">
        <f t="shared" si="83"/>
        <v>0</v>
      </c>
      <c r="AO143" s="48">
        <f t="shared" si="84"/>
        <v>0</v>
      </c>
      <c r="AP143" s="48">
        <f t="shared" si="85"/>
        <v>0</v>
      </c>
      <c r="AQ143" s="48">
        <f t="shared" si="86"/>
        <v>0</v>
      </c>
      <c r="AR143" s="48">
        <f t="shared" si="87"/>
        <v>0</v>
      </c>
      <c r="AS143" s="48">
        <f t="shared" si="88"/>
        <v>0.85000000000000009</v>
      </c>
      <c r="AT143" s="48">
        <f t="shared" si="89"/>
        <v>0</v>
      </c>
      <c r="AU143" s="48">
        <f t="shared" si="90"/>
        <v>0</v>
      </c>
      <c r="AV143" s="48">
        <f t="shared" si="91"/>
        <v>0</v>
      </c>
      <c r="AW143" s="48">
        <f>IF(N143="ПП",РПП*AB143*(V143/1.5),IF(N143="ВП",ВПр*AB143*(V143/1.5),IF(N143="РПА",РПА*AB143*(V143/1.5),IF(N143="КПА",кпа*AB143*(V143/1.5),0))))</f>
        <v>0</v>
      </c>
      <c r="AX143" s="48">
        <f t="shared" si="92"/>
        <v>0</v>
      </c>
      <c r="AY143" s="48">
        <f t="shared" si="93"/>
        <v>0</v>
      </c>
      <c r="AZ143" s="48">
        <f t="shared" si="94"/>
        <v>0</v>
      </c>
      <c r="BA143" s="48">
        <f t="shared" si="95"/>
        <v>0</v>
      </c>
      <c r="BB143" s="48">
        <f t="shared" si="96"/>
        <v>0</v>
      </c>
      <c r="BC143" s="48">
        <f t="shared" si="97"/>
        <v>0</v>
      </c>
      <c r="BD143" s="48">
        <f t="shared" si="98"/>
        <v>0</v>
      </c>
      <c r="BE143" s="48">
        <f t="shared" si="99"/>
        <v>0</v>
      </c>
      <c r="BF143" s="49">
        <f t="shared" si="100"/>
        <v>17.850000000000001</v>
      </c>
      <c r="BG143" s="50"/>
      <c r="BH143" s="51">
        <f t="shared" si="101"/>
        <v>17</v>
      </c>
      <c r="BI143" s="51">
        <f t="shared" si="102"/>
        <v>0.5</v>
      </c>
      <c r="BJ143" s="51">
        <f t="shared" si="103"/>
        <v>0.85000000000000009</v>
      </c>
      <c r="BK143" s="52">
        <f t="shared" si="104"/>
        <v>0</v>
      </c>
      <c r="BL143" s="52">
        <f t="shared" si="105"/>
        <v>0</v>
      </c>
      <c r="BM143" s="52">
        <f t="shared" si="106"/>
        <v>0</v>
      </c>
    </row>
    <row r="144" spans="1:65" ht="30" customHeight="1" x14ac:dyDescent="0.25">
      <c r="A144" s="31" t="str">
        <f t="shared" si="72"/>
        <v>Д</v>
      </c>
      <c r="B144" s="31" t="str">
        <f t="shared" si="73"/>
        <v>Б</v>
      </c>
      <c r="C144" s="32" t="s">
        <v>182</v>
      </c>
      <c r="D144" s="33" t="str">
        <f t="shared" si="74"/>
        <v>Факультет физико-математических и естественных наук</v>
      </c>
      <c r="E144" s="34" t="str">
        <f t="shared" si="75"/>
        <v>'01.03.02</v>
      </c>
      <c r="F144" s="35" t="str">
        <f t="shared" si="76"/>
        <v>Прикладная математика и информатика</v>
      </c>
      <c r="G144" s="36" t="s">
        <v>76</v>
      </c>
      <c r="H144" s="36" t="s">
        <v>183</v>
      </c>
      <c r="I144" s="37"/>
      <c r="J144" s="37"/>
      <c r="K144" s="38" t="s">
        <v>184</v>
      </c>
      <c r="L144" s="39">
        <v>5</v>
      </c>
      <c r="M144" s="39">
        <v>17</v>
      </c>
      <c r="N144" s="40" t="s">
        <v>86</v>
      </c>
      <c r="O144" s="39"/>
      <c r="P144" s="39"/>
      <c r="Q144" s="39">
        <v>1</v>
      </c>
      <c r="R144" s="40" t="s">
        <v>95</v>
      </c>
      <c r="S144" s="39"/>
      <c r="T144" s="39"/>
      <c r="U144" s="39"/>
      <c r="V144" s="39"/>
      <c r="W144" s="39"/>
      <c r="X144" s="42" t="str">
        <f t="shared" si="77"/>
        <v>НПМбд</v>
      </c>
      <c r="Y144" s="43" t="s">
        <v>128</v>
      </c>
      <c r="Z144" s="39">
        <v>1</v>
      </c>
      <c r="AA144" s="39">
        <v>1</v>
      </c>
      <c r="AB144" s="42">
        <f t="shared" si="78"/>
        <v>24</v>
      </c>
      <c r="AC144" s="39">
        <v>21</v>
      </c>
      <c r="AD144" s="39">
        <v>3</v>
      </c>
      <c r="AE144" s="44">
        <f t="shared" si="79"/>
        <v>24</v>
      </c>
      <c r="AF144" s="45">
        <f t="shared" si="80"/>
        <v>1</v>
      </c>
      <c r="AG144" s="45">
        <f t="shared" si="81"/>
        <v>1</v>
      </c>
      <c r="AH144" s="46" t="s">
        <v>82</v>
      </c>
      <c r="AI144" s="40" t="s">
        <v>83</v>
      </c>
      <c r="AJ144" s="40" t="s">
        <v>84</v>
      </c>
      <c r="AK144" s="47" t="s">
        <v>97</v>
      </c>
      <c r="AL144" s="40"/>
      <c r="AM144" s="48">
        <f t="shared" si="82"/>
        <v>0</v>
      </c>
      <c r="AN144" s="48">
        <f t="shared" si="83"/>
        <v>17</v>
      </c>
      <c r="AO144" s="48">
        <f t="shared" si="84"/>
        <v>0</v>
      </c>
      <c r="AP144" s="48">
        <f t="shared" si="85"/>
        <v>7.92</v>
      </c>
      <c r="AQ144" s="48">
        <f t="shared" si="86"/>
        <v>12</v>
      </c>
      <c r="AR144" s="48">
        <f t="shared" si="87"/>
        <v>1</v>
      </c>
      <c r="AS144" s="48">
        <f t="shared" si="88"/>
        <v>0</v>
      </c>
      <c r="AT144" s="48">
        <f t="shared" si="89"/>
        <v>0</v>
      </c>
      <c r="AU144" s="48">
        <f t="shared" si="90"/>
        <v>0</v>
      </c>
      <c r="AV144" s="48">
        <f t="shared" si="91"/>
        <v>0</v>
      </c>
      <c r="AW144" s="48">
        <f>IF(N144="ПП",РПП*AB144*(V144/1.5),IF(N144="ВП",ВПр*AB144*(V144/1.5),IF(N144="РПА",РПА*AB144*(V144/1.5),IF(N144="КПА",кпа*AB144*(V144/1.5),0))))</f>
        <v>0</v>
      </c>
      <c r="AX144" s="48">
        <f t="shared" si="92"/>
        <v>0</v>
      </c>
      <c r="AY144" s="48">
        <f t="shared" si="93"/>
        <v>0</v>
      </c>
      <c r="AZ144" s="48">
        <f t="shared" si="94"/>
        <v>0</v>
      </c>
      <c r="BA144" s="48">
        <f t="shared" si="95"/>
        <v>0</v>
      </c>
      <c r="BB144" s="48">
        <f t="shared" si="96"/>
        <v>0</v>
      </c>
      <c r="BC144" s="48">
        <f t="shared" si="97"/>
        <v>0</v>
      </c>
      <c r="BD144" s="48">
        <f t="shared" si="98"/>
        <v>0</v>
      </c>
      <c r="BE144" s="48">
        <f t="shared" si="99"/>
        <v>0</v>
      </c>
      <c r="BF144" s="49">
        <f t="shared" si="100"/>
        <v>37.92</v>
      </c>
      <c r="BG144" s="50"/>
      <c r="BH144" s="51">
        <f t="shared" si="101"/>
        <v>17</v>
      </c>
      <c r="BI144" s="51">
        <f t="shared" si="102"/>
        <v>0.5</v>
      </c>
      <c r="BJ144" s="51">
        <f t="shared" si="103"/>
        <v>20.92</v>
      </c>
      <c r="BK144" s="52">
        <f t="shared" si="104"/>
        <v>0</v>
      </c>
      <c r="BL144" s="52">
        <f t="shared" si="105"/>
        <v>0</v>
      </c>
      <c r="BM144" s="52">
        <f t="shared" si="106"/>
        <v>0</v>
      </c>
    </row>
    <row r="145" spans="1:65" ht="30" customHeight="1" x14ac:dyDescent="0.25">
      <c r="A145" s="31" t="str">
        <f t="shared" si="72"/>
        <v>Д</v>
      </c>
      <c r="B145" s="31" t="str">
        <f t="shared" si="73"/>
        <v>Б</v>
      </c>
      <c r="C145" s="32" t="s">
        <v>182</v>
      </c>
      <c r="D145" s="33" t="str">
        <f t="shared" si="74"/>
        <v>Факультет физико-математических и естественных наук</v>
      </c>
      <c r="E145" s="34" t="str">
        <f t="shared" si="75"/>
        <v>'01.03.02</v>
      </c>
      <c r="F145" s="35" t="str">
        <f t="shared" si="76"/>
        <v>Прикладная математика и информатика</v>
      </c>
      <c r="G145" s="36" t="s">
        <v>76</v>
      </c>
      <c r="H145" s="36" t="s">
        <v>183</v>
      </c>
      <c r="I145" s="37"/>
      <c r="J145" s="37"/>
      <c r="K145" s="38" t="s">
        <v>184</v>
      </c>
      <c r="L145" s="39"/>
      <c r="M145" s="39"/>
      <c r="N145" s="40"/>
      <c r="O145" s="39"/>
      <c r="P145" s="39"/>
      <c r="Q145" s="39"/>
      <c r="R145" s="40"/>
      <c r="S145" s="39"/>
      <c r="T145" s="39"/>
      <c r="U145" s="39"/>
      <c r="V145" s="39"/>
      <c r="W145" s="39"/>
      <c r="X145" s="42" t="str">
        <f t="shared" si="77"/>
        <v>НПМбд</v>
      </c>
      <c r="Y145" s="43" t="s">
        <v>128</v>
      </c>
      <c r="Z145" s="39"/>
      <c r="AA145" s="39"/>
      <c r="AB145" s="42">
        <f t="shared" si="78"/>
        <v>0</v>
      </c>
      <c r="AC145" s="39"/>
      <c r="AD145" s="39"/>
      <c r="AE145" s="44">
        <f t="shared" si="79"/>
        <v>1</v>
      </c>
      <c r="AF145" s="45">
        <f t="shared" si="80"/>
        <v>0</v>
      </c>
      <c r="AG145" s="45">
        <f t="shared" si="81"/>
        <v>0</v>
      </c>
      <c r="AH145" s="46" t="s">
        <v>82</v>
      </c>
      <c r="AI145" s="40" t="s">
        <v>83</v>
      </c>
      <c r="AJ145" s="40" t="s">
        <v>84</v>
      </c>
      <c r="AK145" s="47" t="s">
        <v>97</v>
      </c>
      <c r="AL145" s="40"/>
      <c r="AM145" s="48">
        <f t="shared" si="82"/>
        <v>0</v>
      </c>
      <c r="AN145" s="48">
        <f t="shared" si="83"/>
        <v>0</v>
      </c>
      <c r="AO145" s="48">
        <f t="shared" si="84"/>
        <v>0</v>
      </c>
      <c r="AP145" s="48">
        <f t="shared" si="85"/>
        <v>0</v>
      </c>
      <c r="AQ145" s="48">
        <f t="shared" si="86"/>
        <v>0</v>
      </c>
      <c r="AR145" s="48">
        <f t="shared" si="87"/>
        <v>0</v>
      </c>
      <c r="AS145" s="48">
        <f t="shared" si="88"/>
        <v>0</v>
      </c>
      <c r="AT145" s="48">
        <f t="shared" si="89"/>
        <v>0</v>
      </c>
      <c r="AU145" s="48">
        <f t="shared" si="90"/>
        <v>0</v>
      </c>
      <c r="AV145" s="48">
        <f t="shared" si="91"/>
        <v>0</v>
      </c>
      <c r="AW145" s="48">
        <f>IF(N145="ПП",РПП*AB145*(V145/1.5),IF(N145="ВП",ВПр*AB145*(V145/1.5),IF(N145="РПА",РПА*AB145*(V145/1.5),IF(N145="КПА",кпа*AB145*(V145/1.5),0))))</f>
        <v>0</v>
      </c>
      <c r="AX145" s="48">
        <f t="shared" si="92"/>
        <v>0</v>
      </c>
      <c r="AY145" s="48">
        <f t="shared" si="93"/>
        <v>0</v>
      </c>
      <c r="AZ145" s="48">
        <f t="shared" si="94"/>
        <v>0</v>
      </c>
      <c r="BA145" s="48">
        <f t="shared" si="95"/>
        <v>0</v>
      </c>
      <c r="BB145" s="48">
        <f t="shared" si="96"/>
        <v>0</v>
      </c>
      <c r="BC145" s="48">
        <f t="shared" si="97"/>
        <v>0</v>
      </c>
      <c r="BD145" s="48">
        <f t="shared" si="98"/>
        <v>0</v>
      </c>
      <c r="BE145" s="48">
        <f t="shared" si="99"/>
        <v>0</v>
      </c>
      <c r="BF145" s="49">
        <f t="shared" si="100"/>
        <v>0</v>
      </c>
      <c r="BG145" s="50"/>
      <c r="BH145" s="51">
        <f t="shared" si="101"/>
        <v>0</v>
      </c>
      <c r="BI145" s="51">
        <f t="shared" si="102"/>
        <v>0</v>
      </c>
      <c r="BJ145" s="51">
        <f t="shared" si="103"/>
        <v>0</v>
      </c>
      <c r="BK145" s="52">
        <f t="shared" si="104"/>
        <v>0</v>
      </c>
      <c r="BL145" s="52">
        <f t="shared" si="105"/>
        <v>0</v>
      </c>
      <c r="BM145" s="52">
        <f t="shared" si="106"/>
        <v>0</v>
      </c>
    </row>
    <row r="146" spans="1:65" ht="30" customHeight="1" x14ac:dyDescent="0.25">
      <c r="A146" s="31" t="str">
        <f t="shared" si="72"/>
        <v>Д</v>
      </c>
      <c r="B146" s="31" t="str">
        <f t="shared" si="73"/>
        <v>Б</v>
      </c>
      <c r="C146" s="32" t="s">
        <v>182</v>
      </c>
      <c r="D146" s="33" t="str">
        <f t="shared" si="74"/>
        <v>Факультет физико-математических и естественных наук</v>
      </c>
      <c r="E146" s="34" t="str">
        <f t="shared" si="75"/>
        <v>'01.03.02</v>
      </c>
      <c r="F146" s="35" t="str">
        <f t="shared" si="76"/>
        <v>Прикладная математика и информатика</v>
      </c>
      <c r="G146" s="36" t="s">
        <v>76</v>
      </c>
      <c r="H146" s="36" t="s">
        <v>183</v>
      </c>
      <c r="I146" s="37"/>
      <c r="J146" s="37"/>
      <c r="K146" s="38" t="s">
        <v>184</v>
      </c>
      <c r="L146" s="39">
        <v>6</v>
      </c>
      <c r="M146" s="39">
        <v>18</v>
      </c>
      <c r="N146" s="40" t="s">
        <v>79</v>
      </c>
      <c r="O146" s="39">
        <v>1</v>
      </c>
      <c r="P146" s="39"/>
      <c r="Q146" s="39"/>
      <c r="R146" s="40"/>
      <c r="S146" s="39"/>
      <c r="T146" s="39"/>
      <c r="U146" s="39"/>
      <c r="V146" s="39"/>
      <c r="W146" s="39"/>
      <c r="X146" s="42" t="str">
        <f t="shared" si="77"/>
        <v>НПМбд</v>
      </c>
      <c r="Y146" s="43" t="s">
        <v>128</v>
      </c>
      <c r="Z146" s="39">
        <v>2</v>
      </c>
      <c r="AA146" s="39">
        <v>1</v>
      </c>
      <c r="AB146" s="42">
        <f t="shared" si="78"/>
        <v>24</v>
      </c>
      <c r="AC146" s="39">
        <v>21</v>
      </c>
      <c r="AD146" s="39">
        <v>3</v>
      </c>
      <c r="AE146" s="44">
        <f t="shared" si="79"/>
        <v>24</v>
      </c>
      <c r="AF146" s="45">
        <f t="shared" si="80"/>
        <v>1</v>
      </c>
      <c r="AG146" s="45">
        <f t="shared" si="81"/>
        <v>1</v>
      </c>
      <c r="AH146" s="46" t="s">
        <v>82</v>
      </c>
      <c r="AI146" s="40" t="s">
        <v>83</v>
      </c>
      <c r="AJ146" s="40" t="s">
        <v>84</v>
      </c>
      <c r="AK146" s="47" t="s">
        <v>97</v>
      </c>
      <c r="AL146" s="40"/>
      <c r="AM146" s="48">
        <f t="shared" si="82"/>
        <v>18</v>
      </c>
      <c r="AN146" s="48">
        <f t="shared" si="83"/>
        <v>0</v>
      </c>
      <c r="AO146" s="48">
        <f t="shared" si="84"/>
        <v>0</v>
      </c>
      <c r="AP146" s="48">
        <f t="shared" si="85"/>
        <v>0</v>
      </c>
      <c r="AQ146" s="48">
        <f t="shared" si="86"/>
        <v>0</v>
      </c>
      <c r="AR146" s="48">
        <f t="shared" si="87"/>
        <v>0</v>
      </c>
      <c r="AS146" s="48">
        <f t="shared" si="88"/>
        <v>0.9</v>
      </c>
      <c r="AT146" s="48">
        <f t="shared" si="89"/>
        <v>0</v>
      </c>
      <c r="AU146" s="48">
        <f t="shared" si="90"/>
        <v>0</v>
      </c>
      <c r="AV146" s="48">
        <f t="shared" si="91"/>
        <v>0</v>
      </c>
      <c r="AW146" s="48">
        <f>IF(N146="ПП",РПП*AB146*(V146/1.5),IF(N146="ВП",ВПр*AB146*(V146/1.5),IF(N146="РПА",РПА*AB146*(V146/1.5),IF(N146="КПА",кпа*AB146*(V146/1.5),0))))</f>
        <v>0</v>
      </c>
      <c r="AX146" s="48">
        <f t="shared" si="92"/>
        <v>0</v>
      </c>
      <c r="AY146" s="48">
        <f t="shared" si="93"/>
        <v>0</v>
      </c>
      <c r="AZ146" s="48">
        <f t="shared" si="94"/>
        <v>0</v>
      </c>
      <c r="BA146" s="48">
        <f t="shared" si="95"/>
        <v>0</v>
      </c>
      <c r="BB146" s="48">
        <f t="shared" si="96"/>
        <v>0</v>
      </c>
      <c r="BC146" s="48">
        <f t="shared" si="97"/>
        <v>0</v>
      </c>
      <c r="BD146" s="48">
        <f t="shared" si="98"/>
        <v>0</v>
      </c>
      <c r="BE146" s="48">
        <f t="shared" si="99"/>
        <v>0</v>
      </c>
      <c r="BF146" s="49">
        <f t="shared" si="100"/>
        <v>18.899999999999999</v>
      </c>
      <c r="BG146" s="50"/>
      <c r="BH146" s="51">
        <f t="shared" si="101"/>
        <v>0</v>
      </c>
      <c r="BI146" s="51">
        <f t="shared" si="102"/>
        <v>0</v>
      </c>
      <c r="BJ146" s="51">
        <f t="shared" si="103"/>
        <v>0</v>
      </c>
      <c r="BK146" s="52">
        <f t="shared" si="104"/>
        <v>18</v>
      </c>
      <c r="BL146" s="52">
        <f t="shared" si="105"/>
        <v>0.5</v>
      </c>
      <c r="BM146" s="52">
        <f t="shared" si="106"/>
        <v>0.9</v>
      </c>
    </row>
    <row r="147" spans="1:65" ht="30" customHeight="1" x14ac:dyDescent="0.25">
      <c r="A147" s="31" t="str">
        <f t="shared" si="72"/>
        <v>Д</v>
      </c>
      <c r="B147" s="31" t="str">
        <f t="shared" si="73"/>
        <v>Б</v>
      </c>
      <c r="C147" s="32" t="s">
        <v>182</v>
      </c>
      <c r="D147" s="33" t="str">
        <f t="shared" si="74"/>
        <v>Факультет физико-математических и естественных наук</v>
      </c>
      <c r="E147" s="34" t="str">
        <f t="shared" si="75"/>
        <v>'01.03.02</v>
      </c>
      <c r="F147" s="35" t="str">
        <f t="shared" si="76"/>
        <v>Прикладная математика и информатика</v>
      </c>
      <c r="G147" s="36" t="s">
        <v>76</v>
      </c>
      <c r="H147" s="36" t="s">
        <v>183</v>
      </c>
      <c r="I147" s="37"/>
      <c r="J147" s="37"/>
      <c r="K147" s="38" t="s">
        <v>184</v>
      </c>
      <c r="L147" s="39">
        <v>6</v>
      </c>
      <c r="M147" s="39">
        <v>18</v>
      </c>
      <c r="N147" s="40" t="s">
        <v>86</v>
      </c>
      <c r="O147" s="39"/>
      <c r="P147" s="39"/>
      <c r="Q147" s="39">
        <v>1</v>
      </c>
      <c r="R147" s="40" t="s">
        <v>95</v>
      </c>
      <c r="S147" s="39"/>
      <c r="T147" s="39"/>
      <c r="U147" s="39"/>
      <c r="V147" s="39"/>
      <c r="W147" s="39"/>
      <c r="X147" s="42" t="str">
        <f t="shared" si="77"/>
        <v>НПМбд</v>
      </c>
      <c r="Y147" s="43" t="s">
        <v>128</v>
      </c>
      <c r="Z147" s="39">
        <v>1</v>
      </c>
      <c r="AA147" s="39">
        <v>1</v>
      </c>
      <c r="AB147" s="42">
        <f t="shared" si="78"/>
        <v>24</v>
      </c>
      <c r="AC147" s="39">
        <v>21</v>
      </c>
      <c r="AD147" s="39">
        <v>3</v>
      </c>
      <c r="AE147" s="44">
        <f t="shared" si="79"/>
        <v>24</v>
      </c>
      <c r="AF147" s="45">
        <f t="shared" si="80"/>
        <v>1</v>
      </c>
      <c r="AG147" s="45">
        <f t="shared" si="81"/>
        <v>1</v>
      </c>
      <c r="AH147" s="46" t="s">
        <v>82</v>
      </c>
      <c r="AI147" s="40" t="s">
        <v>83</v>
      </c>
      <c r="AJ147" s="40" t="s">
        <v>84</v>
      </c>
      <c r="AK147" s="47" t="s">
        <v>97</v>
      </c>
      <c r="AL147" s="40"/>
      <c r="AM147" s="48">
        <f t="shared" si="82"/>
        <v>0</v>
      </c>
      <c r="AN147" s="48">
        <f t="shared" si="83"/>
        <v>18</v>
      </c>
      <c r="AO147" s="48">
        <f t="shared" si="84"/>
        <v>0</v>
      </c>
      <c r="AP147" s="48">
        <f t="shared" si="85"/>
        <v>7.92</v>
      </c>
      <c r="AQ147" s="48">
        <f t="shared" si="86"/>
        <v>12</v>
      </c>
      <c r="AR147" s="48">
        <f t="shared" si="87"/>
        <v>1</v>
      </c>
      <c r="AS147" s="48">
        <f t="shared" si="88"/>
        <v>0</v>
      </c>
      <c r="AT147" s="48">
        <f t="shared" si="89"/>
        <v>0</v>
      </c>
      <c r="AU147" s="48">
        <f t="shared" si="90"/>
        <v>0</v>
      </c>
      <c r="AV147" s="48">
        <f t="shared" si="91"/>
        <v>0</v>
      </c>
      <c r="AW147" s="48">
        <f>IF(N147="ПП",РПП*AB147*(V147/1.5),IF(N147="ВП",ВПр*AB147*(V147/1.5),IF(N147="РПА",РПА*AB147*(V147/1.5),IF(N147="КПА",кпа*AB147*(V147/1.5),0))))</f>
        <v>0</v>
      </c>
      <c r="AX147" s="48">
        <f t="shared" si="92"/>
        <v>0</v>
      </c>
      <c r="AY147" s="48">
        <f t="shared" si="93"/>
        <v>0</v>
      </c>
      <c r="AZ147" s="48">
        <f t="shared" si="94"/>
        <v>0</v>
      </c>
      <c r="BA147" s="48">
        <f t="shared" si="95"/>
        <v>0</v>
      </c>
      <c r="BB147" s="48">
        <f t="shared" si="96"/>
        <v>0</v>
      </c>
      <c r="BC147" s="48">
        <f t="shared" si="97"/>
        <v>0</v>
      </c>
      <c r="BD147" s="48">
        <f t="shared" si="98"/>
        <v>0</v>
      </c>
      <c r="BE147" s="48">
        <f t="shared" si="99"/>
        <v>0</v>
      </c>
      <c r="BF147" s="49">
        <f t="shared" si="100"/>
        <v>38.92</v>
      </c>
      <c r="BG147" s="50"/>
      <c r="BH147" s="51">
        <f t="shared" si="101"/>
        <v>0</v>
      </c>
      <c r="BI147" s="51">
        <f t="shared" si="102"/>
        <v>0</v>
      </c>
      <c r="BJ147" s="51">
        <f t="shared" si="103"/>
        <v>0</v>
      </c>
      <c r="BK147" s="52">
        <f t="shared" si="104"/>
        <v>18</v>
      </c>
      <c r="BL147" s="52">
        <f t="shared" si="105"/>
        <v>0.5</v>
      </c>
      <c r="BM147" s="52">
        <f t="shared" si="106"/>
        <v>20.92</v>
      </c>
    </row>
    <row r="148" spans="1:65" ht="30" customHeight="1" x14ac:dyDescent="0.25">
      <c r="A148" s="31" t="str">
        <f t="shared" si="72"/>
        <v>Д</v>
      </c>
      <c r="B148" s="31" t="str">
        <f t="shared" si="73"/>
        <v>Б</v>
      </c>
      <c r="C148" s="32" t="s">
        <v>182</v>
      </c>
      <c r="D148" s="33" t="str">
        <f t="shared" si="74"/>
        <v>Факультет физико-математических и естественных наук</v>
      </c>
      <c r="E148" s="34" t="str">
        <f t="shared" si="75"/>
        <v>'01.03.02</v>
      </c>
      <c r="F148" s="35" t="str">
        <f t="shared" si="76"/>
        <v>Прикладная математика и информатика</v>
      </c>
      <c r="G148" s="36" t="s">
        <v>76</v>
      </c>
      <c r="H148" s="36" t="s">
        <v>183</v>
      </c>
      <c r="I148" s="37"/>
      <c r="J148" s="37"/>
      <c r="K148" s="38" t="s">
        <v>184</v>
      </c>
      <c r="L148" s="39"/>
      <c r="M148" s="39"/>
      <c r="N148" s="40"/>
      <c r="O148" s="39"/>
      <c r="P148" s="39"/>
      <c r="Q148" s="39"/>
      <c r="R148" s="40"/>
      <c r="S148" s="39"/>
      <c r="T148" s="39"/>
      <c r="U148" s="39"/>
      <c r="V148" s="39"/>
      <c r="W148" s="39"/>
      <c r="X148" s="42" t="str">
        <f t="shared" si="77"/>
        <v>НПМбд</v>
      </c>
      <c r="Y148" s="43"/>
      <c r="Z148" s="39"/>
      <c r="AA148" s="39"/>
      <c r="AB148" s="42">
        <f t="shared" si="78"/>
        <v>0</v>
      </c>
      <c r="AC148" s="39"/>
      <c r="AD148" s="39"/>
      <c r="AE148" s="44">
        <f t="shared" si="79"/>
        <v>1</v>
      </c>
      <c r="AF148" s="45">
        <f t="shared" si="80"/>
        <v>0</v>
      </c>
      <c r="AG148" s="45">
        <f t="shared" si="81"/>
        <v>0</v>
      </c>
      <c r="AH148" s="46" t="s">
        <v>82</v>
      </c>
      <c r="AI148" s="40" t="s">
        <v>83</v>
      </c>
      <c r="AJ148" s="40" t="s">
        <v>84</v>
      </c>
      <c r="AK148" s="47" t="s">
        <v>97</v>
      </c>
      <c r="AL148" s="40"/>
      <c r="AM148" s="48">
        <f t="shared" si="82"/>
        <v>0</v>
      </c>
      <c r="AN148" s="48">
        <f t="shared" si="83"/>
        <v>0</v>
      </c>
      <c r="AO148" s="48">
        <f t="shared" si="84"/>
        <v>0</v>
      </c>
      <c r="AP148" s="48">
        <f t="shared" si="85"/>
        <v>0</v>
      </c>
      <c r="AQ148" s="48">
        <f t="shared" si="86"/>
        <v>0</v>
      </c>
      <c r="AR148" s="48">
        <f t="shared" si="87"/>
        <v>0</v>
      </c>
      <c r="AS148" s="48">
        <f t="shared" si="88"/>
        <v>0</v>
      </c>
      <c r="AT148" s="48">
        <f t="shared" si="89"/>
        <v>0</v>
      </c>
      <c r="AU148" s="48">
        <f t="shared" si="90"/>
        <v>0</v>
      </c>
      <c r="AV148" s="48">
        <f t="shared" si="91"/>
        <v>0</v>
      </c>
      <c r="AW148" s="48">
        <f>IF(N148="ПП",РПП*AB148*(V148/1.5),IF(N148="ВП",ВПр*AB148*(V148/1.5),IF(N148="РПА",РПА*AB148*(V148/1.5),IF(N148="КПА",кпа*AB148*(V148/1.5),0))))</f>
        <v>0</v>
      </c>
      <c r="AX148" s="48">
        <f t="shared" si="92"/>
        <v>0</v>
      </c>
      <c r="AY148" s="48">
        <f t="shared" si="93"/>
        <v>0</v>
      </c>
      <c r="AZ148" s="48">
        <f t="shared" si="94"/>
        <v>0</v>
      </c>
      <c r="BA148" s="48">
        <f t="shared" si="95"/>
        <v>0</v>
      </c>
      <c r="BB148" s="48">
        <f t="shared" si="96"/>
        <v>0</v>
      </c>
      <c r="BC148" s="48">
        <f t="shared" si="97"/>
        <v>0</v>
      </c>
      <c r="BD148" s="48">
        <f t="shared" si="98"/>
        <v>0</v>
      </c>
      <c r="BE148" s="48">
        <f t="shared" si="99"/>
        <v>0</v>
      </c>
      <c r="BF148" s="49">
        <f t="shared" si="100"/>
        <v>0</v>
      </c>
      <c r="BG148" s="50"/>
      <c r="BH148" s="51">
        <f t="shared" si="101"/>
        <v>0</v>
      </c>
      <c r="BI148" s="51">
        <f t="shared" si="102"/>
        <v>0</v>
      </c>
      <c r="BJ148" s="51">
        <f t="shared" si="103"/>
        <v>0</v>
      </c>
      <c r="BK148" s="52">
        <f t="shared" si="104"/>
        <v>0</v>
      </c>
      <c r="BL148" s="52">
        <f t="shared" si="105"/>
        <v>0</v>
      </c>
      <c r="BM148" s="52">
        <f t="shared" si="106"/>
        <v>0</v>
      </c>
    </row>
    <row r="149" spans="1:65" ht="30" customHeight="1" x14ac:dyDescent="0.25">
      <c r="A149" s="31" t="str">
        <f t="shared" si="72"/>
        <v>Д</v>
      </c>
      <c r="B149" s="31" t="str">
        <f t="shared" si="73"/>
        <v>Б</v>
      </c>
      <c r="C149" s="32" t="s">
        <v>182</v>
      </c>
      <c r="D149" s="33" t="str">
        <f t="shared" si="74"/>
        <v>Факультет физико-математических и естественных наук</v>
      </c>
      <c r="E149" s="34" t="str">
        <f t="shared" si="75"/>
        <v>'01.03.02</v>
      </c>
      <c r="F149" s="35" t="str">
        <f t="shared" si="76"/>
        <v>Прикладная математика и информатика</v>
      </c>
      <c r="G149" s="36" t="s">
        <v>76</v>
      </c>
      <c r="H149" s="36" t="s">
        <v>135</v>
      </c>
      <c r="I149" s="37"/>
      <c r="J149" s="37" t="s">
        <v>154</v>
      </c>
      <c r="K149" s="38" t="s">
        <v>185</v>
      </c>
      <c r="L149" s="39">
        <v>7</v>
      </c>
      <c r="M149" s="39">
        <v>17</v>
      </c>
      <c r="N149" s="40" t="s">
        <v>79</v>
      </c>
      <c r="O149" s="39">
        <v>2</v>
      </c>
      <c r="P149" s="39"/>
      <c r="Q149" s="39"/>
      <c r="R149" s="40"/>
      <c r="S149" s="41"/>
      <c r="T149" s="41"/>
      <c r="U149" s="41"/>
      <c r="V149" s="41"/>
      <c r="W149" s="41"/>
      <c r="X149" s="42" t="str">
        <f t="shared" si="77"/>
        <v>НПМбд</v>
      </c>
      <c r="Y149" s="43" t="s">
        <v>161</v>
      </c>
      <c r="Z149" s="39">
        <v>2</v>
      </c>
      <c r="AA149" s="39">
        <v>1</v>
      </c>
      <c r="AB149" s="42">
        <f t="shared" si="78"/>
        <v>14</v>
      </c>
      <c r="AC149" s="39">
        <v>13</v>
      </c>
      <c r="AD149" s="39">
        <v>1</v>
      </c>
      <c r="AE149" s="44">
        <f t="shared" si="79"/>
        <v>14</v>
      </c>
      <c r="AF149" s="45">
        <f t="shared" si="80"/>
        <v>1</v>
      </c>
      <c r="AG149" s="45">
        <f t="shared" si="81"/>
        <v>1</v>
      </c>
      <c r="AH149" s="46" t="s">
        <v>82</v>
      </c>
      <c r="AI149" s="40" t="s">
        <v>99</v>
      </c>
      <c r="AJ149" s="40" t="s">
        <v>84</v>
      </c>
      <c r="AK149" s="47" t="s">
        <v>134</v>
      </c>
      <c r="AL149" s="40"/>
      <c r="AM149" s="48">
        <f t="shared" si="82"/>
        <v>34</v>
      </c>
      <c r="AN149" s="48">
        <f t="shared" si="83"/>
        <v>0</v>
      </c>
      <c r="AO149" s="48">
        <f t="shared" si="84"/>
        <v>0</v>
      </c>
      <c r="AP149" s="48">
        <f t="shared" si="85"/>
        <v>0</v>
      </c>
      <c r="AQ149" s="48">
        <f t="shared" si="86"/>
        <v>0</v>
      </c>
      <c r="AR149" s="48">
        <f t="shared" si="87"/>
        <v>0</v>
      </c>
      <c r="AS149" s="48">
        <f t="shared" si="88"/>
        <v>1.7000000000000002</v>
      </c>
      <c r="AT149" s="48">
        <f t="shared" si="89"/>
        <v>0</v>
      </c>
      <c r="AU149" s="48">
        <f t="shared" si="90"/>
        <v>0</v>
      </c>
      <c r="AV149" s="48">
        <f t="shared" si="91"/>
        <v>0</v>
      </c>
      <c r="AW149" s="48">
        <f>IF(N149="ПП",РПП*AB149*(V149/1.5),IF(N149="ВП",ВПр*AB149*(V149/1.5),IF(N149="РПА",РПА*AB149*(V149/1.5),IF(N149="КПА",кпа*AB149*(V149/1.5),0))))</f>
        <v>0</v>
      </c>
      <c r="AX149" s="48">
        <f t="shared" si="92"/>
        <v>0</v>
      </c>
      <c r="AY149" s="48">
        <f t="shared" si="93"/>
        <v>0</v>
      </c>
      <c r="AZ149" s="48">
        <f t="shared" si="94"/>
        <v>0</v>
      </c>
      <c r="BA149" s="48">
        <f t="shared" si="95"/>
        <v>0</v>
      </c>
      <c r="BB149" s="48">
        <f t="shared" si="96"/>
        <v>0</v>
      </c>
      <c r="BC149" s="48">
        <f t="shared" si="97"/>
        <v>0</v>
      </c>
      <c r="BD149" s="48">
        <f t="shared" si="98"/>
        <v>0</v>
      </c>
      <c r="BE149" s="48">
        <f t="shared" si="99"/>
        <v>0</v>
      </c>
      <c r="BF149" s="49">
        <f t="shared" si="100"/>
        <v>35.700000000000003</v>
      </c>
      <c r="BG149" s="50"/>
      <c r="BH149" s="51">
        <f t="shared" si="101"/>
        <v>34</v>
      </c>
      <c r="BI149" s="51">
        <f t="shared" si="102"/>
        <v>1</v>
      </c>
      <c r="BJ149" s="51">
        <f t="shared" si="103"/>
        <v>1.7000000000000002</v>
      </c>
      <c r="BK149" s="52">
        <f t="shared" si="104"/>
        <v>0</v>
      </c>
      <c r="BL149" s="52">
        <f t="shared" si="105"/>
        <v>0</v>
      </c>
      <c r="BM149" s="52">
        <f t="shared" si="106"/>
        <v>0</v>
      </c>
    </row>
    <row r="150" spans="1:65" ht="30" customHeight="1" x14ac:dyDescent="0.25">
      <c r="A150" s="31" t="str">
        <f t="shared" si="72"/>
        <v>Д</v>
      </c>
      <c r="B150" s="31" t="str">
        <f t="shared" si="73"/>
        <v>Б</v>
      </c>
      <c r="C150" s="32" t="s">
        <v>182</v>
      </c>
      <c r="D150" s="33" t="str">
        <f t="shared" si="74"/>
        <v>Факультет физико-математических и естественных наук</v>
      </c>
      <c r="E150" s="34" t="str">
        <f t="shared" si="75"/>
        <v>'01.03.02</v>
      </c>
      <c r="F150" s="35" t="str">
        <f t="shared" si="76"/>
        <v>Прикладная математика и информатика</v>
      </c>
      <c r="G150" s="36" t="s">
        <v>76</v>
      </c>
      <c r="H150" s="36" t="s">
        <v>135</v>
      </c>
      <c r="I150" s="37"/>
      <c r="J150" s="37" t="s">
        <v>154</v>
      </c>
      <c r="K150" s="38" t="s">
        <v>185</v>
      </c>
      <c r="L150" s="39">
        <v>7</v>
      </c>
      <c r="M150" s="39">
        <v>17</v>
      </c>
      <c r="N150" s="40" t="s">
        <v>86</v>
      </c>
      <c r="O150" s="39"/>
      <c r="P150" s="39"/>
      <c r="Q150" s="39">
        <v>2</v>
      </c>
      <c r="R150" s="40" t="s">
        <v>95</v>
      </c>
      <c r="S150" s="41"/>
      <c r="T150" s="41"/>
      <c r="U150" s="41"/>
      <c r="V150" s="41"/>
      <c r="W150" s="41"/>
      <c r="X150" s="42" t="str">
        <f t="shared" si="77"/>
        <v>НПМбд</v>
      </c>
      <c r="Y150" s="43" t="s">
        <v>161</v>
      </c>
      <c r="Z150" s="39">
        <v>1</v>
      </c>
      <c r="AA150" s="39">
        <v>1</v>
      </c>
      <c r="AB150" s="42">
        <f t="shared" si="78"/>
        <v>14</v>
      </c>
      <c r="AC150" s="39">
        <v>13</v>
      </c>
      <c r="AD150" s="39">
        <v>1</v>
      </c>
      <c r="AE150" s="44">
        <f t="shared" si="79"/>
        <v>24</v>
      </c>
      <c r="AF150" s="45">
        <f t="shared" si="80"/>
        <v>0.58333333333333337</v>
      </c>
      <c r="AG150" s="45">
        <f t="shared" si="81"/>
        <v>0.58333333333333337</v>
      </c>
      <c r="AH150" s="46" t="s">
        <v>82</v>
      </c>
      <c r="AI150" s="40" t="s">
        <v>99</v>
      </c>
      <c r="AJ150" s="40" t="s">
        <v>84</v>
      </c>
      <c r="AK150" s="47" t="s">
        <v>134</v>
      </c>
      <c r="AL150" s="40"/>
      <c r="AM150" s="48">
        <f t="shared" si="82"/>
        <v>0</v>
      </c>
      <c r="AN150" s="48">
        <f t="shared" si="83"/>
        <v>19.833333333333336</v>
      </c>
      <c r="AO150" s="48">
        <f t="shared" si="84"/>
        <v>0</v>
      </c>
      <c r="AP150" s="48">
        <f t="shared" si="85"/>
        <v>4.62</v>
      </c>
      <c r="AQ150" s="48">
        <f t="shared" si="86"/>
        <v>7</v>
      </c>
      <c r="AR150" s="48">
        <f t="shared" si="87"/>
        <v>0.58333333333333337</v>
      </c>
      <c r="AS150" s="48">
        <f t="shared" si="88"/>
        <v>0</v>
      </c>
      <c r="AT150" s="48">
        <f t="shared" si="89"/>
        <v>0</v>
      </c>
      <c r="AU150" s="48">
        <f t="shared" si="90"/>
        <v>0</v>
      </c>
      <c r="AV150" s="48">
        <f t="shared" si="91"/>
        <v>0</v>
      </c>
      <c r="AW150" s="48">
        <f>IF(N150="ПП",РПП*AB150*(V150/1.5),IF(N150="ВП",ВПр*AB150*(V150/1.5),IF(N150="РПА",РПА*AB150*(V150/1.5),IF(N150="КПА",кпа*AB150*(V150/1.5),0))))</f>
        <v>0</v>
      </c>
      <c r="AX150" s="48">
        <f t="shared" si="92"/>
        <v>0</v>
      </c>
      <c r="AY150" s="48">
        <f t="shared" si="93"/>
        <v>0</v>
      </c>
      <c r="AZ150" s="48">
        <f t="shared" si="94"/>
        <v>0</v>
      </c>
      <c r="BA150" s="48">
        <f t="shared" si="95"/>
        <v>0</v>
      </c>
      <c r="BB150" s="48">
        <f t="shared" si="96"/>
        <v>0</v>
      </c>
      <c r="BC150" s="48">
        <f t="shared" si="97"/>
        <v>0</v>
      </c>
      <c r="BD150" s="48">
        <f t="shared" si="98"/>
        <v>0</v>
      </c>
      <c r="BE150" s="48">
        <f t="shared" si="99"/>
        <v>0</v>
      </c>
      <c r="BF150" s="49">
        <f t="shared" si="100"/>
        <v>32.036666666666669</v>
      </c>
      <c r="BG150" s="50"/>
      <c r="BH150" s="51">
        <f t="shared" si="101"/>
        <v>19.833333333333336</v>
      </c>
      <c r="BI150" s="51">
        <f t="shared" si="102"/>
        <v>1</v>
      </c>
      <c r="BJ150" s="51">
        <f t="shared" si="103"/>
        <v>12.203333333333335</v>
      </c>
      <c r="BK150" s="52">
        <f t="shared" si="104"/>
        <v>0</v>
      </c>
      <c r="BL150" s="52">
        <f t="shared" si="105"/>
        <v>0</v>
      </c>
      <c r="BM150" s="52">
        <f t="shared" si="106"/>
        <v>0</v>
      </c>
    </row>
    <row r="151" spans="1:65" ht="30" customHeight="1" x14ac:dyDescent="0.25">
      <c r="A151" s="31" t="str">
        <f t="shared" si="72"/>
        <v>Д</v>
      </c>
      <c r="B151" s="31" t="str">
        <f t="shared" si="73"/>
        <v>Б</v>
      </c>
      <c r="C151" s="32" t="s">
        <v>186</v>
      </c>
      <c r="D151" s="33" t="str">
        <f t="shared" si="74"/>
        <v>Факультет физико-математических и естественных наук</v>
      </c>
      <c r="E151" s="34" t="str">
        <f t="shared" si="75"/>
        <v>'02.03.00</v>
      </c>
      <c r="F151" s="35" t="str">
        <f t="shared" si="76"/>
        <v>Компьютерные и информационные науки (УГСН)</v>
      </c>
      <c r="G151" s="36" t="s">
        <v>76</v>
      </c>
      <c r="H151" s="36" t="s">
        <v>77</v>
      </c>
      <c r="I151" s="37"/>
      <c r="J151" s="37"/>
      <c r="K151" s="38" t="s">
        <v>78</v>
      </c>
      <c r="L151" s="39">
        <v>1</v>
      </c>
      <c r="M151" s="39">
        <v>18</v>
      </c>
      <c r="N151" s="40" t="s">
        <v>79</v>
      </c>
      <c r="O151" s="39">
        <v>2</v>
      </c>
      <c r="P151" s="39"/>
      <c r="Q151" s="39"/>
      <c r="R151" s="40" t="s">
        <v>80</v>
      </c>
      <c r="S151" s="41"/>
      <c r="T151" s="41"/>
      <c r="U151" s="41"/>
      <c r="V151" s="41"/>
      <c r="W151" s="41"/>
      <c r="X151" s="42" t="str">
        <f t="shared" si="77"/>
        <v>НКАбд</v>
      </c>
      <c r="Y151" s="39" t="s">
        <v>187</v>
      </c>
      <c r="Z151" s="39">
        <v>14</v>
      </c>
      <c r="AA151" s="39">
        <v>7</v>
      </c>
      <c r="AB151" s="42">
        <f t="shared" si="78"/>
        <v>179</v>
      </c>
      <c r="AC151" s="39">
        <v>115</v>
      </c>
      <c r="AD151" s="39">
        <v>64</v>
      </c>
      <c r="AE151" s="44">
        <f t="shared" si="79"/>
        <v>179</v>
      </c>
      <c r="AF151" s="45">
        <f t="shared" si="80"/>
        <v>1</v>
      </c>
      <c r="AG151" s="45">
        <f t="shared" si="81"/>
        <v>1</v>
      </c>
      <c r="AH151" s="46" t="s">
        <v>82</v>
      </c>
      <c r="AI151" s="40" t="s">
        <v>83</v>
      </c>
      <c r="AJ151" s="40" t="s">
        <v>84</v>
      </c>
      <c r="AK151" s="47" t="s">
        <v>85</v>
      </c>
      <c r="AL151" s="40"/>
      <c r="AM151" s="48">
        <f t="shared" si="82"/>
        <v>36</v>
      </c>
      <c r="AN151" s="48">
        <f t="shared" si="83"/>
        <v>0</v>
      </c>
      <c r="AO151" s="48">
        <f t="shared" si="84"/>
        <v>0</v>
      </c>
      <c r="AP151" s="48">
        <f t="shared" si="85"/>
        <v>59.07</v>
      </c>
      <c r="AQ151" s="48">
        <f t="shared" si="86"/>
        <v>89.5</v>
      </c>
      <c r="AR151" s="48">
        <f t="shared" si="87"/>
        <v>7</v>
      </c>
      <c r="AS151" s="48">
        <f t="shared" si="88"/>
        <v>12.6</v>
      </c>
      <c r="AT151" s="48">
        <f t="shared" si="89"/>
        <v>0</v>
      </c>
      <c r="AU151" s="48">
        <f t="shared" si="90"/>
        <v>0</v>
      </c>
      <c r="AV151" s="48">
        <f t="shared" si="91"/>
        <v>0</v>
      </c>
      <c r="AW151" s="48">
        <f>IF(N151="ПП",РПП*AB151*(V151/1.5),IF(N151="ВП",ВПр*AB151*(V151/1.5),IF(N151="РПА",РПА*AB151*(V151/1.5),IF(N151="КПА",кпа*AB151*(V151/1.5),0))))</f>
        <v>0</v>
      </c>
      <c r="AX151" s="48">
        <f t="shared" si="92"/>
        <v>0</v>
      </c>
      <c r="AY151" s="48">
        <f t="shared" si="93"/>
        <v>0</v>
      </c>
      <c r="AZ151" s="48">
        <f t="shared" si="94"/>
        <v>0</v>
      </c>
      <c r="BA151" s="48">
        <f t="shared" si="95"/>
        <v>0</v>
      </c>
      <c r="BB151" s="48">
        <f t="shared" si="96"/>
        <v>0</v>
      </c>
      <c r="BC151" s="48">
        <f t="shared" si="97"/>
        <v>0</v>
      </c>
      <c r="BD151" s="48">
        <f t="shared" si="98"/>
        <v>0</v>
      </c>
      <c r="BE151" s="48">
        <f t="shared" si="99"/>
        <v>0</v>
      </c>
      <c r="BF151" s="49">
        <f t="shared" si="100"/>
        <v>204.17</v>
      </c>
      <c r="BG151" s="50"/>
      <c r="BH151" s="51">
        <f t="shared" si="101"/>
        <v>36</v>
      </c>
      <c r="BI151" s="51">
        <f t="shared" si="102"/>
        <v>1</v>
      </c>
      <c r="BJ151" s="51">
        <f t="shared" si="103"/>
        <v>168.17</v>
      </c>
      <c r="BK151" s="52">
        <f t="shared" si="104"/>
        <v>0</v>
      </c>
      <c r="BL151" s="52">
        <f t="shared" si="105"/>
        <v>0</v>
      </c>
      <c r="BM151" s="52">
        <f t="shared" si="106"/>
        <v>0</v>
      </c>
    </row>
    <row r="152" spans="1:65" ht="30" customHeight="1" x14ac:dyDescent="0.25">
      <c r="A152" s="31" t="str">
        <f t="shared" si="72"/>
        <v>Д</v>
      </c>
      <c r="B152" s="31" t="str">
        <f t="shared" si="73"/>
        <v>Б</v>
      </c>
      <c r="C152" s="32" t="s">
        <v>186</v>
      </c>
      <c r="D152" s="33" t="str">
        <f t="shared" si="74"/>
        <v>Факультет физико-математических и естественных наук</v>
      </c>
      <c r="E152" s="34" t="str">
        <f t="shared" si="75"/>
        <v>'02.03.00</v>
      </c>
      <c r="F152" s="35" t="str">
        <f t="shared" si="76"/>
        <v>Компьютерные и информационные науки (УГСН)</v>
      </c>
      <c r="G152" s="36" t="s">
        <v>76</v>
      </c>
      <c r="H152" s="36" t="s">
        <v>77</v>
      </c>
      <c r="I152" s="37"/>
      <c r="J152" s="37"/>
      <c r="K152" s="38" t="s">
        <v>78</v>
      </c>
      <c r="L152" s="39">
        <v>1</v>
      </c>
      <c r="M152" s="39">
        <v>18</v>
      </c>
      <c r="N152" s="40" t="s">
        <v>86</v>
      </c>
      <c r="O152" s="39"/>
      <c r="P152" s="39"/>
      <c r="Q152" s="39">
        <v>2</v>
      </c>
      <c r="R152" s="40"/>
      <c r="S152" s="41"/>
      <c r="T152" s="41"/>
      <c r="U152" s="41"/>
      <c r="V152" s="41"/>
      <c r="W152" s="41"/>
      <c r="X152" s="42" t="str">
        <f t="shared" si="77"/>
        <v>НКАбд</v>
      </c>
      <c r="Y152" s="39" t="s">
        <v>87</v>
      </c>
      <c r="Z152" s="39">
        <v>2</v>
      </c>
      <c r="AA152" s="39">
        <v>1</v>
      </c>
      <c r="AB152" s="42">
        <f t="shared" si="78"/>
        <v>26</v>
      </c>
      <c r="AC152" s="39">
        <v>17</v>
      </c>
      <c r="AD152" s="39">
        <v>9</v>
      </c>
      <c r="AE152" s="44">
        <f t="shared" si="79"/>
        <v>24</v>
      </c>
      <c r="AF152" s="45">
        <f t="shared" si="80"/>
        <v>1</v>
      </c>
      <c r="AG152" s="45">
        <f t="shared" si="81"/>
        <v>1.0833333333333333</v>
      </c>
      <c r="AH152" s="46" t="s">
        <v>82</v>
      </c>
      <c r="AI152" s="40" t="s">
        <v>83</v>
      </c>
      <c r="AJ152" s="40" t="s">
        <v>84</v>
      </c>
      <c r="AK152" s="47" t="s">
        <v>85</v>
      </c>
      <c r="AL152" s="40"/>
      <c r="AM152" s="48">
        <f t="shared" si="82"/>
        <v>0</v>
      </c>
      <c r="AN152" s="48">
        <f t="shared" si="83"/>
        <v>36</v>
      </c>
      <c r="AO152" s="48">
        <f t="shared" si="84"/>
        <v>0</v>
      </c>
      <c r="AP152" s="48">
        <f t="shared" si="85"/>
        <v>0</v>
      </c>
      <c r="AQ152" s="48">
        <f t="shared" si="86"/>
        <v>0</v>
      </c>
      <c r="AR152" s="48">
        <f t="shared" si="87"/>
        <v>0</v>
      </c>
      <c r="AS152" s="48">
        <f t="shared" si="88"/>
        <v>0</v>
      </c>
      <c r="AT152" s="48">
        <f t="shared" si="89"/>
        <v>0</v>
      </c>
      <c r="AU152" s="48">
        <f t="shared" si="90"/>
        <v>0</v>
      </c>
      <c r="AV152" s="48">
        <f t="shared" si="91"/>
        <v>0</v>
      </c>
      <c r="AW152" s="48">
        <f>IF(N152="ПП",РПП*AB152*(V152/1.5),IF(N152="ВП",ВПр*AB152*(V152/1.5),IF(N152="РПА",РПА*AB152*(V152/1.5),IF(N152="КПА",кпа*AB152*(V152/1.5),0))))</f>
        <v>0</v>
      </c>
      <c r="AX152" s="48">
        <f t="shared" si="92"/>
        <v>0</v>
      </c>
      <c r="AY152" s="48">
        <f t="shared" si="93"/>
        <v>0</v>
      </c>
      <c r="AZ152" s="48">
        <f t="shared" si="94"/>
        <v>0</v>
      </c>
      <c r="BA152" s="48">
        <f t="shared" si="95"/>
        <v>0</v>
      </c>
      <c r="BB152" s="48">
        <f t="shared" si="96"/>
        <v>0</v>
      </c>
      <c r="BC152" s="48">
        <f t="shared" si="97"/>
        <v>0</v>
      </c>
      <c r="BD152" s="48">
        <f t="shared" si="98"/>
        <v>0</v>
      </c>
      <c r="BE152" s="48">
        <f t="shared" si="99"/>
        <v>0</v>
      </c>
      <c r="BF152" s="49">
        <f t="shared" si="100"/>
        <v>36</v>
      </c>
      <c r="BG152" s="50"/>
      <c r="BH152" s="51">
        <f t="shared" si="101"/>
        <v>36</v>
      </c>
      <c r="BI152" s="51">
        <f t="shared" si="102"/>
        <v>1</v>
      </c>
      <c r="BJ152" s="51">
        <f t="shared" si="103"/>
        <v>0</v>
      </c>
      <c r="BK152" s="52">
        <f t="shared" si="104"/>
        <v>0</v>
      </c>
      <c r="BL152" s="52">
        <f t="shared" si="105"/>
        <v>0</v>
      </c>
      <c r="BM152" s="52">
        <f t="shared" si="106"/>
        <v>0</v>
      </c>
    </row>
    <row r="153" spans="1:65" ht="30" customHeight="1" x14ac:dyDescent="0.25">
      <c r="A153" s="31" t="str">
        <f t="shared" si="72"/>
        <v>Д</v>
      </c>
      <c r="B153" s="31" t="str">
        <f t="shared" si="73"/>
        <v>Б</v>
      </c>
      <c r="C153" s="32" t="s">
        <v>186</v>
      </c>
      <c r="D153" s="33" t="str">
        <f t="shared" si="74"/>
        <v>Факультет физико-математических и естественных наук</v>
      </c>
      <c r="E153" s="34" t="str">
        <f t="shared" si="75"/>
        <v>'02.03.00</v>
      </c>
      <c r="F153" s="35" t="str">
        <f t="shared" si="76"/>
        <v>Компьютерные и информационные науки (УГСН)</v>
      </c>
      <c r="G153" s="36" t="s">
        <v>76</v>
      </c>
      <c r="H153" s="36" t="s">
        <v>77</v>
      </c>
      <c r="I153" s="37"/>
      <c r="J153" s="37"/>
      <c r="K153" s="38" t="s">
        <v>78</v>
      </c>
      <c r="L153" s="39">
        <v>1</v>
      </c>
      <c r="M153" s="39">
        <v>18</v>
      </c>
      <c r="N153" s="40" t="s">
        <v>86</v>
      </c>
      <c r="O153" s="39"/>
      <c r="P153" s="39"/>
      <c r="Q153" s="39">
        <v>2</v>
      </c>
      <c r="R153" s="40"/>
      <c r="S153" s="41"/>
      <c r="T153" s="41"/>
      <c r="U153" s="41"/>
      <c r="V153" s="41"/>
      <c r="W153" s="41"/>
      <c r="X153" s="42" t="str">
        <f t="shared" si="77"/>
        <v>НКАбд</v>
      </c>
      <c r="Y153" s="39" t="s">
        <v>88</v>
      </c>
      <c r="Z153" s="39">
        <v>2</v>
      </c>
      <c r="AA153" s="39">
        <v>1</v>
      </c>
      <c r="AB153" s="42">
        <f t="shared" si="78"/>
        <v>26</v>
      </c>
      <c r="AC153" s="39">
        <v>17</v>
      </c>
      <c r="AD153" s="39">
        <v>9</v>
      </c>
      <c r="AE153" s="44">
        <f t="shared" si="79"/>
        <v>24</v>
      </c>
      <c r="AF153" s="45">
        <f t="shared" si="80"/>
        <v>1</v>
      </c>
      <c r="AG153" s="45">
        <f t="shared" si="81"/>
        <v>1.0833333333333333</v>
      </c>
      <c r="AH153" s="46" t="s">
        <v>82</v>
      </c>
      <c r="AI153" s="40" t="s">
        <v>83</v>
      </c>
      <c r="AJ153" s="40" t="s">
        <v>84</v>
      </c>
      <c r="AK153" s="47" t="s">
        <v>85</v>
      </c>
      <c r="AL153" s="40"/>
      <c r="AM153" s="48">
        <f t="shared" si="82"/>
        <v>0</v>
      </c>
      <c r="AN153" s="48">
        <f t="shared" si="83"/>
        <v>36</v>
      </c>
      <c r="AO153" s="48">
        <f t="shared" si="84"/>
        <v>0</v>
      </c>
      <c r="AP153" s="48">
        <f t="shared" si="85"/>
        <v>0</v>
      </c>
      <c r="AQ153" s="48">
        <f t="shared" si="86"/>
        <v>0</v>
      </c>
      <c r="AR153" s="48">
        <f t="shared" si="87"/>
        <v>0</v>
      </c>
      <c r="AS153" s="48">
        <f t="shared" si="88"/>
        <v>0</v>
      </c>
      <c r="AT153" s="48">
        <f t="shared" si="89"/>
        <v>0</v>
      </c>
      <c r="AU153" s="48">
        <f t="shared" si="90"/>
        <v>0</v>
      </c>
      <c r="AV153" s="48">
        <f t="shared" si="91"/>
        <v>0</v>
      </c>
      <c r="AW153" s="48">
        <f>IF(N153="ПП",РПП*AB153*(V153/1.5),IF(N153="ВП",ВПр*AB153*(V153/1.5),IF(N153="РПА",РПА*AB153*(V153/1.5),IF(N153="КПА",кпа*AB153*(V153/1.5),0))))</f>
        <v>0</v>
      </c>
      <c r="AX153" s="48">
        <f t="shared" si="92"/>
        <v>0</v>
      </c>
      <c r="AY153" s="48">
        <f t="shared" si="93"/>
        <v>0</v>
      </c>
      <c r="AZ153" s="48">
        <f t="shared" si="94"/>
        <v>0</v>
      </c>
      <c r="BA153" s="48">
        <f t="shared" si="95"/>
        <v>0</v>
      </c>
      <c r="BB153" s="48">
        <f t="shared" si="96"/>
        <v>0</v>
      </c>
      <c r="BC153" s="48">
        <f t="shared" si="97"/>
        <v>0</v>
      </c>
      <c r="BD153" s="48">
        <f t="shared" si="98"/>
        <v>0</v>
      </c>
      <c r="BE153" s="48">
        <f t="shared" si="99"/>
        <v>0</v>
      </c>
      <c r="BF153" s="49">
        <f t="shared" si="100"/>
        <v>36</v>
      </c>
      <c r="BG153" s="50"/>
      <c r="BH153" s="51">
        <f t="shared" si="101"/>
        <v>36</v>
      </c>
      <c r="BI153" s="51">
        <f t="shared" si="102"/>
        <v>1</v>
      </c>
      <c r="BJ153" s="51">
        <f t="shared" si="103"/>
        <v>0</v>
      </c>
      <c r="BK153" s="52">
        <f t="shared" si="104"/>
        <v>0</v>
      </c>
      <c r="BL153" s="52">
        <f t="shared" si="105"/>
        <v>0</v>
      </c>
      <c r="BM153" s="52">
        <f t="shared" si="106"/>
        <v>0</v>
      </c>
    </row>
    <row r="154" spans="1:65" ht="30" customHeight="1" x14ac:dyDescent="0.25">
      <c r="A154" s="31" t="str">
        <f t="shared" si="72"/>
        <v>Д</v>
      </c>
      <c r="B154" s="31" t="str">
        <f t="shared" si="73"/>
        <v>Б</v>
      </c>
      <c r="C154" s="32" t="s">
        <v>186</v>
      </c>
      <c r="D154" s="33" t="str">
        <f t="shared" si="74"/>
        <v>Факультет физико-математических и естественных наук</v>
      </c>
      <c r="E154" s="34" t="str">
        <f t="shared" si="75"/>
        <v>'02.03.00</v>
      </c>
      <c r="F154" s="35" t="str">
        <f t="shared" si="76"/>
        <v>Компьютерные и информационные науки (УГСН)</v>
      </c>
      <c r="G154" s="36" t="s">
        <v>76</v>
      </c>
      <c r="H154" s="36" t="s">
        <v>77</v>
      </c>
      <c r="I154" s="37"/>
      <c r="J154" s="37"/>
      <c r="K154" s="38" t="s">
        <v>78</v>
      </c>
      <c r="L154" s="39">
        <v>1</v>
      </c>
      <c r="M154" s="39">
        <v>18</v>
      </c>
      <c r="N154" s="40" t="s">
        <v>86</v>
      </c>
      <c r="O154" s="39"/>
      <c r="P154" s="39"/>
      <c r="Q154" s="39">
        <v>2</v>
      </c>
      <c r="R154" s="40"/>
      <c r="S154" s="41"/>
      <c r="T154" s="41"/>
      <c r="U154" s="41"/>
      <c r="V154" s="41"/>
      <c r="W154" s="41"/>
      <c r="X154" s="42" t="str">
        <f t="shared" si="77"/>
        <v>НКАбд</v>
      </c>
      <c r="Y154" s="39" t="s">
        <v>89</v>
      </c>
      <c r="Z154" s="39">
        <v>2</v>
      </c>
      <c r="AA154" s="39">
        <v>1</v>
      </c>
      <c r="AB154" s="42">
        <f t="shared" si="78"/>
        <v>26</v>
      </c>
      <c r="AC154" s="39">
        <v>17</v>
      </c>
      <c r="AD154" s="39">
        <v>9</v>
      </c>
      <c r="AE154" s="44">
        <f t="shared" si="79"/>
        <v>24</v>
      </c>
      <c r="AF154" s="45">
        <f t="shared" si="80"/>
        <v>1</v>
      </c>
      <c r="AG154" s="45">
        <f t="shared" si="81"/>
        <v>1.0833333333333333</v>
      </c>
      <c r="AH154" s="46" t="s">
        <v>82</v>
      </c>
      <c r="AI154" s="40" t="s">
        <v>83</v>
      </c>
      <c r="AJ154" s="40" t="s">
        <v>84</v>
      </c>
      <c r="AK154" s="47" t="s">
        <v>85</v>
      </c>
      <c r="AL154" s="40"/>
      <c r="AM154" s="48">
        <f t="shared" si="82"/>
        <v>0</v>
      </c>
      <c r="AN154" s="48">
        <f t="shared" si="83"/>
        <v>36</v>
      </c>
      <c r="AO154" s="48">
        <f t="shared" si="84"/>
        <v>0</v>
      </c>
      <c r="AP154" s="48">
        <f t="shared" si="85"/>
        <v>0</v>
      </c>
      <c r="AQ154" s="48">
        <f t="shared" si="86"/>
        <v>0</v>
      </c>
      <c r="AR154" s="48">
        <f t="shared" si="87"/>
        <v>0</v>
      </c>
      <c r="AS154" s="48">
        <f t="shared" si="88"/>
        <v>0</v>
      </c>
      <c r="AT154" s="48">
        <f t="shared" si="89"/>
        <v>0</v>
      </c>
      <c r="AU154" s="48">
        <f t="shared" si="90"/>
        <v>0</v>
      </c>
      <c r="AV154" s="48">
        <f t="shared" si="91"/>
        <v>0</v>
      </c>
      <c r="AW154" s="48">
        <f>IF(N154="ПП",РПП*AB154*(V154/1.5),IF(N154="ВП",ВПр*AB154*(V154/1.5),IF(N154="РПА",РПА*AB154*(V154/1.5),IF(N154="КПА",кпа*AB154*(V154/1.5),0))))</f>
        <v>0</v>
      </c>
      <c r="AX154" s="48">
        <f t="shared" si="92"/>
        <v>0</v>
      </c>
      <c r="AY154" s="48">
        <f t="shared" si="93"/>
        <v>0</v>
      </c>
      <c r="AZ154" s="48">
        <f t="shared" si="94"/>
        <v>0</v>
      </c>
      <c r="BA154" s="48">
        <f t="shared" si="95"/>
        <v>0</v>
      </c>
      <c r="BB154" s="48">
        <f t="shared" si="96"/>
        <v>0</v>
      </c>
      <c r="BC154" s="48">
        <f t="shared" si="97"/>
        <v>0</v>
      </c>
      <c r="BD154" s="48">
        <f t="shared" si="98"/>
        <v>0</v>
      </c>
      <c r="BE154" s="48">
        <f t="shared" si="99"/>
        <v>0</v>
      </c>
      <c r="BF154" s="49">
        <f t="shared" si="100"/>
        <v>36</v>
      </c>
      <c r="BG154" s="50"/>
      <c r="BH154" s="51">
        <f t="shared" si="101"/>
        <v>36</v>
      </c>
      <c r="BI154" s="51">
        <f t="shared" si="102"/>
        <v>1</v>
      </c>
      <c r="BJ154" s="51">
        <f t="shared" si="103"/>
        <v>0</v>
      </c>
      <c r="BK154" s="52">
        <f t="shared" si="104"/>
        <v>0</v>
      </c>
      <c r="BL154" s="52">
        <f t="shared" si="105"/>
        <v>0</v>
      </c>
      <c r="BM154" s="52">
        <f t="shared" si="106"/>
        <v>0</v>
      </c>
    </row>
    <row r="155" spans="1:65" ht="30" customHeight="1" x14ac:dyDescent="0.25">
      <c r="A155" s="31" t="str">
        <f t="shared" si="72"/>
        <v>Д</v>
      </c>
      <c r="B155" s="31" t="str">
        <f t="shared" si="73"/>
        <v>Б</v>
      </c>
      <c r="C155" s="32" t="s">
        <v>186</v>
      </c>
      <c r="D155" s="33" t="str">
        <f t="shared" si="74"/>
        <v>Факультет физико-математических и естественных наук</v>
      </c>
      <c r="E155" s="34" t="str">
        <f t="shared" si="75"/>
        <v>'02.03.00</v>
      </c>
      <c r="F155" s="35" t="str">
        <f t="shared" si="76"/>
        <v>Компьютерные и информационные науки (УГСН)</v>
      </c>
      <c r="G155" s="36" t="s">
        <v>76</v>
      </c>
      <c r="H155" s="36" t="s">
        <v>77</v>
      </c>
      <c r="I155" s="37"/>
      <c r="J155" s="37"/>
      <c r="K155" s="38" t="s">
        <v>78</v>
      </c>
      <c r="L155" s="39">
        <v>1</v>
      </c>
      <c r="M155" s="39">
        <v>18</v>
      </c>
      <c r="N155" s="40" t="s">
        <v>86</v>
      </c>
      <c r="O155" s="39"/>
      <c r="P155" s="39"/>
      <c r="Q155" s="39">
        <v>2</v>
      </c>
      <c r="R155" s="40"/>
      <c r="S155" s="41"/>
      <c r="T155" s="41"/>
      <c r="U155" s="41"/>
      <c r="V155" s="41"/>
      <c r="W155" s="41"/>
      <c r="X155" s="42" t="str">
        <f t="shared" si="77"/>
        <v>НКАбд</v>
      </c>
      <c r="Y155" s="39" t="s">
        <v>188</v>
      </c>
      <c r="Z155" s="39">
        <v>2</v>
      </c>
      <c r="AA155" s="39">
        <v>1</v>
      </c>
      <c r="AB155" s="42">
        <f t="shared" si="78"/>
        <v>26</v>
      </c>
      <c r="AC155" s="39">
        <v>16</v>
      </c>
      <c r="AD155" s="39">
        <v>10</v>
      </c>
      <c r="AE155" s="44">
        <f t="shared" si="79"/>
        <v>24</v>
      </c>
      <c r="AF155" s="45">
        <f t="shared" si="80"/>
        <v>1</v>
      </c>
      <c r="AG155" s="45">
        <f t="shared" si="81"/>
        <v>1.0833333333333333</v>
      </c>
      <c r="AH155" s="46" t="s">
        <v>82</v>
      </c>
      <c r="AI155" s="40" t="s">
        <v>99</v>
      </c>
      <c r="AJ155" s="40" t="s">
        <v>116</v>
      </c>
      <c r="AK155" s="47" t="s">
        <v>189</v>
      </c>
      <c r="AL155" s="40"/>
      <c r="AM155" s="48">
        <f t="shared" si="82"/>
        <v>0</v>
      </c>
      <c r="AN155" s="48">
        <f t="shared" si="83"/>
        <v>36</v>
      </c>
      <c r="AO155" s="48">
        <f t="shared" si="84"/>
        <v>0</v>
      </c>
      <c r="AP155" s="48">
        <f t="shared" si="85"/>
        <v>0</v>
      </c>
      <c r="AQ155" s="48">
        <f t="shared" si="86"/>
        <v>0</v>
      </c>
      <c r="AR155" s="48">
        <f t="shared" si="87"/>
        <v>0</v>
      </c>
      <c r="AS155" s="48">
        <f t="shared" si="88"/>
        <v>0</v>
      </c>
      <c r="AT155" s="48">
        <f t="shared" si="89"/>
        <v>0</v>
      </c>
      <c r="AU155" s="48">
        <f t="shared" si="90"/>
        <v>0</v>
      </c>
      <c r="AV155" s="48">
        <f t="shared" si="91"/>
        <v>0</v>
      </c>
      <c r="AW155" s="48">
        <f>IF(N155="ПП",РПП*AB155*(V155/1.5),IF(N155="ВП",ВПр*AB155*(V155/1.5),IF(N155="РПА",РПА*AB155*(V155/1.5),IF(N155="КПА",кпа*AB155*(V155/1.5),0))))</f>
        <v>0</v>
      </c>
      <c r="AX155" s="48">
        <f t="shared" si="92"/>
        <v>0</v>
      </c>
      <c r="AY155" s="48">
        <f t="shared" si="93"/>
        <v>0</v>
      </c>
      <c r="AZ155" s="48">
        <f t="shared" si="94"/>
        <v>0</v>
      </c>
      <c r="BA155" s="48">
        <f t="shared" si="95"/>
        <v>0</v>
      </c>
      <c r="BB155" s="48">
        <f t="shared" si="96"/>
        <v>0</v>
      </c>
      <c r="BC155" s="48">
        <f t="shared" si="97"/>
        <v>0</v>
      </c>
      <c r="BD155" s="48">
        <f t="shared" si="98"/>
        <v>0</v>
      </c>
      <c r="BE155" s="48">
        <f t="shared" si="99"/>
        <v>0</v>
      </c>
      <c r="BF155" s="49">
        <f t="shared" si="100"/>
        <v>36</v>
      </c>
      <c r="BG155" s="50"/>
      <c r="BH155" s="51">
        <f t="shared" si="101"/>
        <v>36</v>
      </c>
      <c r="BI155" s="51">
        <f t="shared" si="102"/>
        <v>1</v>
      </c>
      <c r="BJ155" s="51">
        <f t="shared" si="103"/>
        <v>0</v>
      </c>
      <c r="BK155" s="52">
        <f t="shared" si="104"/>
        <v>0</v>
      </c>
      <c r="BL155" s="52">
        <f t="shared" si="105"/>
        <v>0</v>
      </c>
      <c r="BM155" s="52">
        <f t="shared" si="106"/>
        <v>0</v>
      </c>
    </row>
    <row r="156" spans="1:65" ht="30" customHeight="1" x14ac:dyDescent="0.25">
      <c r="A156" s="31" t="str">
        <f t="shared" si="72"/>
        <v>Д</v>
      </c>
      <c r="B156" s="31" t="str">
        <f t="shared" si="73"/>
        <v>Б</v>
      </c>
      <c r="C156" s="32" t="s">
        <v>186</v>
      </c>
      <c r="D156" s="33" t="str">
        <f t="shared" si="74"/>
        <v>Факультет физико-математических и естественных наук</v>
      </c>
      <c r="E156" s="34" t="str">
        <f t="shared" si="75"/>
        <v>'02.03.00</v>
      </c>
      <c r="F156" s="35" t="str">
        <f t="shared" si="76"/>
        <v>Компьютерные и информационные науки (УГСН)</v>
      </c>
      <c r="G156" s="36" t="s">
        <v>76</v>
      </c>
      <c r="H156" s="36" t="s">
        <v>77</v>
      </c>
      <c r="I156" s="37"/>
      <c r="J156" s="37"/>
      <c r="K156" s="38" t="s">
        <v>78</v>
      </c>
      <c r="L156" s="39">
        <v>1</v>
      </c>
      <c r="M156" s="39">
        <v>18</v>
      </c>
      <c r="N156" s="40" t="s">
        <v>86</v>
      </c>
      <c r="O156" s="39"/>
      <c r="P156" s="39"/>
      <c r="Q156" s="39">
        <v>2</v>
      </c>
      <c r="R156" s="40"/>
      <c r="S156" s="41"/>
      <c r="T156" s="41"/>
      <c r="U156" s="41"/>
      <c r="V156" s="41"/>
      <c r="W156" s="41"/>
      <c r="X156" s="42" t="str">
        <f t="shared" si="77"/>
        <v>НКАбд</v>
      </c>
      <c r="Y156" s="39" t="s">
        <v>190</v>
      </c>
      <c r="Z156" s="39">
        <v>2</v>
      </c>
      <c r="AA156" s="39">
        <v>1</v>
      </c>
      <c r="AB156" s="42">
        <f t="shared" si="78"/>
        <v>25</v>
      </c>
      <c r="AC156" s="39">
        <v>16</v>
      </c>
      <c r="AD156" s="39">
        <v>9</v>
      </c>
      <c r="AE156" s="44">
        <f t="shared" si="79"/>
        <v>24</v>
      </c>
      <c r="AF156" s="45">
        <f t="shared" si="80"/>
        <v>1</v>
      </c>
      <c r="AG156" s="45">
        <f t="shared" si="81"/>
        <v>1.0416666666666667</v>
      </c>
      <c r="AH156" s="46" t="s">
        <v>82</v>
      </c>
      <c r="AI156" s="40" t="s">
        <v>99</v>
      </c>
      <c r="AJ156" s="40" t="s">
        <v>116</v>
      </c>
      <c r="AK156" s="47" t="s">
        <v>189</v>
      </c>
      <c r="AL156" s="40"/>
      <c r="AM156" s="48">
        <f t="shared" si="82"/>
        <v>0</v>
      </c>
      <c r="AN156" s="48">
        <f t="shared" si="83"/>
        <v>36</v>
      </c>
      <c r="AO156" s="48">
        <f t="shared" si="84"/>
        <v>0</v>
      </c>
      <c r="AP156" s="48">
        <f t="shared" si="85"/>
        <v>0</v>
      </c>
      <c r="AQ156" s="48">
        <f t="shared" si="86"/>
        <v>0</v>
      </c>
      <c r="AR156" s="48">
        <f t="shared" si="87"/>
        <v>0</v>
      </c>
      <c r="AS156" s="48">
        <f t="shared" si="88"/>
        <v>0</v>
      </c>
      <c r="AT156" s="48">
        <f t="shared" si="89"/>
        <v>0</v>
      </c>
      <c r="AU156" s="48">
        <f t="shared" si="90"/>
        <v>0</v>
      </c>
      <c r="AV156" s="48">
        <f t="shared" si="91"/>
        <v>0</v>
      </c>
      <c r="AW156" s="48">
        <f>IF(N156="ПП",РПП*AB156*(V156/1.5),IF(N156="ВП",ВПр*AB156*(V156/1.5),IF(N156="РПА",РПА*AB156*(V156/1.5),IF(N156="КПА",кпа*AB156*(V156/1.5),0))))</f>
        <v>0</v>
      </c>
      <c r="AX156" s="48">
        <f t="shared" si="92"/>
        <v>0</v>
      </c>
      <c r="AY156" s="48">
        <f t="shared" si="93"/>
        <v>0</v>
      </c>
      <c r="AZ156" s="48">
        <f t="shared" si="94"/>
        <v>0</v>
      </c>
      <c r="BA156" s="48">
        <f t="shared" si="95"/>
        <v>0</v>
      </c>
      <c r="BB156" s="48">
        <f t="shared" si="96"/>
        <v>0</v>
      </c>
      <c r="BC156" s="48">
        <f t="shared" si="97"/>
        <v>0</v>
      </c>
      <c r="BD156" s="48">
        <f t="shared" si="98"/>
        <v>0</v>
      </c>
      <c r="BE156" s="48">
        <f t="shared" si="99"/>
        <v>0</v>
      </c>
      <c r="BF156" s="49">
        <f t="shared" si="100"/>
        <v>36</v>
      </c>
      <c r="BG156" s="50"/>
      <c r="BH156" s="51">
        <f t="shared" si="101"/>
        <v>36</v>
      </c>
      <c r="BI156" s="51">
        <f t="shared" si="102"/>
        <v>1</v>
      </c>
      <c r="BJ156" s="51">
        <f t="shared" si="103"/>
        <v>0</v>
      </c>
      <c r="BK156" s="52">
        <f t="shared" si="104"/>
        <v>0</v>
      </c>
      <c r="BL156" s="52">
        <f t="shared" si="105"/>
        <v>0</v>
      </c>
      <c r="BM156" s="52">
        <f t="shared" si="106"/>
        <v>0</v>
      </c>
    </row>
    <row r="157" spans="1:65" ht="30" customHeight="1" x14ac:dyDescent="0.25">
      <c r="A157" s="31" t="str">
        <f t="shared" si="72"/>
        <v>Д</v>
      </c>
      <c r="B157" s="31" t="str">
        <f t="shared" si="73"/>
        <v>Б</v>
      </c>
      <c r="C157" s="32" t="s">
        <v>186</v>
      </c>
      <c r="D157" s="33" t="str">
        <f t="shared" si="74"/>
        <v>Факультет физико-математических и естественных наук</v>
      </c>
      <c r="E157" s="34" t="str">
        <f t="shared" si="75"/>
        <v>'02.03.00</v>
      </c>
      <c r="F157" s="35" t="str">
        <f t="shared" si="76"/>
        <v>Компьютерные и информационные науки (УГСН)</v>
      </c>
      <c r="G157" s="36" t="s">
        <v>76</v>
      </c>
      <c r="H157" s="36" t="s">
        <v>77</v>
      </c>
      <c r="I157" s="37"/>
      <c r="J157" s="37"/>
      <c r="K157" s="38" t="s">
        <v>78</v>
      </c>
      <c r="L157" s="39">
        <v>1</v>
      </c>
      <c r="M157" s="39">
        <v>18</v>
      </c>
      <c r="N157" s="40" t="s">
        <v>86</v>
      </c>
      <c r="O157" s="39"/>
      <c r="P157" s="39"/>
      <c r="Q157" s="39">
        <v>2</v>
      </c>
      <c r="R157" s="40"/>
      <c r="S157" s="41"/>
      <c r="T157" s="41"/>
      <c r="U157" s="41"/>
      <c r="V157" s="41"/>
      <c r="W157" s="41"/>
      <c r="X157" s="42" t="str">
        <f t="shared" si="77"/>
        <v>НКАбд</v>
      </c>
      <c r="Y157" s="39" t="s">
        <v>191</v>
      </c>
      <c r="Z157" s="39">
        <v>2</v>
      </c>
      <c r="AA157" s="39">
        <v>1</v>
      </c>
      <c r="AB157" s="42">
        <f t="shared" si="78"/>
        <v>25</v>
      </c>
      <c r="AC157" s="39">
        <v>16</v>
      </c>
      <c r="AD157" s="39">
        <v>9</v>
      </c>
      <c r="AE157" s="44">
        <f t="shared" si="79"/>
        <v>24</v>
      </c>
      <c r="AF157" s="45">
        <f t="shared" si="80"/>
        <v>1</v>
      </c>
      <c r="AG157" s="45">
        <f t="shared" si="81"/>
        <v>1.0416666666666667</v>
      </c>
      <c r="AH157" s="46" t="s">
        <v>82</v>
      </c>
      <c r="AI157" s="40" t="s">
        <v>99</v>
      </c>
      <c r="AJ157" s="40" t="s">
        <v>116</v>
      </c>
      <c r="AK157" s="47" t="s">
        <v>189</v>
      </c>
      <c r="AL157" s="40"/>
      <c r="AM157" s="48">
        <f t="shared" si="82"/>
        <v>0</v>
      </c>
      <c r="AN157" s="48">
        <f t="shared" si="83"/>
        <v>36</v>
      </c>
      <c r="AO157" s="48">
        <f t="shared" si="84"/>
        <v>0</v>
      </c>
      <c r="AP157" s="48">
        <f t="shared" si="85"/>
        <v>0</v>
      </c>
      <c r="AQ157" s="48">
        <f t="shared" si="86"/>
        <v>0</v>
      </c>
      <c r="AR157" s="48">
        <f t="shared" si="87"/>
        <v>0</v>
      </c>
      <c r="AS157" s="48">
        <f t="shared" si="88"/>
        <v>0</v>
      </c>
      <c r="AT157" s="48">
        <f t="shared" si="89"/>
        <v>0</v>
      </c>
      <c r="AU157" s="48">
        <f t="shared" si="90"/>
        <v>0</v>
      </c>
      <c r="AV157" s="48">
        <f t="shared" si="91"/>
        <v>0</v>
      </c>
      <c r="AW157" s="48">
        <f>IF(N157="ПП",РПП*AB157*(V157/1.5),IF(N157="ВП",ВПр*AB157*(V157/1.5),IF(N157="РПА",РПА*AB157*(V157/1.5),IF(N157="КПА",кпа*AB157*(V157/1.5),0))))</f>
        <v>0</v>
      </c>
      <c r="AX157" s="48">
        <f t="shared" si="92"/>
        <v>0</v>
      </c>
      <c r="AY157" s="48">
        <f t="shared" si="93"/>
        <v>0</v>
      </c>
      <c r="AZ157" s="48">
        <f t="shared" si="94"/>
        <v>0</v>
      </c>
      <c r="BA157" s="48">
        <f t="shared" si="95"/>
        <v>0</v>
      </c>
      <c r="BB157" s="48">
        <f t="shared" si="96"/>
        <v>0</v>
      </c>
      <c r="BC157" s="48">
        <f t="shared" si="97"/>
        <v>0</v>
      </c>
      <c r="BD157" s="48">
        <f t="shared" si="98"/>
        <v>0</v>
      </c>
      <c r="BE157" s="48">
        <f t="shared" si="99"/>
        <v>0</v>
      </c>
      <c r="BF157" s="49">
        <f t="shared" si="100"/>
        <v>36</v>
      </c>
      <c r="BG157" s="50"/>
      <c r="BH157" s="51">
        <f t="shared" si="101"/>
        <v>36</v>
      </c>
      <c r="BI157" s="51">
        <f t="shared" si="102"/>
        <v>1</v>
      </c>
      <c r="BJ157" s="51">
        <f t="shared" si="103"/>
        <v>0</v>
      </c>
      <c r="BK157" s="52">
        <f t="shared" si="104"/>
        <v>0</v>
      </c>
      <c r="BL157" s="52">
        <f t="shared" si="105"/>
        <v>0</v>
      </c>
      <c r="BM157" s="52">
        <f t="shared" si="106"/>
        <v>0</v>
      </c>
    </row>
    <row r="158" spans="1:65" ht="30" customHeight="1" x14ac:dyDescent="0.25">
      <c r="A158" s="31" t="str">
        <f t="shared" si="72"/>
        <v>Д</v>
      </c>
      <c r="B158" s="31" t="str">
        <f t="shared" si="73"/>
        <v>Б</v>
      </c>
      <c r="C158" s="32" t="s">
        <v>186</v>
      </c>
      <c r="D158" s="33" t="str">
        <f t="shared" si="74"/>
        <v>Факультет физико-математических и естественных наук</v>
      </c>
      <c r="E158" s="34" t="str">
        <f t="shared" si="75"/>
        <v>'02.03.00</v>
      </c>
      <c r="F158" s="35" t="str">
        <f t="shared" si="76"/>
        <v>Компьютерные и информационные науки (УГСН)</v>
      </c>
      <c r="G158" s="36" t="s">
        <v>76</v>
      </c>
      <c r="H158" s="36" t="s">
        <v>77</v>
      </c>
      <c r="I158" s="37"/>
      <c r="J158" s="37"/>
      <c r="K158" s="38" t="s">
        <v>78</v>
      </c>
      <c r="L158" s="39">
        <v>1</v>
      </c>
      <c r="M158" s="39">
        <v>18</v>
      </c>
      <c r="N158" s="40" t="s">
        <v>86</v>
      </c>
      <c r="O158" s="39"/>
      <c r="P158" s="39"/>
      <c r="Q158" s="39">
        <v>2</v>
      </c>
      <c r="R158" s="40"/>
      <c r="S158" s="41"/>
      <c r="T158" s="41"/>
      <c r="U158" s="41"/>
      <c r="V158" s="41"/>
      <c r="W158" s="41"/>
      <c r="X158" s="42" t="str">
        <f t="shared" si="77"/>
        <v>НКАбд</v>
      </c>
      <c r="Y158" s="43" t="s">
        <v>192</v>
      </c>
      <c r="Z158" s="39">
        <v>2</v>
      </c>
      <c r="AA158" s="39">
        <v>1</v>
      </c>
      <c r="AB158" s="42">
        <f t="shared" si="78"/>
        <v>25</v>
      </c>
      <c r="AC158" s="39">
        <v>16</v>
      </c>
      <c r="AD158" s="39">
        <v>9</v>
      </c>
      <c r="AE158" s="44">
        <f t="shared" si="79"/>
        <v>24</v>
      </c>
      <c r="AF158" s="45">
        <f t="shared" si="80"/>
        <v>1</v>
      </c>
      <c r="AG158" s="45">
        <f t="shared" si="81"/>
        <v>1.0416666666666667</v>
      </c>
      <c r="AH158" s="46" t="s">
        <v>82</v>
      </c>
      <c r="AI158" s="40" t="s">
        <v>99</v>
      </c>
      <c r="AJ158" s="40" t="s">
        <v>116</v>
      </c>
      <c r="AK158" s="47" t="s">
        <v>189</v>
      </c>
      <c r="AL158" s="40"/>
      <c r="AM158" s="48">
        <f t="shared" si="82"/>
        <v>0</v>
      </c>
      <c r="AN158" s="48">
        <f t="shared" si="83"/>
        <v>36</v>
      </c>
      <c r="AO158" s="48">
        <f t="shared" si="84"/>
        <v>0</v>
      </c>
      <c r="AP158" s="48">
        <f t="shared" si="85"/>
        <v>0</v>
      </c>
      <c r="AQ158" s="48">
        <f t="shared" si="86"/>
        <v>0</v>
      </c>
      <c r="AR158" s="48">
        <f t="shared" si="87"/>
        <v>0</v>
      </c>
      <c r="AS158" s="48">
        <f t="shared" si="88"/>
        <v>0</v>
      </c>
      <c r="AT158" s="48">
        <f t="shared" si="89"/>
        <v>0</v>
      </c>
      <c r="AU158" s="48">
        <f t="shared" si="90"/>
        <v>0</v>
      </c>
      <c r="AV158" s="48">
        <f t="shared" si="91"/>
        <v>0</v>
      </c>
      <c r="AW158" s="48">
        <f>IF(N158="ПП",РПП*AB158*(V158/1.5),IF(N158="ВП",ВПр*AB158*(V158/1.5),IF(N158="РПА",РПА*AB158*(V158/1.5),IF(N158="КПА",кпа*AB158*(V158/1.5),0))))</f>
        <v>0</v>
      </c>
      <c r="AX158" s="48">
        <f t="shared" si="92"/>
        <v>0</v>
      </c>
      <c r="AY158" s="48">
        <f t="shared" si="93"/>
        <v>0</v>
      </c>
      <c r="AZ158" s="48">
        <f t="shared" si="94"/>
        <v>0</v>
      </c>
      <c r="BA158" s="48">
        <f t="shared" si="95"/>
        <v>0</v>
      </c>
      <c r="BB158" s="48">
        <f t="shared" si="96"/>
        <v>0</v>
      </c>
      <c r="BC158" s="48">
        <f t="shared" si="97"/>
        <v>0</v>
      </c>
      <c r="BD158" s="48">
        <f t="shared" si="98"/>
        <v>0</v>
      </c>
      <c r="BE158" s="48">
        <f t="shared" si="99"/>
        <v>0</v>
      </c>
      <c r="BF158" s="49">
        <f t="shared" si="100"/>
        <v>36</v>
      </c>
      <c r="BG158" s="50"/>
      <c r="BH158" s="51">
        <f t="shared" si="101"/>
        <v>36</v>
      </c>
      <c r="BI158" s="51">
        <f t="shared" si="102"/>
        <v>1</v>
      </c>
      <c r="BJ158" s="51">
        <f t="shared" si="103"/>
        <v>0</v>
      </c>
      <c r="BK158" s="52">
        <f t="shared" si="104"/>
        <v>0</v>
      </c>
      <c r="BL158" s="52">
        <f t="shared" si="105"/>
        <v>0</v>
      </c>
      <c r="BM158" s="52">
        <f t="shared" si="106"/>
        <v>0</v>
      </c>
    </row>
    <row r="159" spans="1:65" ht="30" customHeight="1" x14ac:dyDescent="0.25">
      <c r="A159" s="31" t="str">
        <f t="shared" si="72"/>
        <v>Д</v>
      </c>
      <c r="B159" s="31" t="str">
        <f t="shared" si="73"/>
        <v>Б</v>
      </c>
      <c r="C159" s="32" t="s">
        <v>186</v>
      </c>
      <c r="D159" s="33" t="str">
        <f t="shared" si="74"/>
        <v>Факультет физико-математических и естественных наук</v>
      </c>
      <c r="E159" s="34" t="str">
        <f t="shared" si="75"/>
        <v>'02.03.00</v>
      </c>
      <c r="F159" s="35" t="str">
        <f t="shared" si="76"/>
        <v>Компьютерные и информационные науки (УГСН)</v>
      </c>
      <c r="G159" s="36" t="s">
        <v>76</v>
      </c>
      <c r="H159" s="36" t="s">
        <v>183</v>
      </c>
      <c r="I159" s="37"/>
      <c r="J159" s="37"/>
      <c r="K159" s="38" t="s">
        <v>96</v>
      </c>
      <c r="L159" s="39">
        <v>1</v>
      </c>
      <c r="M159" s="39">
        <v>18</v>
      </c>
      <c r="N159" s="40" t="s">
        <v>79</v>
      </c>
      <c r="O159" s="39">
        <v>2</v>
      </c>
      <c r="P159" s="39"/>
      <c r="Q159" s="39"/>
      <c r="R159" s="40" t="s">
        <v>95</v>
      </c>
      <c r="S159" s="41"/>
      <c r="T159" s="41"/>
      <c r="U159" s="41"/>
      <c r="V159" s="41"/>
      <c r="W159" s="41"/>
      <c r="X159" s="42" t="str">
        <f t="shared" si="77"/>
        <v>НКАбд</v>
      </c>
      <c r="Y159" s="39" t="s">
        <v>187</v>
      </c>
      <c r="Z159" s="39">
        <v>14</v>
      </c>
      <c r="AA159" s="39">
        <v>7</v>
      </c>
      <c r="AB159" s="42">
        <f t="shared" si="78"/>
        <v>179</v>
      </c>
      <c r="AC159" s="39">
        <v>115</v>
      </c>
      <c r="AD159" s="39">
        <v>64</v>
      </c>
      <c r="AE159" s="44">
        <f t="shared" si="79"/>
        <v>179</v>
      </c>
      <c r="AF159" s="45">
        <f t="shared" si="80"/>
        <v>1</v>
      </c>
      <c r="AG159" s="45">
        <f t="shared" si="81"/>
        <v>1</v>
      </c>
      <c r="AH159" s="46" t="s">
        <v>82</v>
      </c>
      <c r="AI159" s="40" t="s">
        <v>83</v>
      </c>
      <c r="AJ159" s="40" t="s">
        <v>84</v>
      </c>
      <c r="AK159" s="47" t="s">
        <v>97</v>
      </c>
      <c r="AL159" s="40"/>
      <c r="AM159" s="48">
        <f t="shared" si="82"/>
        <v>36</v>
      </c>
      <c r="AN159" s="48">
        <f t="shared" si="83"/>
        <v>0</v>
      </c>
      <c r="AO159" s="48">
        <f t="shared" si="84"/>
        <v>0</v>
      </c>
      <c r="AP159" s="48">
        <f t="shared" si="85"/>
        <v>59.07</v>
      </c>
      <c r="AQ159" s="48">
        <f t="shared" si="86"/>
        <v>0</v>
      </c>
      <c r="AR159" s="48">
        <f t="shared" si="87"/>
        <v>0</v>
      </c>
      <c r="AS159" s="48">
        <f t="shared" si="88"/>
        <v>12.6</v>
      </c>
      <c r="AT159" s="48">
        <f t="shared" si="89"/>
        <v>0</v>
      </c>
      <c r="AU159" s="48">
        <f t="shared" si="90"/>
        <v>0</v>
      </c>
      <c r="AV159" s="48">
        <f t="shared" si="91"/>
        <v>0</v>
      </c>
      <c r="AW159" s="48">
        <f>IF(N159="ПП",РПП*AB159*(V159/1.5),IF(N159="ВП",ВПр*AB159*(V159/1.5),IF(N159="РПА",РПА*AB159*(V159/1.5),IF(N159="КПА",кпа*AB159*(V159/1.5),0))))</f>
        <v>0</v>
      </c>
      <c r="AX159" s="48">
        <f t="shared" si="92"/>
        <v>0</v>
      </c>
      <c r="AY159" s="48">
        <f t="shared" si="93"/>
        <v>0</v>
      </c>
      <c r="AZ159" s="48">
        <f t="shared" si="94"/>
        <v>0</v>
      </c>
      <c r="BA159" s="48">
        <f t="shared" si="95"/>
        <v>0</v>
      </c>
      <c r="BB159" s="48">
        <f t="shared" si="96"/>
        <v>0</v>
      </c>
      <c r="BC159" s="48">
        <f t="shared" si="97"/>
        <v>0</v>
      </c>
      <c r="BD159" s="48">
        <f t="shared" si="98"/>
        <v>0</v>
      </c>
      <c r="BE159" s="48">
        <f t="shared" si="99"/>
        <v>0</v>
      </c>
      <c r="BF159" s="49">
        <f t="shared" si="100"/>
        <v>107.66999999999999</v>
      </c>
      <c r="BG159" s="50"/>
      <c r="BH159" s="51">
        <f t="shared" si="101"/>
        <v>36</v>
      </c>
      <c r="BI159" s="51">
        <f t="shared" si="102"/>
        <v>1</v>
      </c>
      <c r="BJ159" s="51">
        <f t="shared" si="103"/>
        <v>71.67</v>
      </c>
      <c r="BK159" s="52">
        <f t="shared" si="104"/>
        <v>0</v>
      </c>
      <c r="BL159" s="52">
        <f t="shared" si="105"/>
        <v>0</v>
      </c>
      <c r="BM159" s="52">
        <f t="shared" si="106"/>
        <v>0</v>
      </c>
    </row>
    <row r="160" spans="1:65" ht="30" customHeight="1" x14ac:dyDescent="0.25">
      <c r="A160" s="31" t="str">
        <f t="shared" si="72"/>
        <v>Д</v>
      </c>
      <c r="B160" s="31" t="str">
        <f t="shared" si="73"/>
        <v>Б</v>
      </c>
      <c r="C160" s="32" t="s">
        <v>186</v>
      </c>
      <c r="D160" s="33" t="str">
        <f t="shared" si="74"/>
        <v>Факультет физико-математических и естественных наук</v>
      </c>
      <c r="E160" s="34" t="str">
        <f t="shared" si="75"/>
        <v>'02.03.00</v>
      </c>
      <c r="F160" s="35" t="str">
        <f t="shared" si="76"/>
        <v>Компьютерные и информационные науки (УГСН)</v>
      </c>
      <c r="G160" s="36" t="s">
        <v>76</v>
      </c>
      <c r="H160" s="36" t="s">
        <v>183</v>
      </c>
      <c r="I160" s="37"/>
      <c r="J160" s="37"/>
      <c r="K160" s="38" t="s">
        <v>98</v>
      </c>
      <c r="L160" s="39">
        <v>1</v>
      </c>
      <c r="M160" s="39">
        <v>18</v>
      </c>
      <c r="N160" s="40" t="s">
        <v>94</v>
      </c>
      <c r="O160" s="39"/>
      <c r="P160" s="39">
        <v>2</v>
      </c>
      <c r="Q160" s="39"/>
      <c r="R160" s="40" t="s">
        <v>95</v>
      </c>
      <c r="S160" s="41"/>
      <c r="T160" s="41"/>
      <c r="U160" s="41"/>
      <c r="V160" s="41"/>
      <c r="W160" s="41"/>
      <c r="X160" s="42" t="str">
        <f t="shared" si="77"/>
        <v>НКАбд</v>
      </c>
      <c r="Y160" s="39" t="s">
        <v>87</v>
      </c>
      <c r="Z160" s="39">
        <v>1</v>
      </c>
      <c r="AA160" s="39">
        <v>1</v>
      </c>
      <c r="AB160" s="42">
        <f t="shared" si="78"/>
        <v>26</v>
      </c>
      <c r="AC160" s="39">
        <v>17</v>
      </c>
      <c r="AD160" s="39">
        <v>9</v>
      </c>
      <c r="AE160" s="44">
        <f t="shared" si="79"/>
        <v>12</v>
      </c>
      <c r="AF160" s="45">
        <f t="shared" si="80"/>
        <v>1</v>
      </c>
      <c r="AG160" s="45">
        <f t="shared" si="81"/>
        <v>2.1666666666666665</v>
      </c>
      <c r="AH160" s="46" t="s">
        <v>82</v>
      </c>
      <c r="AI160" s="40" t="s">
        <v>99</v>
      </c>
      <c r="AJ160" s="40" t="s">
        <v>100</v>
      </c>
      <c r="AK160" s="47" t="s">
        <v>101</v>
      </c>
      <c r="AL160" s="40"/>
      <c r="AM160" s="48">
        <f t="shared" si="82"/>
        <v>0</v>
      </c>
      <c r="AN160" s="48">
        <f t="shared" si="83"/>
        <v>0</v>
      </c>
      <c r="AO160" s="48">
        <f t="shared" si="84"/>
        <v>36</v>
      </c>
      <c r="AP160" s="48">
        <f t="shared" si="85"/>
        <v>8.58</v>
      </c>
      <c r="AQ160" s="48">
        <f t="shared" si="86"/>
        <v>13</v>
      </c>
      <c r="AR160" s="48">
        <f t="shared" si="87"/>
        <v>1</v>
      </c>
      <c r="AS160" s="48">
        <f t="shared" si="88"/>
        <v>0</v>
      </c>
      <c r="AT160" s="48">
        <f t="shared" si="89"/>
        <v>0</v>
      </c>
      <c r="AU160" s="48">
        <f t="shared" si="90"/>
        <v>0</v>
      </c>
      <c r="AV160" s="48">
        <f t="shared" si="91"/>
        <v>0</v>
      </c>
      <c r="AW160" s="48">
        <f>IF(N160="ПП",РПП*AB160*(V160/1.5),IF(N160="ВП",ВПр*AB160*(V160/1.5),IF(N160="РПА",РПА*AB160*(V160/1.5),IF(N160="КПА",кпа*AB160*(V160/1.5),0))))</f>
        <v>0</v>
      </c>
      <c r="AX160" s="48">
        <f t="shared" si="92"/>
        <v>0</v>
      </c>
      <c r="AY160" s="48">
        <f t="shared" si="93"/>
        <v>0</v>
      </c>
      <c r="AZ160" s="48">
        <f t="shared" si="94"/>
        <v>0</v>
      </c>
      <c r="BA160" s="48">
        <f t="shared" si="95"/>
        <v>0</v>
      </c>
      <c r="BB160" s="48">
        <f t="shared" si="96"/>
        <v>0</v>
      </c>
      <c r="BC160" s="48">
        <f t="shared" si="97"/>
        <v>0</v>
      </c>
      <c r="BD160" s="48">
        <f t="shared" si="98"/>
        <v>0</v>
      </c>
      <c r="BE160" s="48">
        <f t="shared" si="99"/>
        <v>0</v>
      </c>
      <c r="BF160" s="49">
        <f t="shared" si="100"/>
        <v>58.58</v>
      </c>
      <c r="BG160" s="50"/>
      <c r="BH160" s="51">
        <f t="shared" si="101"/>
        <v>36</v>
      </c>
      <c r="BI160" s="51">
        <f t="shared" si="102"/>
        <v>1</v>
      </c>
      <c r="BJ160" s="51">
        <f t="shared" si="103"/>
        <v>22.58</v>
      </c>
      <c r="BK160" s="52">
        <f t="shared" si="104"/>
        <v>0</v>
      </c>
      <c r="BL160" s="52">
        <f t="shared" si="105"/>
        <v>0</v>
      </c>
      <c r="BM160" s="52">
        <f t="shared" si="106"/>
        <v>0</v>
      </c>
    </row>
    <row r="161" spans="1:65" ht="30" customHeight="1" x14ac:dyDescent="0.25">
      <c r="A161" s="31" t="str">
        <f t="shared" si="72"/>
        <v>Д</v>
      </c>
      <c r="B161" s="31" t="str">
        <f t="shared" si="73"/>
        <v>Б</v>
      </c>
      <c r="C161" s="32" t="s">
        <v>186</v>
      </c>
      <c r="D161" s="33" t="str">
        <f t="shared" si="74"/>
        <v>Факультет физико-математических и естественных наук</v>
      </c>
      <c r="E161" s="34" t="str">
        <f t="shared" si="75"/>
        <v>'02.03.00</v>
      </c>
      <c r="F161" s="35" t="str">
        <f t="shared" si="76"/>
        <v>Компьютерные и информационные науки (УГСН)</v>
      </c>
      <c r="G161" s="36" t="s">
        <v>76</v>
      </c>
      <c r="H161" s="36" t="s">
        <v>183</v>
      </c>
      <c r="I161" s="37"/>
      <c r="J161" s="37"/>
      <c r="K161" s="38" t="s">
        <v>98</v>
      </c>
      <c r="L161" s="39">
        <v>1</v>
      </c>
      <c r="M161" s="39">
        <v>18</v>
      </c>
      <c r="N161" s="40" t="s">
        <v>94</v>
      </c>
      <c r="O161" s="39"/>
      <c r="P161" s="39">
        <v>2</v>
      </c>
      <c r="Q161" s="39"/>
      <c r="R161" s="40" t="s">
        <v>95</v>
      </c>
      <c r="S161" s="41"/>
      <c r="T161" s="41"/>
      <c r="U161" s="41"/>
      <c r="V161" s="41"/>
      <c r="W161" s="41"/>
      <c r="X161" s="42" t="str">
        <f t="shared" si="77"/>
        <v>НКАбд</v>
      </c>
      <c r="Y161" s="39" t="s">
        <v>87</v>
      </c>
      <c r="Z161" s="39">
        <v>1</v>
      </c>
      <c r="AA161" s="39">
        <v>1</v>
      </c>
      <c r="AB161" s="42">
        <f t="shared" si="78"/>
        <v>0</v>
      </c>
      <c r="AC161" s="39"/>
      <c r="AD161" s="39"/>
      <c r="AE161" s="44">
        <f t="shared" si="79"/>
        <v>12</v>
      </c>
      <c r="AF161" s="45">
        <f t="shared" si="80"/>
        <v>0</v>
      </c>
      <c r="AG161" s="45">
        <f t="shared" si="81"/>
        <v>0</v>
      </c>
      <c r="AH161" s="46" t="s">
        <v>82</v>
      </c>
      <c r="AI161" s="40" t="s">
        <v>99</v>
      </c>
      <c r="AJ161" s="40" t="s">
        <v>100</v>
      </c>
      <c r="AK161" s="47" t="s">
        <v>101</v>
      </c>
      <c r="AL161" s="40"/>
      <c r="AM161" s="48">
        <f t="shared" si="82"/>
        <v>0</v>
      </c>
      <c r="AN161" s="48">
        <f t="shared" si="83"/>
        <v>0</v>
      </c>
      <c r="AO161" s="48">
        <f t="shared" si="84"/>
        <v>0</v>
      </c>
      <c r="AP161" s="48">
        <f t="shared" si="85"/>
        <v>0</v>
      </c>
      <c r="AQ161" s="48">
        <f t="shared" si="86"/>
        <v>0</v>
      </c>
      <c r="AR161" s="48">
        <f t="shared" si="87"/>
        <v>0</v>
      </c>
      <c r="AS161" s="48">
        <f t="shared" si="88"/>
        <v>0</v>
      </c>
      <c r="AT161" s="48">
        <f t="shared" si="89"/>
        <v>0</v>
      </c>
      <c r="AU161" s="48">
        <f t="shared" si="90"/>
        <v>0</v>
      </c>
      <c r="AV161" s="48">
        <f t="shared" si="91"/>
        <v>0</v>
      </c>
      <c r="AW161" s="48">
        <f>IF(N161="ПП",РПП*AB161*(V161/1.5),IF(N161="ВП",ВПр*AB161*(V161/1.5),IF(N161="РПА",РПА*AB161*(V161/1.5),IF(N161="КПА",кпа*AB161*(V161/1.5),0))))</f>
        <v>0</v>
      </c>
      <c r="AX161" s="48">
        <f t="shared" si="92"/>
        <v>0</v>
      </c>
      <c r="AY161" s="48">
        <f t="shared" si="93"/>
        <v>0</v>
      </c>
      <c r="AZ161" s="48">
        <f t="shared" si="94"/>
        <v>0</v>
      </c>
      <c r="BA161" s="48">
        <f t="shared" si="95"/>
        <v>0</v>
      </c>
      <c r="BB161" s="48">
        <f t="shared" si="96"/>
        <v>0</v>
      </c>
      <c r="BC161" s="48">
        <f t="shared" si="97"/>
        <v>0</v>
      </c>
      <c r="BD161" s="48">
        <f t="shared" si="98"/>
        <v>0</v>
      </c>
      <c r="BE161" s="48">
        <f t="shared" si="99"/>
        <v>0</v>
      </c>
      <c r="BF161" s="49">
        <f t="shared" si="100"/>
        <v>0</v>
      </c>
      <c r="BG161" s="50"/>
      <c r="BH161" s="51">
        <f t="shared" si="101"/>
        <v>0</v>
      </c>
      <c r="BI161" s="51">
        <f t="shared" si="102"/>
        <v>0</v>
      </c>
      <c r="BJ161" s="51">
        <f t="shared" si="103"/>
        <v>0</v>
      </c>
      <c r="BK161" s="52">
        <f t="shared" si="104"/>
        <v>0</v>
      </c>
      <c r="BL161" s="52">
        <f t="shared" si="105"/>
        <v>0</v>
      </c>
      <c r="BM161" s="52">
        <f t="shared" si="106"/>
        <v>0</v>
      </c>
    </row>
    <row r="162" spans="1:65" ht="30" customHeight="1" x14ac:dyDescent="0.25">
      <c r="A162" s="31" t="str">
        <f t="shared" si="72"/>
        <v>Д</v>
      </c>
      <c r="B162" s="31" t="str">
        <f t="shared" si="73"/>
        <v>Б</v>
      </c>
      <c r="C162" s="32" t="s">
        <v>186</v>
      </c>
      <c r="D162" s="33" t="str">
        <f t="shared" si="74"/>
        <v>Факультет физико-математических и естественных наук</v>
      </c>
      <c r="E162" s="34" t="str">
        <f t="shared" si="75"/>
        <v>'02.03.00</v>
      </c>
      <c r="F162" s="35" t="str">
        <f t="shared" si="76"/>
        <v>Компьютерные и информационные науки (УГСН)</v>
      </c>
      <c r="G162" s="36" t="s">
        <v>76</v>
      </c>
      <c r="H162" s="36" t="s">
        <v>183</v>
      </c>
      <c r="I162" s="37"/>
      <c r="J162" s="37"/>
      <c r="K162" s="38" t="s">
        <v>98</v>
      </c>
      <c r="L162" s="39">
        <v>1</v>
      </c>
      <c r="M162" s="39">
        <v>18</v>
      </c>
      <c r="N162" s="40" t="s">
        <v>94</v>
      </c>
      <c r="O162" s="39"/>
      <c r="P162" s="39">
        <v>2</v>
      </c>
      <c r="Q162" s="39"/>
      <c r="R162" s="40" t="s">
        <v>95</v>
      </c>
      <c r="S162" s="41"/>
      <c r="T162" s="41"/>
      <c r="U162" s="41"/>
      <c r="V162" s="41"/>
      <c r="W162" s="41"/>
      <c r="X162" s="42" t="str">
        <f t="shared" si="77"/>
        <v>НКАбд</v>
      </c>
      <c r="Y162" s="39" t="s">
        <v>88</v>
      </c>
      <c r="Z162" s="39">
        <v>1</v>
      </c>
      <c r="AA162" s="39">
        <v>1</v>
      </c>
      <c r="AB162" s="42">
        <f t="shared" si="78"/>
        <v>26</v>
      </c>
      <c r="AC162" s="39">
        <v>17</v>
      </c>
      <c r="AD162" s="39">
        <v>9</v>
      </c>
      <c r="AE162" s="44">
        <f t="shared" si="79"/>
        <v>12</v>
      </c>
      <c r="AF162" s="45">
        <f t="shared" si="80"/>
        <v>1</v>
      </c>
      <c r="AG162" s="45">
        <f t="shared" si="81"/>
        <v>2.1666666666666665</v>
      </c>
      <c r="AH162" s="46" t="s">
        <v>82</v>
      </c>
      <c r="AI162" s="40" t="s">
        <v>99</v>
      </c>
      <c r="AJ162" s="40" t="s">
        <v>100</v>
      </c>
      <c r="AK162" s="47" t="s">
        <v>101</v>
      </c>
      <c r="AL162" s="40"/>
      <c r="AM162" s="48">
        <f t="shared" si="82"/>
        <v>0</v>
      </c>
      <c r="AN162" s="48">
        <f t="shared" si="83"/>
        <v>0</v>
      </c>
      <c r="AO162" s="48">
        <f t="shared" si="84"/>
        <v>36</v>
      </c>
      <c r="AP162" s="48">
        <f t="shared" si="85"/>
        <v>8.58</v>
      </c>
      <c r="AQ162" s="48">
        <f t="shared" si="86"/>
        <v>13</v>
      </c>
      <c r="AR162" s="48">
        <f t="shared" si="87"/>
        <v>1</v>
      </c>
      <c r="AS162" s="48">
        <f t="shared" si="88"/>
        <v>0</v>
      </c>
      <c r="AT162" s="48">
        <f t="shared" si="89"/>
        <v>0</v>
      </c>
      <c r="AU162" s="48">
        <f t="shared" si="90"/>
        <v>0</v>
      </c>
      <c r="AV162" s="48">
        <f t="shared" si="91"/>
        <v>0</v>
      </c>
      <c r="AW162" s="48">
        <f>IF(N162="ПП",РПП*AB162*(V162/1.5),IF(N162="ВП",ВПр*AB162*(V162/1.5),IF(N162="РПА",РПА*AB162*(V162/1.5),IF(N162="КПА",кпа*AB162*(V162/1.5),0))))</f>
        <v>0</v>
      </c>
      <c r="AX162" s="48">
        <f t="shared" si="92"/>
        <v>0</v>
      </c>
      <c r="AY162" s="48">
        <f t="shared" si="93"/>
        <v>0</v>
      </c>
      <c r="AZ162" s="48">
        <f t="shared" si="94"/>
        <v>0</v>
      </c>
      <c r="BA162" s="48">
        <f t="shared" si="95"/>
        <v>0</v>
      </c>
      <c r="BB162" s="48">
        <f t="shared" si="96"/>
        <v>0</v>
      </c>
      <c r="BC162" s="48">
        <f t="shared" si="97"/>
        <v>0</v>
      </c>
      <c r="BD162" s="48">
        <f t="shared" si="98"/>
        <v>0</v>
      </c>
      <c r="BE162" s="48">
        <f t="shared" si="99"/>
        <v>0</v>
      </c>
      <c r="BF162" s="49">
        <f t="shared" si="100"/>
        <v>58.58</v>
      </c>
      <c r="BG162" s="50"/>
      <c r="BH162" s="51">
        <f t="shared" si="101"/>
        <v>36</v>
      </c>
      <c r="BI162" s="51">
        <f t="shared" si="102"/>
        <v>1</v>
      </c>
      <c r="BJ162" s="51">
        <f t="shared" si="103"/>
        <v>22.58</v>
      </c>
      <c r="BK162" s="52">
        <f t="shared" si="104"/>
        <v>0</v>
      </c>
      <c r="BL162" s="52">
        <f t="shared" si="105"/>
        <v>0</v>
      </c>
      <c r="BM162" s="52">
        <f t="shared" si="106"/>
        <v>0</v>
      </c>
    </row>
    <row r="163" spans="1:65" ht="30" customHeight="1" x14ac:dyDescent="0.25">
      <c r="A163" s="31" t="str">
        <f t="shared" si="72"/>
        <v>Д</v>
      </c>
      <c r="B163" s="31" t="str">
        <f t="shared" si="73"/>
        <v>Б</v>
      </c>
      <c r="C163" s="32" t="s">
        <v>186</v>
      </c>
      <c r="D163" s="33" t="str">
        <f t="shared" si="74"/>
        <v>Факультет физико-математических и естественных наук</v>
      </c>
      <c r="E163" s="34" t="str">
        <f t="shared" si="75"/>
        <v>'02.03.00</v>
      </c>
      <c r="F163" s="35" t="str">
        <f t="shared" si="76"/>
        <v>Компьютерные и информационные науки (УГСН)</v>
      </c>
      <c r="G163" s="36" t="s">
        <v>76</v>
      </c>
      <c r="H163" s="36" t="s">
        <v>183</v>
      </c>
      <c r="I163" s="37"/>
      <c r="J163" s="37"/>
      <c r="K163" s="38" t="s">
        <v>98</v>
      </c>
      <c r="L163" s="39">
        <v>1</v>
      </c>
      <c r="M163" s="39">
        <v>18</v>
      </c>
      <c r="N163" s="40" t="s">
        <v>94</v>
      </c>
      <c r="O163" s="39"/>
      <c r="P163" s="39">
        <v>2</v>
      </c>
      <c r="Q163" s="39"/>
      <c r="R163" s="40" t="s">
        <v>95</v>
      </c>
      <c r="S163" s="41"/>
      <c r="T163" s="41"/>
      <c r="U163" s="41"/>
      <c r="V163" s="41"/>
      <c r="W163" s="41"/>
      <c r="X163" s="42" t="str">
        <f t="shared" si="77"/>
        <v>НКАбд</v>
      </c>
      <c r="Y163" s="39" t="s">
        <v>88</v>
      </c>
      <c r="Z163" s="39">
        <v>1</v>
      </c>
      <c r="AA163" s="39">
        <v>1</v>
      </c>
      <c r="AB163" s="42">
        <f t="shared" si="78"/>
        <v>0</v>
      </c>
      <c r="AC163" s="39"/>
      <c r="AD163" s="39"/>
      <c r="AE163" s="44">
        <f t="shared" si="79"/>
        <v>12</v>
      </c>
      <c r="AF163" s="45">
        <f t="shared" si="80"/>
        <v>0</v>
      </c>
      <c r="AG163" s="45">
        <f t="shared" si="81"/>
        <v>0</v>
      </c>
      <c r="AH163" s="46" t="s">
        <v>82</v>
      </c>
      <c r="AI163" s="40" t="s">
        <v>99</v>
      </c>
      <c r="AJ163" s="40" t="s">
        <v>100</v>
      </c>
      <c r="AK163" s="47" t="s">
        <v>101</v>
      </c>
      <c r="AL163" s="40"/>
      <c r="AM163" s="48">
        <f t="shared" si="82"/>
        <v>0</v>
      </c>
      <c r="AN163" s="48">
        <f t="shared" si="83"/>
        <v>0</v>
      </c>
      <c r="AO163" s="48">
        <f t="shared" si="84"/>
        <v>0</v>
      </c>
      <c r="AP163" s="48">
        <f t="shared" si="85"/>
        <v>0</v>
      </c>
      <c r="AQ163" s="48">
        <f t="shared" si="86"/>
        <v>0</v>
      </c>
      <c r="AR163" s="48">
        <f t="shared" si="87"/>
        <v>0</v>
      </c>
      <c r="AS163" s="48">
        <f t="shared" si="88"/>
        <v>0</v>
      </c>
      <c r="AT163" s="48">
        <f t="shared" si="89"/>
        <v>0</v>
      </c>
      <c r="AU163" s="48">
        <f t="shared" si="90"/>
        <v>0</v>
      </c>
      <c r="AV163" s="48">
        <f t="shared" si="91"/>
        <v>0</v>
      </c>
      <c r="AW163" s="48">
        <f>IF(N163="ПП",РПП*AB163*(V163/1.5),IF(N163="ВП",ВПр*AB163*(V163/1.5),IF(N163="РПА",РПА*AB163*(V163/1.5),IF(N163="КПА",кпа*AB163*(V163/1.5),0))))</f>
        <v>0</v>
      </c>
      <c r="AX163" s="48">
        <f t="shared" si="92"/>
        <v>0</v>
      </c>
      <c r="AY163" s="48">
        <f t="shared" si="93"/>
        <v>0</v>
      </c>
      <c r="AZ163" s="48">
        <f t="shared" si="94"/>
        <v>0</v>
      </c>
      <c r="BA163" s="48">
        <f t="shared" si="95"/>
        <v>0</v>
      </c>
      <c r="BB163" s="48">
        <f t="shared" si="96"/>
        <v>0</v>
      </c>
      <c r="BC163" s="48">
        <f t="shared" si="97"/>
        <v>0</v>
      </c>
      <c r="BD163" s="48">
        <f t="shared" si="98"/>
        <v>0</v>
      </c>
      <c r="BE163" s="48">
        <f t="shared" si="99"/>
        <v>0</v>
      </c>
      <c r="BF163" s="49">
        <f t="shared" si="100"/>
        <v>0</v>
      </c>
      <c r="BG163" s="50"/>
      <c r="BH163" s="51">
        <f t="shared" si="101"/>
        <v>0</v>
      </c>
      <c r="BI163" s="51">
        <f t="shared" si="102"/>
        <v>0</v>
      </c>
      <c r="BJ163" s="51">
        <f t="shared" si="103"/>
        <v>0</v>
      </c>
      <c r="BK163" s="52">
        <f t="shared" si="104"/>
        <v>0</v>
      </c>
      <c r="BL163" s="52">
        <f t="shared" si="105"/>
        <v>0</v>
      </c>
      <c r="BM163" s="52">
        <f t="shared" si="106"/>
        <v>0</v>
      </c>
    </row>
    <row r="164" spans="1:65" ht="30" customHeight="1" x14ac:dyDescent="0.25">
      <c r="A164" s="31" t="str">
        <f t="shared" si="72"/>
        <v>Д</v>
      </c>
      <c r="B164" s="31" t="str">
        <f t="shared" si="73"/>
        <v>Б</v>
      </c>
      <c r="C164" s="32" t="s">
        <v>186</v>
      </c>
      <c r="D164" s="33" t="str">
        <f t="shared" si="74"/>
        <v>Факультет физико-математических и естественных наук</v>
      </c>
      <c r="E164" s="34" t="str">
        <f t="shared" si="75"/>
        <v>'02.03.00</v>
      </c>
      <c r="F164" s="35" t="str">
        <f t="shared" si="76"/>
        <v>Компьютерные и информационные науки (УГСН)</v>
      </c>
      <c r="G164" s="36" t="s">
        <v>76</v>
      </c>
      <c r="H164" s="36" t="s">
        <v>183</v>
      </c>
      <c r="I164" s="37"/>
      <c r="J164" s="37"/>
      <c r="K164" s="38" t="s">
        <v>98</v>
      </c>
      <c r="L164" s="39">
        <v>1</v>
      </c>
      <c r="M164" s="39">
        <v>18</v>
      </c>
      <c r="N164" s="40" t="s">
        <v>94</v>
      </c>
      <c r="O164" s="39"/>
      <c r="P164" s="39">
        <v>2</v>
      </c>
      <c r="Q164" s="39"/>
      <c r="R164" s="40" t="s">
        <v>95</v>
      </c>
      <c r="S164" s="41"/>
      <c r="T164" s="41"/>
      <c r="U164" s="41"/>
      <c r="V164" s="41"/>
      <c r="W164" s="41"/>
      <c r="X164" s="42" t="str">
        <f t="shared" si="77"/>
        <v>НКАбд</v>
      </c>
      <c r="Y164" s="39" t="s">
        <v>89</v>
      </c>
      <c r="Z164" s="39">
        <v>1</v>
      </c>
      <c r="AA164" s="39">
        <v>1</v>
      </c>
      <c r="AB164" s="42">
        <f t="shared" si="78"/>
        <v>26</v>
      </c>
      <c r="AC164" s="39">
        <v>17</v>
      </c>
      <c r="AD164" s="39">
        <v>9</v>
      </c>
      <c r="AE164" s="44">
        <f t="shared" si="79"/>
        <v>12</v>
      </c>
      <c r="AF164" s="45">
        <f t="shared" si="80"/>
        <v>1</v>
      </c>
      <c r="AG164" s="45">
        <f t="shared" si="81"/>
        <v>2.1666666666666665</v>
      </c>
      <c r="AH164" s="46" t="s">
        <v>82</v>
      </c>
      <c r="AI164" s="40" t="s">
        <v>99</v>
      </c>
      <c r="AJ164" s="40" t="s">
        <v>100</v>
      </c>
      <c r="AK164" s="47" t="s">
        <v>101</v>
      </c>
      <c r="AL164" s="40"/>
      <c r="AM164" s="48">
        <f t="shared" si="82"/>
        <v>0</v>
      </c>
      <c r="AN164" s="48">
        <f t="shared" si="83"/>
        <v>0</v>
      </c>
      <c r="AO164" s="48">
        <f t="shared" si="84"/>
        <v>36</v>
      </c>
      <c r="AP164" s="48">
        <f t="shared" si="85"/>
        <v>8.58</v>
      </c>
      <c r="AQ164" s="48">
        <f t="shared" si="86"/>
        <v>13</v>
      </c>
      <c r="AR164" s="48">
        <f t="shared" si="87"/>
        <v>1</v>
      </c>
      <c r="AS164" s="48">
        <f t="shared" si="88"/>
        <v>0</v>
      </c>
      <c r="AT164" s="48">
        <f t="shared" si="89"/>
        <v>0</v>
      </c>
      <c r="AU164" s="48">
        <f t="shared" si="90"/>
        <v>0</v>
      </c>
      <c r="AV164" s="48">
        <f t="shared" si="91"/>
        <v>0</v>
      </c>
      <c r="AW164" s="48">
        <f>IF(N164="ПП",РПП*AB164*(V164/1.5),IF(N164="ВП",ВПр*AB164*(V164/1.5),IF(N164="РПА",РПА*AB164*(V164/1.5),IF(N164="КПА",кпа*AB164*(V164/1.5),0))))</f>
        <v>0</v>
      </c>
      <c r="AX164" s="48">
        <f t="shared" si="92"/>
        <v>0</v>
      </c>
      <c r="AY164" s="48">
        <f t="shared" si="93"/>
        <v>0</v>
      </c>
      <c r="AZ164" s="48">
        <f t="shared" si="94"/>
        <v>0</v>
      </c>
      <c r="BA164" s="48">
        <f t="shared" si="95"/>
        <v>0</v>
      </c>
      <c r="BB164" s="48">
        <f t="shared" si="96"/>
        <v>0</v>
      </c>
      <c r="BC164" s="48">
        <f t="shared" si="97"/>
        <v>0</v>
      </c>
      <c r="BD164" s="48">
        <f t="shared" si="98"/>
        <v>0</v>
      </c>
      <c r="BE164" s="48">
        <f t="shared" si="99"/>
        <v>0</v>
      </c>
      <c r="BF164" s="49">
        <f t="shared" si="100"/>
        <v>58.58</v>
      </c>
      <c r="BG164" s="50"/>
      <c r="BH164" s="51">
        <f t="shared" si="101"/>
        <v>36</v>
      </c>
      <c r="BI164" s="51">
        <f t="shared" si="102"/>
        <v>1</v>
      </c>
      <c r="BJ164" s="51">
        <f t="shared" si="103"/>
        <v>22.58</v>
      </c>
      <c r="BK164" s="52">
        <f t="shared" si="104"/>
        <v>0</v>
      </c>
      <c r="BL164" s="52">
        <f t="shared" si="105"/>
        <v>0</v>
      </c>
      <c r="BM164" s="52">
        <f t="shared" si="106"/>
        <v>0</v>
      </c>
    </row>
    <row r="165" spans="1:65" ht="30" customHeight="1" x14ac:dyDescent="0.25">
      <c r="A165" s="31" t="str">
        <f t="shared" si="72"/>
        <v>Д</v>
      </c>
      <c r="B165" s="31" t="str">
        <f t="shared" si="73"/>
        <v>Б</v>
      </c>
      <c r="C165" s="32" t="s">
        <v>186</v>
      </c>
      <c r="D165" s="33" t="str">
        <f t="shared" si="74"/>
        <v>Факультет физико-математических и естественных наук</v>
      </c>
      <c r="E165" s="34" t="str">
        <f t="shared" si="75"/>
        <v>'02.03.00</v>
      </c>
      <c r="F165" s="35" t="str">
        <f t="shared" si="76"/>
        <v>Компьютерные и информационные науки (УГСН)</v>
      </c>
      <c r="G165" s="36" t="s">
        <v>76</v>
      </c>
      <c r="H165" s="36" t="s">
        <v>183</v>
      </c>
      <c r="I165" s="37"/>
      <c r="J165" s="37"/>
      <c r="K165" s="38" t="s">
        <v>98</v>
      </c>
      <c r="L165" s="39">
        <v>1</v>
      </c>
      <c r="M165" s="39">
        <v>18</v>
      </c>
      <c r="N165" s="40" t="s">
        <v>94</v>
      </c>
      <c r="O165" s="39"/>
      <c r="P165" s="39">
        <v>2</v>
      </c>
      <c r="Q165" s="39"/>
      <c r="R165" s="40" t="s">
        <v>95</v>
      </c>
      <c r="S165" s="41"/>
      <c r="T165" s="41"/>
      <c r="U165" s="41"/>
      <c r="V165" s="41"/>
      <c r="W165" s="41"/>
      <c r="X165" s="42" t="str">
        <f t="shared" si="77"/>
        <v>НКАбд</v>
      </c>
      <c r="Y165" s="39" t="s">
        <v>89</v>
      </c>
      <c r="Z165" s="39">
        <v>1</v>
      </c>
      <c r="AA165" s="39">
        <v>1</v>
      </c>
      <c r="AB165" s="42">
        <f t="shared" si="78"/>
        <v>0</v>
      </c>
      <c r="AC165" s="39"/>
      <c r="AD165" s="39"/>
      <c r="AE165" s="44">
        <f t="shared" si="79"/>
        <v>12</v>
      </c>
      <c r="AF165" s="45">
        <f t="shared" si="80"/>
        <v>0</v>
      </c>
      <c r="AG165" s="45">
        <f t="shared" si="81"/>
        <v>0</v>
      </c>
      <c r="AH165" s="46" t="s">
        <v>82</v>
      </c>
      <c r="AI165" s="40" t="s">
        <v>99</v>
      </c>
      <c r="AJ165" s="40" t="s">
        <v>100</v>
      </c>
      <c r="AK165" s="47" t="s">
        <v>101</v>
      </c>
      <c r="AL165" s="40"/>
      <c r="AM165" s="48">
        <f t="shared" si="82"/>
        <v>0</v>
      </c>
      <c r="AN165" s="48">
        <f t="shared" si="83"/>
        <v>0</v>
      </c>
      <c r="AO165" s="48">
        <f t="shared" si="84"/>
        <v>0</v>
      </c>
      <c r="AP165" s="48">
        <f t="shared" si="85"/>
        <v>0</v>
      </c>
      <c r="AQ165" s="48">
        <f t="shared" si="86"/>
        <v>0</v>
      </c>
      <c r="AR165" s="48">
        <f t="shared" si="87"/>
        <v>0</v>
      </c>
      <c r="AS165" s="48">
        <f t="shared" si="88"/>
        <v>0</v>
      </c>
      <c r="AT165" s="48">
        <f t="shared" si="89"/>
        <v>0</v>
      </c>
      <c r="AU165" s="48">
        <f t="shared" si="90"/>
        <v>0</v>
      </c>
      <c r="AV165" s="48">
        <f t="shared" si="91"/>
        <v>0</v>
      </c>
      <c r="AW165" s="48">
        <f>IF(N165="ПП",РПП*AB165*(V165/1.5),IF(N165="ВП",ВПр*AB165*(V165/1.5),IF(N165="РПА",РПА*AB165*(V165/1.5),IF(N165="КПА",кпа*AB165*(V165/1.5),0))))</f>
        <v>0</v>
      </c>
      <c r="AX165" s="48">
        <f t="shared" si="92"/>
        <v>0</v>
      </c>
      <c r="AY165" s="48">
        <f t="shared" si="93"/>
        <v>0</v>
      </c>
      <c r="AZ165" s="48">
        <f t="shared" si="94"/>
        <v>0</v>
      </c>
      <c r="BA165" s="48">
        <f t="shared" si="95"/>
        <v>0</v>
      </c>
      <c r="BB165" s="48">
        <f t="shared" si="96"/>
        <v>0</v>
      </c>
      <c r="BC165" s="48">
        <f t="shared" si="97"/>
        <v>0</v>
      </c>
      <c r="BD165" s="48">
        <f t="shared" si="98"/>
        <v>0</v>
      </c>
      <c r="BE165" s="48">
        <f t="shared" si="99"/>
        <v>0</v>
      </c>
      <c r="BF165" s="49">
        <f t="shared" si="100"/>
        <v>0</v>
      </c>
      <c r="BG165" s="50"/>
      <c r="BH165" s="51">
        <f t="shared" si="101"/>
        <v>0</v>
      </c>
      <c r="BI165" s="51">
        <f t="shared" si="102"/>
        <v>0</v>
      </c>
      <c r="BJ165" s="51">
        <f t="shared" si="103"/>
        <v>0</v>
      </c>
      <c r="BK165" s="52">
        <f t="shared" si="104"/>
        <v>0</v>
      </c>
      <c r="BL165" s="52">
        <f t="shared" si="105"/>
        <v>0</v>
      </c>
      <c r="BM165" s="52">
        <f t="shared" si="106"/>
        <v>0</v>
      </c>
    </row>
    <row r="166" spans="1:65" ht="30" customHeight="1" x14ac:dyDescent="0.25">
      <c r="A166" s="31" t="str">
        <f t="shared" si="72"/>
        <v>Д</v>
      </c>
      <c r="B166" s="31" t="str">
        <f t="shared" si="73"/>
        <v>Б</v>
      </c>
      <c r="C166" s="32" t="s">
        <v>186</v>
      </c>
      <c r="D166" s="33" t="str">
        <f t="shared" si="74"/>
        <v>Факультет физико-математических и естественных наук</v>
      </c>
      <c r="E166" s="34" t="str">
        <f t="shared" si="75"/>
        <v>'02.03.00</v>
      </c>
      <c r="F166" s="35" t="str">
        <f t="shared" si="76"/>
        <v>Компьютерные и информационные науки (УГСН)</v>
      </c>
      <c r="G166" s="36" t="s">
        <v>76</v>
      </c>
      <c r="H166" s="36" t="s">
        <v>183</v>
      </c>
      <c r="I166" s="37"/>
      <c r="J166" s="37"/>
      <c r="K166" s="38" t="s">
        <v>98</v>
      </c>
      <c r="L166" s="39">
        <v>1</v>
      </c>
      <c r="M166" s="39">
        <v>18</v>
      </c>
      <c r="N166" s="40" t="s">
        <v>94</v>
      </c>
      <c r="O166" s="39"/>
      <c r="P166" s="39">
        <v>2</v>
      </c>
      <c r="Q166" s="39"/>
      <c r="R166" s="40" t="s">
        <v>95</v>
      </c>
      <c r="S166" s="41"/>
      <c r="T166" s="41"/>
      <c r="U166" s="41"/>
      <c r="V166" s="41"/>
      <c r="W166" s="41"/>
      <c r="X166" s="42" t="str">
        <f t="shared" si="77"/>
        <v>НКАбд</v>
      </c>
      <c r="Y166" s="39" t="s">
        <v>188</v>
      </c>
      <c r="Z166" s="39">
        <v>1</v>
      </c>
      <c r="AA166" s="39">
        <v>1</v>
      </c>
      <c r="AB166" s="42">
        <f t="shared" si="78"/>
        <v>26</v>
      </c>
      <c r="AC166" s="39">
        <v>16</v>
      </c>
      <c r="AD166" s="39">
        <v>10</v>
      </c>
      <c r="AE166" s="44">
        <f t="shared" si="79"/>
        <v>12</v>
      </c>
      <c r="AF166" s="45">
        <f t="shared" si="80"/>
        <v>1</v>
      </c>
      <c r="AG166" s="45">
        <f t="shared" si="81"/>
        <v>2.1666666666666665</v>
      </c>
      <c r="AH166" s="46" t="s">
        <v>82</v>
      </c>
      <c r="AI166" s="40" t="s">
        <v>99</v>
      </c>
      <c r="AJ166" s="40" t="s">
        <v>100</v>
      </c>
      <c r="AK166" s="47" t="s">
        <v>101</v>
      </c>
      <c r="AL166" s="40"/>
      <c r="AM166" s="48">
        <f t="shared" si="82"/>
        <v>0</v>
      </c>
      <c r="AN166" s="48">
        <f t="shared" si="83"/>
        <v>0</v>
      </c>
      <c r="AO166" s="48">
        <f t="shared" si="84"/>
        <v>36</v>
      </c>
      <c r="AP166" s="48">
        <f t="shared" si="85"/>
        <v>8.58</v>
      </c>
      <c r="AQ166" s="48">
        <f t="shared" si="86"/>
        <v>13</v>
      </c>
      <c r="AR166" s="48">
        <f t="shared" si="87"/>
        <v>1</v>
      </c>
      <c r="AS166" s="48">
        <f t="shared" si="88"/>
        <v>0</v>
      </c>
      <c r="AT166" s="48">
        <f t="shared" si="89"/>
        <v>0</v>
      </c>
      <c r="AU166" s="48">
        <f t="shared" si="90"/>
        <v>0</v>
      </c>
      <c r="AV166" s="48">
        <f t="shared" si="91"/>
        <v>0</v>
      </c>
      <c r="AW166" s="48">
        <f>IF(N166="ПП",РПП*AB166*(V166/1.5),IF(N166="ВП",ВПр*AB166*(V166/1.5),IF(N166="РПА",РПА*AB166*(V166/1.5),IF(N166="КПА",кпа*AB166*(V166/1.5),0))))</f>
        <v>0</v>
      </c>
      <c r="AX166" s="48">
        <f t="shared" si="92"/>
        <v>0</v>
      </c>
      <c r="AY166" s="48">
        <f t="shared" si="93"/>
        <v>0</v>
      </c>
      <c r="AZ166" s="48">
        <f t="shared" si="94"/>
        <v>0</v>
      </c>
      <c r="BA166" s="48">
        <f t="shared" si="95"/>
        <v>0</v>
      </c>
      <c r="BB166" s="48">
        <f t="shared" si="96"/>
        <v>0</v>
      </c>
      <c r="BC166" s="48">
        <f t="shared" si="97"/>
        <v>0</v>
      </c>
      <c r="BD166" s="48">
        <f t="shared" si="98"/>
        <v>0</v>
      </c>
      <c r="BE166" s="48">
        <f t="shared" si="99"/>
        <v>0</v>
      </c>
      <c r="BF166" s="49">
        <f t="shared" si="100"/>
        <v>58.58</v>
      </c>
      <c r="BG166" s="50"/>
      <c r="BH166" s="51">
        <f t="shared" si="101"/>
        <v>36</v>
      </c>
      <c r="BI166" s="51">
        <f t="shared" si="102"/>
        <v>1</v>
      </c>
      <c r="BJ166" s="51">
        <f t="shared" si="103"/>
        <v>22.58</v>
      </c>
      <c r="BK166" s="52">
        <f t="shared" si="104"/>
        <v>0</v>
      </c>
      <c r="BL166" s="52">
        <f t="shared" si="105"/>
        <v>0</v>
      </c>
      <c r="BM166" s="52">
        <f t="shared" si="106"/>
        <v>0</v>
      </c>
    </row>
    <row r="167" spans="1:65" ht="30" customHeight="1" x14ac:dyDescent="0.25">
      <c r="A167" s="31" t="str">
        <f t="shared" si="72"/>
        <v>Д</v>
      </c>
      <c r="B167" s="31" t="str">
        <f t="shared" si="73"/>
        <v>Б</v>
      </c>
      <c r="C167" s="32" t="s">
        <v>186</v>
      </c>
      <c r="D167" s="33" t="str">
        <f t="shared" si="74"/>
        <v>Факультет физико-математических и естественных наук</v>
      </c>
      <c r="E167" s="34" t="str">
        <f t="shared" si="75"/>
        <v>'02.03.00</v>
      </c>
      <c r="F167" s="35" t="str">
        <f t="shared" si="76"/>
        <v>Компьютерные и информационные науки (УГСН)</v>
      </c>
      <c r="G167" s="36" t="s">
        <v>76</v>
      </c>
      <c r="H167" s="36" t="s">
        <v>183</v>
      </c>
      <c r="I167" s="37"/>
      <c r="J167" s="37"/>
      <c r="K167" s="38" t="s">
        <v>98</v>
      </c>
      <c r="L167" s="39">
        <v>1</v>
      </c>
      <c r="M167" s="39">
        <v>18</v>
      </c>
      <c r="N167" s="40" t="s">
        <v>94</v>
      </c>
      <c r="O167" s="39"/>
      <c r="P167" s="39">
        <v>2</v>
      </c>
      <c r="Q167" s="39"/>
      <c r="R167" s="40" t="s">
        <v>95</v>
      </c>
      <c r="S167" s="41"/>
      <c r="T167" s="41"/>
      <c r="U167" s="41"/>
      <c r="V167" s="41"/>
      <c r="W167" s="41"/>
      <c r="X167" s="42" t="str">
        <f t="shared" si="77"/>
        <v>НКАбд</v>
      </c>
      <c r="Y167" s="39" t="s">
        <v>188</v>
      </c>
      <c r="Z167" s="39">
        <v>1</v>
      </c>
      <c r="AA167" s="39">
        <v>1</v>
      </c>
      <c r="AB167" s="42">
        <f t="shared" si="78"/>
        <v>0</v>
      </c>
      <c r="AC167" s="39"/>
      <c r="AD167" s="39"/>
      <c r="AE167" s="44">
        <f t="shared" si="79"/>
        <v>12</v>
      </c>
      <c r="AF167" s="45">
        <f t="shared" si="80"/>
        <v>0</v>
      </c>
      <c r="AG167" s="45">
        <f t="shared" si="81"/>
        <v>0</v>
      </c>
      <c r="AH167" s="46" t="s">
        <v>82</v>
      </c>
      <c r="AI167" s="40" t="s">
        <v>99</v>
      </c>
      <c r="AJ167" s="40" t="s">
        <v>100</v>
      </c>
      <c r="AK167" s="47" t="s">
        <v>101</v>
      </c>
      <c r="AL167" s="40"/>
      <c r="AM167" s="48">
        <f t="shared" si="82"/>
        <v>0</v>
      </c>
      <c r="AN167" s="48">
        <f t="shared" si="83"/>
        <v>0</v>
      </c>
      <c r="AO167" s="48">
        <f t="shared" si="84"/>
        <v>0</v>
      </c>
      <c r="AP167" s="48">
        <f t="shared" si="85"/>
        <v>0</v>
      </c>
      <c r="AQ167" s="48">
        <f t="shared" si="86"/>
        <v>0</v>
      </c>
      <c r="AR167" s="48">
        <f t="shared" si="87"/>
        <v>0</v>
      </c>
      <c r="AS167" s="48">
        <f t="shared" si="88"/>
        <v>0</v>
      </c>
      <c r="AT167" s="48">
        <f t="shared" si="89"/>
        <v>0</v>
      </c>
      <c r="AU167" s="48">
        <f t="shared" si="90"/>
        <v>0</v>
      </c>
      <c r="AV167" s="48">
        <f t="shared" si="91"/>
        <v>0</v>
      </c>
      <c r="AW167" s="48">
        <f>IF(N167="ПП",РПП*AB167*(V167/1.5),IF(N167="ВП",ВПр*AB167*(V167/1.5),IF(N167="РПА",РПА*AB167*(V167/1.5),IF(N167="КПА",кпа*AB167*(V167/1.5),0))))</f>
        <v>0</v>
      </c>
      <c r="AX167" s="48">
        <f t="shared" si="92"/>
        <v>0</v>
      </c>
      <c r="AY167" s="48">
        <f t="shared" si="93"/>
        <v>0</v>
      </c>
      <c r="AZ167" s="48">
        <f t="shared" si="94"/>
        <v>0</v>
      </c>
      <c r="BA167" s="48">
        <f t="shared" si="95"/>
        <v>0</v>
      </c>
      <c r="BB167" s="48">
        <f t="shared" si="96"/>
        <v>0</v>
      </c>
      <c r="BC167" s="48">
        <f t="shared" si="97"/>
        <v>0</v>
      </c>
      <c r="BD167" s="48">
        <f t="shared" si="98"/>
        <v>0</v>
      </c>
      <c r="BE167" s="48">
        <f t="shared" si="99"/>
        <v>0</v>
      </c>
      <c r="BF167" s="49">
        <f t="shared" si="100"/>
        <v>0</v>
      </c>
      <c r="BG167" s="50"/>
      <c r="BH167" s="51">
        <f t="shared" si="101"/>
        <v>0</v>
      </c>
      <c r="BI167" s="51">
        <f t="shared" si="102"/>
        <v>0</v>
      </c>
      <c r="BJ167" s="51">
        <f t="shared" si="103"/>
        <v>0</v>
      </c>
      <c r="BK167" s="52">
        <f t="shared" si="104"/>
        <v>0</v>
      </c>
      <c r="BL167" s="52">
        <f t="shared" si="105"/>
        <v>0</v>
      </c>
      <c r="BM167" s="52">
        <f t="shared" si="106"/>
        <v>0</v>
      </c>
    </row>
    <row r="168" spans="1:65" ht="30" customHeight="1" x14ac:dyDescent="0.25">
      <c r="A168" s="31" t="str">
        <f t="shared" si="72"/>
        <v>Д</v>
      </c>
      <c r="B168" s="31" t="str">
        <f t="shared" si="73"/>
        <v>Б</v>
      </c>
      <c r="C168" s="32" t="s">
        <v>186</v>
      </c>
      <c r="D168" s="33" t="str">
        <f t="shared" si="74"/>
        <v>Факультет физико-математических и естественных наук</v>
      </c>
      <c r="E168" s="34" t="str">
        <f t="shared" si="75"/>
        <v>'02.03.00</v>
      </c>
      <c r="F168" s="35" t="str">
        <f t="shared" si="76"/>
        <v>Компьютерные и информационные науки (УГСН)</v>
      </c>
      <c r="G168" s="36" t="s">
        <v>76</v>
      </c>
      <c r="H168" s="36" t="s">
        <v>183</v>
      </c>
      <c r="I168" s="37"/>
      <c r="J168" s="37"/>
      <c r="K168" s="38" t="s">
        <v>98</v>
      </c>
      <c r="L168" s="39">
        <v>1</v>
      </c>
      <c r="M168" s="39">
        <v>18</v>
      </c>
      <c r="N168" s="40" t="s">
        <v>94</v>
      </c>
      <c r="O168" s="39"/>
      <c r="P168" s="39">
        <v>2</v>
      </c>
      <c r="Q168" s="39"/>
      <c r="R168" s="40" t="s">
        <v>95</v>
      </c>
      <c r="S168" s="41"/>
      <c r="T168" s="41"/>
      <c r="U168" s="41"/>
      <c r="V168" s="41"/>
      <c r="W168" s="41"/>
      <c r="X168" s="42" t="str">
        <f t="shared" si="77"/>
        <v>НКАбд</v>
      </c>
      <c r="Y168" s="39" t="s">
        <v>190</v>
      </c>
      <c r="Z168" s="39">
        <v>1</v>
      </c>
      <c r="AA168" s="39">
        <v>1</v>
      </c>
      <c r="AB168" s="42">
        <f t="shared" si="78"/>
        <v>25</v>
      </c>
      <c r="AC168" s="39">
        <v>16</v>
      </c>
      <c r="AD168" s="39">
        <v>9</v>
      </c>
      <c r="AE168" s="44">
        <f t="shared" si="79"/>
        <v>12</v>
      </c>
      <c r="AF168" s="45">
        <f t="shared" si="80"/>
        <v>1</v>
      </c>
      <c r="AG168" s="45">
        <f t="shared" si="81"/>
        <v>2.0833333333333335</v>
      </c>
      <c r="AH168" s="46" t="s">
        <v>82</v>
      </c>
      <c r="AI168" s="40" t="s">
        <v>99</v>
      </c>
      <c r="AJ168" s="40" t="s">
        <v>100</v>
      </c>
      <c r="AK168" s="47" t="s">
        <v>101</v>
      </c>
      <c r="AL168" s="40"/>
      <c r="AM168" s="48">
        <f t="shared" si="82"/>
        <v>0</v>
      </c>
      <c r="AN168" s="48">
        <f t="shared" si="83"/>
        <v>0</v>
      </c>
      <c r="AO168" s="48">
        <f t="shared" si="84"/>
        <v>36</v>
      </c>
      <c r="AP168" s="48">
        <f t="shared" si="85"/>
        <v>8.25</v>
      </c>
      <c r="AQ168" s="48">
        <f t="shared" si="86"/>
        <v>12.5</v>
      </c>
      <c r="AR168" s="48">
        <f t="shared" si="87"/>
        <v>1</v>
      </c>
      <c r="AS168" s="48">
        <f t="shared" si="88"/>
        <v>0</v>
      </c>
      <c r="AT168" s="48">
        <f t="shared" si="89"/>
        <v>0</v>
      </c>
      <c r="AU168" s="48">
        <f t="shared" si="90"/>
        <v>0</v>
      </c>
      <c r="AV168" s="48">
        <f t="shared" si="91"/>
        <v>0</v>
      </c>
      <c r="AW168" s="48">
        <f>IF(N168="ПП",РПП*AB168*(V168/1.5),IF(N168="ВП",ВПр*AB168*(V168/1.5),IF(N168="РПА",РПА*AB168*(V168/1.5),IF(N168="КПА",кпа*AB168*(V168/1.5),0))))</f>
        <v>0</v>
      </c>
      <c r="AX168" s="48">
        <f t="shared" si="92"/>
        <v>0</v>
      </c>
      <c r="AY168" s="48">
        <f t="shared" si="93"/>
        <v>0</v>
      </c>
      <c r="AZ168" s="48">
        <f t="shared" si="94"/>
        <v>0</v>
      </c>
      <c r="BA168" s="48">
        <f t="shared" si="95"/>
        <v>0</v>
      </c>
      <c r="BB168" s="48">
        <f t="shared" si="96"/>
        <v>0</v>
      </c>
      <c r="BC168" s="48">
        <f t="shared" si="97"/>
        <v>0</v>
      </c>
      <c r="BD168" s="48">
        <f t="shared" si="98"/>
        <v>0</v>
      </c>
      <c r="BE168" s="48">
        <f t="shared" si="99"/>
        <v>0</v>
      </c>
      <c r="BF168" s="49">
        <f t="shared" si="100"/>
        <v>57.75</v>
      </c>
      <c r="BG168" s="50"/>
      <c r="BH168" s="51">
        <f t="shared" si="101"/>
        <v>36</v>
      </c>
      <c r="BI168" s="51">
        <f t="shared" si="102"/>
        <v>1</v>
      </c>
      <c r="BJ168" s="51">
        <f t="shared" si="103"/>
        <v>21.75</v>
      </c>
      <c r="BK168" s="52">
        <f t="shared" si="104"/>
        <v>0</v>
      </c>
      <c r="BL168" s="52">
        <f t="shared" si="105"/>
        <v>0</v>
      </c>
      <c r="BM168" s="52">
        <f t="shared" si="106"/>
        <v>0</v>
      </c>
    </row>
    <row r="169" spans="1:65" ht="30" customHeight="1" x14ac:dyDescent="0.25">
      <c r="A169" s="31" t="str">
        <f t="shared" si="72"/>
        <v>Д</v>
      </c>
      <c r="B169" s="31" t="str">
        <f t="shared" si="73"/>
        <v>Б</v>
      </c>
      <c r="C169" s="32" t="s">
        <v>186</v>
      </c>
      <c r="D169" s="33" t="str">
        <f t="shared" si="74"/>
        <v>Факультет физико-математических и естественных наук</v>
      </c>
      <c r="E169" s="34" t="str">
        <f t="shared" si="75"/>
        <v>'02.03.00</v>
      </c>
      <c r="F169" s="35" t="str">
        <f t="shared" si="76"/>
        <v>Компьютерные и информационные науки (УГСН)</v>
      </c>
      <c r="G169" s="36" t="s">
        <v>76</v>
      </c>
      <c r="H169" s="36" t="s">
        <v>183</v>
      </c>
      <c r="I169" s="37"/>
      <c r="J169" s="37"/>
      <c r="K169" s="38" t="s">
        <v>98</v>
      </c>
      <c r="L169" s="39">
        <v>1</v>
      </c>
      <c r="M169" s="39">
        <v>18</v>
      </c>
      <c r="N169" s="40" t="s">
        <v>94</v>
      </c>
      <c r="O169" s="39"/>
      <c r="P169" s="39">
        <v>2</v>
      </c>
      <c r="Q169" s="39"/>
      <c r="R169" s="40" t="s">
        <v>95</v>
      </c>
      <c r="S169" s="41"/>
      <c r="T169" s="41"/>
      <c r="U169" s="41"/>
      <c r="V169" s="41"/>
      <c r="W169" s="41"/>
      <c r="X169" s="42" t="str">
        <f t="shared" si="77"/>
        <v>НКАбд</v>
      </c>
      <c r="Y169" s="39" t="s">
        <v>190</v>
      </c>
      <c r="Z169" s="39">
        <v>1</v>
      </c>
      <c r="AA169" s="39">
        <v>1</v>
      </c>
      <c r="AB169" s="42">
        <f t="shared" si="78"/>
        <v>0</v>
      </c>
      <c r="AC169" s="39"/>
      <c r="AD169" s="39"/>
      <c r="AE169" s="44">
        <f t="shared" si="79"/>
        <v>12</v>
      </c>
      <c r="AF169" s="45">
        <f t="shared" si="80"/>
        <v>0</v>
      </c>
      <c r="AG169" s="45">
        <f t="shared" si="81"/>
        <v>0</v>
      </c>
      <c r="AH169" s="46" t="s">
        <v>82</v>
      </c>
      <c r="AI169" s="40" t="s">
        <v>99</v>
      </c>
      <c r="AJ169" s="40" t="s">
        <v>100</v>
      </c>
      <c r="AK169" s="47" t="s">
        <v>101</v>
      </c>
      <c r="AL169" s="40"/>
      <c r="AM169" s="48">
        <f t="shared" si="82"/>
        <v>0</v>
      </c>
      <c r="AN169" s="48">
        <f t="shared" si="83"/>
        <v>0</v>
      </c>
      <c r="AO169" s="48">
        <f t="shared" si="84"/>
        <v>0</v>
      </c>
      <c r="AP169" s="48">
        <f t="shared" si="85"/>
        <v>0</v>
      </c>
      <c r="AQ169" s="48">
        <f t="shared" si="86"/>
        <v>0</v>
      </c>
      <c r="AR169" s="48">
        <f t="shared" si="87"/>
        <v>0</v>
      </c>
      <c r="AS169" s="48">
        <f t="shared" si="88"/>
        <v>0</v>
      </c>
      <c r="AT169" s="48">
        <f t="shared" si="89"/>
        <v>0</v>
      </c>
      <c r="AU169" s="48">
        <f t="shared" si="90"/>
        <v>0</v>
      </c>
      <c r="AV169" s="48">
        <f t="shared" si="91"/>
        <v>0</v>
      </c>
      <c r="AW169" s="48">
        <f>IF(N169="ПП",РПП*AB169*(V169/1.5),IF(N169="ВП",ВПр*AB169*(V169/1.5),IF(N169="РПА",РПА*AB169*(V169/1.5),IF(N169="КПА",кпа*AB169*(V169/1.5),0))))</f>
        <v>0</v>
      </c>
      <c r="AX169" s="48">
        <f t="shared" si="92"/>
        <v>0</v>
      </c>
      <c r="AY169" s="48">
        <f t="shared" si="93"/>
        <v>0</v>
      </c>
      <c r="AZ169" s="48">
        <f t="shared" si="94"/>
        <v>0</v>
      </c>
      <c r="BA169" s="48">
        <f t="shared" si="95"/>
        <v>0</v>
      </c>
      <c r="BB169" s="48">
        <f t="shared" si="96"/>
        <v>0</v>
      </c>
      <c r="BC169" s="48">
        <f t="shared" si="97"/>
        <v>0</v>
      </c>
      <c r="BD169" s="48">
        <f t="shared" si="98"/>
        <v>0</v>
      </c>
      <c r="BE169" s="48">
        <f t="shared" si="99"/>
        <v>0</v>
      </c>
      <c r="BF169" s="49">
        <f t="shared" si="100"/>
        <v>0</v>
      </c>
      <c r="BG169" s="50"/>
      <c r="BH169" s="51">
        <f t="shared" si="101"/>
        <v>0</v>
      </c>
      <c r="BI169" s="51">
        <f t="shared" si="102"/>
        <v>0</v>
      </c>
      <c r="BJ169" s="51">
        <f t="shared" si="103"/>
        <v>0</v>
      </c>
      <c r="BK169" s="52">
        <f t="shared" si="104"/>
        <v>0</v>
      </c>
      <c r="BL169" s="52">
        <f t="shared" si="105"/>
        <v>0</v>
      </c>
      <c r="BM169" s="52">
        <f t="shared" si="106"/>
        <v>0</v>
      </c>
    </row>
    <row r="170" spans="1:65" ht="30" customHeight="1" x14ac:dyDescent="0.25">
      <c r="A170" s="31" t="str">
        <f t="shared" si="72"/>
        <v>Д</v>
      </c>
      <c r="B170" s="31" t="str">
        <f t="shared" si="73"/>
        <v>Б</v>
      </c>
      <c r="C170" s="32" t="s">
        <v>186</v>
      </c>
      <c r="D170" s="33" t="str">
        <f t="shared" si="74"/>
        <v>Факультет физико-математических и естественных наук</v>
      </c>
      <c r="E170" s="34" t="str">
        <f t="shared" si="75"/>
        <v>'02.03.00</v>
      </c>
      <c r="F170" s="35" t="str">
        <f t="shared" si="76"/>
        <v>Компьютерные и информационные науки (УГСН)</v>
      </c>
      <c r="G170" s="36" t="s">
        <v>76</v>
      </c>
      <c r="H170" s="36" t="s">
        <v>183</v>
      </c>
      <c r="I170" s="37"/>
      <c r="J170" s="37"/>
      <c r="K170" s="38" t="s">
        <v>98</v>
      </c>
      <c r="L170" s="39">
        <v>1</v>
      </c>
      <c r="M170" s="39">
        <v>18</v>
      </c>
      <c r="N170" s="40" t="s">
        <v>94</v>
      </c>
      <c r="O170" s="39"/>
      <c r="P170" s="39">
        <v>2</v>
      </c>
      <c r="Q170" s="39"/>
      <c r="R170" s="40" t="s">
        <v>95</v>
      </c>
      <c r="S170" s="41"/>
      <c r="T170" s="41"/>
      <c r="U170" s="41"/>
      <c r="V170" s="41"/>
      <c r="W170" s="41"/>
      <c r="X170" s="42" t="str">
        <f t="shared" si="77"/>
        <v>НКАбд</v>
      </c>
      <c r="Y170" s="39" t="s">
        <v>191</v>
      </c>
      <c r="Z170" s="39">
        <v>1</v>
      </c>
      <c r="AA170" s="39">
        <v>1</v>
      </c>
      <c r="AB170" s="42">
        <f t="shared" si="78"/>
        <v>25</v>
      </c>
      <c r="AC170" s="39">
        <v>16</v>
      </c>
      <c r="AD170" s="39">
        <v>9</v>
      </c>
      <c r="AE170" s="44">
        <f t="shared" si="79"/>
        <v>12</v>
      </c>
      <c r="AF170" s="45">
        <f t="shared" si="80"/>
        <v>1</v>
      </c>
      <c r="AG170" s="45">
        <f t="shared" si="81"/>
        <v>2.0833333333333335</v>
      </c>
      <c r="AH170" s="46" t="s">
        <v>82</v>
      </c>
      <c r="AI170" s="40" t="s">
        <v>99</v>
      </c>
      <c r="AJ170" s="40" t="s">
        <v>100</v>
      </c>
      <c r="AK170" s="47" t="s">
        <v>101</v>
      </c>
      <c r="AL170" s="40"/>
      <c r="AM170" s="48">
        <f t="shared" si="82"/>
        <v>0</v>
      </c>
      <c r="AN170" s="48">
        <f t="shared" si="83"/>
        <v>0</v>
      </c>
      <c r="AO170" s="48">
        <f t="shared" si="84"/>
        <v>36</v>
      </c>
      <c r="AP170" s="48">
        <f t="shared" si="85"/>
        <v>8.25</v>
      </c>
      <c r="AQ170" s="48">
        <f t="shared" si="86"/>
        <v>12.5</v>
      </c>
      <c r="AR170" s="48">
        <f t="shared" si="87"/>
        <v>1</v>
      </c>
      <c r="AS170" s="48">
        <f t="shared" si="88"/>
        <v>0</v>
      </c>
      <c r="AT170" s="48">
        <f t="shared" si="89"/>
        <v>0</v>
      </c>
      <c r="AU170" s="48">
        <f t="shared" si="90"/>
        <v>0</v>
      </c>
      <c r="AV170" s="48">
        <f t="shared" si="91"/>
        <v>0</v>
      </c>
      <c r="AW170" s="48">
        <f>IF(N170="ПП",РПП*AB170*(V170/1.5),IF(N170="ВП",ВПр*AB170*(V170/1.5),IF(N170="РПА",РПА*AB170*(V170/1.5),IF(N170="КПА",кпа*AB170*(V170/1.5),0))))</f>
        <v>0</v>
      </c>
      <c r="AX170" s="48">
        <f t="shared" si="92"/>
        <v>0</v>
      </c>
      <c r="AY170" s="48">
        <f t="shared" si="93"/>
        <v>0</v>
      </c>
      <c r="AZ170" s="48">
        <f t="shared" si="94"/>
        <v>0</v>
      </c>
      <c r="BA170" s="48">
        <f t="shared" si="95"/>
        <v>0</v>
      </c>
      <c r="BB170" s="48">
        <f t="shared" si="96"/>
        <v>0</v>
      </c>
      <c r="BC170" s="48">
        <f t="shared" si="97"/>
        <v>0</v>
      </c>
      <c r="BD170" s="48">
        <f t="shared" si="98"/>
        <v>0</v>
      </c>
      <c r="BE170" s="48">
        <f t="shared" si="99"/>
        <v>0</v>
      </c>
      <c r="BF170" s="49">
        <f t="shared" si="100"/>
        <v>57.75</v>
      </c>
      <c r="BG170" s="50"/>
      <c r="BH170" s="51">
        <f t="shared" si="101"/>
        <v>36</v>
      </c>
      <c r="BI170" s="51">
        <f t="shared" si="102"/>
        <v>1</v>
      </c>
      <c r="BJ170" s="51">
        <f t="shared" si="103"/>
        <v>21.75</v>
      </c>
      <c r="BK170" s="52">
        <f t="shared" si="104"/>
        <v>0</v>
      </c>
      <c r="BL170" s="52">
        <f t="shared" si="105"/>
        <v>0</v>
      </c>
      <c r="BM170" s="52">
        <f t="shared" si="106"/>
        <v>0</v>
      </c>
    </row>
    <row r="171" spans="1:65" ht="30" customHeight="1" x14ac:dyDescent="0.25">
      <c r="A171" s="31" t="str">
        <f t="shared" si="72"/>
        <v>Д</v>
      </c>
      <c r="B171" s="31" t="str">
        <f t="shared" si="73"/>
        <v>Б</v>
      </c>
      <c r="C171" s="32" t="s">
        <v>186</v>
      </c>
      <c r="D171" s="33" t="str">
        <f t="shared" si="74"/>
        <v>Факультет физико-математических и естественных наук</v>
      </c>
      <c r="E171" s="34" t="str">
        <f t="shared" si="75"/>
        <v>'02.03.00</v>
      </c>
      <c r="F171" s="35" t="str">
        <f t="shared" si="76"/>
        <v>Компьютерные и информационные науки (УГСН)</v>
      </c>
      <c r="G171" s="36" t="s">
        <v>76</v>
      </c>
      <c r="H171" s="36" t="s">
        <v>183</v>
      </c>
      <c r="I171" s="37"/>
      <c r="J171" s="37"/>
      <c r="K171" s="38" t="s">
        <v>98</v>
      </c>
      <c r="L171" s="39">
        <v>1</v>
      </c>
      <c r="M171" s="39">
        <v>18</v>
      </c>
      <c r="N171" s="40" t="s">
        <v>94</v>
      </c>
      <c r="O171" s="39"/>
      <c r="P171" s="39">
        <v>2</v>
      </c>
      <c r="Q171" s="39"/>
      <c r="R171" s="40" t="s">
        <v>95</v>
      </c>
      <c r="S171" s="41"/>
      <c r="T171" s="41"/>
      <c r="U171" s="41"/>
      <c r="V171" s="41"/>
      <c r="W171" s="41"/>
      <c r="X171" s="42" t="str">
        <f t="shared" si="77"/>
        <v>НКАбд</v>
      </c>
      <c r="Y171" s="39" t="s">
        <v>191</v>
      </c>
      <c r="Z171" s="39">
        <v>1</v>
      </c>
      <c r="AA171" s="39">
        <v>1</v>
      </c>
      <c r="AB171" s="42">
        <f t="shared" si="78"/>
        <v>0</v>
      </c>
      <c r="AC171" s="39"/>
      <c r="AD171" s="39"/>
      <c r="AE171" s="44">
        <f t="shared" si="79"/>
        <v>12</v>
      </c>
      <c r="AF171" s="45">
        <f t="shared" si="80"/>
        <v>0</v>
      </c>
      <c r="AG171" s="45">
        <f t="shared" si="81"/>
        <v>0</v>
      </c>
      <c r="AH171" s="46" t="s">
        <v>82</v>
      </c>
      <c r="AI171" s="40" t="s">
        <v>99</v>
      </c>
      <c r="AJ171" s="40" t="s">
        <v>100</v>
      </c>
      <c r="AK171" s="47" t="s">
        <v>101</v>
      </c>
      <c r="AL171" s="40"/>
      <c r="AM171" s="48">
        <f t="shared" si="82"/>
        <v>0</v>
      </c>
      <c r="AN171" s="48">
        <f t="shared" si="83"/>
        <v>0</v>
      </c>
      <c r="AO171" s="48">
        <f t="shared" si="84"/>
        <v>0</v>
      </c>
      <c r="AP171" s="48">
        <f t="shared" si="85"/>
        <v>0</v>
      </c>
      <c r="AQ171" s="48">
        <f t="shared" si="86"/>
        <v>0</v>
      </c>
      <c r="AR171" s="48">
        <f t="shared" si="87"/>
        <v>0</v>
      </c>
      <c r="AS171" s="48">
        <f t="shared" si="88"/>
        <v>0</v>
      </c>
      <c r="AT171" s="48">
        <f t="shared" si="89"/>
        <v>0</v>
      </c>
      <c r="AU171" s="48">
        <f t="shared" si="90"/>
        <v>0</v>
      </c>
      <c r="AV171" s="48">
        <f t="shared" si="91"/>
        <v>0</v>
      </c>
      <c r="AW171" s="48">
        <f>IF(N171="ПП",РПП*AB171*(V171/1.5),IF(N171="ВП",ВПр*AB171*(V171/1.5),IF(N171="РПА",РПА*AB171*(V171/1.5),IF(N171="КПА",кпа*AB171*(V171/1.5),0))))</f>
        <v>0</v>
      </c>
      <c r="AX171" s="48">
        <f t="shared" si="92"/>
        <v>0</v>
      </c>
      <c r="AY171" s="48">
        <f t="shared" si="93"/>
        <v>0</v>
      </c>
      <c r="AZ171" s="48">
        <f t="shared" si="94"/>
        <v>0</v>
      </c>
      <c r="BA171" s="48">
        <f t="shared" si="95"/>
        <v>0</v>
      </c>
      <c r="BB171" s="48">
        <f t="shared" si="96"/>
        <v>0</v>
      </c>
      <c r="BC171" s="48">
        <f t="shared" si="97"/>
        <v>0</v>
      </c>
      <c r="BD171" s="48">
        <f t="shared" si="98"/>
        <v>0</v>
      </c>
      <c r="BE171" s="48">
        <f t="shared" si="99"/>
        <v>0</v>
      </c>
      <c r="BF171" s="49">
        <f t="shared" si="100"/>
        <v>0</v>
      </c>
      <c r="BG171" s="50"/>
      <c r="BH171" s="51">
        <f t="shared" si="101"/>
        <v>0</v>
      </c>
      <c r="BI171" s="51">
        <f t="shared" si="102"/>
        <v>0</v>
      </c>
      <c r="BJ171" s="51">
        <f t="shared" si="103"/>
        <v>0</v>
      </c>
      <c r="BK171" s="52">
        <f t="shared" si="104"/>
        <v>0</v>
      </c>
      <c r="BL171" s="52">
        <f t="shared" si="105"/>
        <v>0</v>
      </c>
      <c r="BM171" s="52">
        <f t="shared" si="106"/>
        <v>0</v>
      </c>
    </row>
    <row r="172" spans="1:65" ht="30" customHeight="1" x14ac:dyDescent="0.25">
      <c r="A172" s="31" t="str">
        <f t="shared" si="72"/>
        <v>Д</v>
      </c>
      <c r="B172" s="31" t="str">
        <f t="shared" si="73"/>
        <v>Б</v>
      </c>
      <c r="C172" s="32" t="s">
        <v>186</v>
      </c>
      <c r="D172" s="33" t="str">
        <f t="shared" si="74"/>
        <v>Факультет физико-математических и естественных наук</v>
      </c>
      <c r="E172" s="34" t="str">
        <f t="shared" si="75"/>
        <v>'02.03.00</v>
      </c>
      <c r="F172" s="35" t="str">
        <f t="shared" si="76"/>
        <v>Компьютерные и информационные науки (УГСН)</v>
      </c>
      <c r="G172" s="36" t="s">
        <v>76</v>
      </c>
      <c r="H172" s="36" t="s">
        <v>183</v>
      </c>
      <c r="I172" s="37"/>
      <c r="J172" s="37"/>
      <c r="K172" s="38" t="s">
        <v>98</v>
      </c>
      <c r="L172" s="39">
        <v>1</v>
      </c>
      <c r="M172" s="39">
        <v>18</v>
      </c>
      <c r="N172" s="40" t="s">
        <v>94</v>
      </c>
      <c r="O172" s="39"/>
      <c r="P172" s="39">
        <v>2</v>
      </c>
      <c r="Q172" s="39"/>
      <c r="R172" s="40" t="s">
        <v>95</v>
      </c>
      <c r="S172" s="41"/>
      <c r="T172" s="41"/>
      <c r="U172" s="41"/>
      <c r="V172" s="41"/>
      <c r="W172" s="41"/>
      <c r="X172" s="42" t="str">
        <f t="shared" si="77"/>
        <v>НКАбд</v>
      </c>
      <c r="Y172" s="43" t="s">
        <v>192</v>
      </c>
      <c r="Z172" s="39">
        <v>1</v>
      </c>
      <c r="AA172" s="39">
        <v>1</v>
      </c>
      <c r="AB172" s="42">
        <f t="shared" si="78"/>
        <v>25</v>
      </c>
      <c r="AC172" s="39">
        <v>16</v>
      </c>
      <c r="AD172" s="39">
        <v>9</v>
      </c>
      <c r="AE172" s="44">
        <f t="shared" si="79"/>
        <v>12</v>
      </c>
      <c r="AF172" s="45">
        <f t="shared" si="80"/>
        <v>1</v>
      </c>
      <c r="AG172" s="45">
        <f t="shared" si="81"/>
        <v>2.0833333333333335</v>
      </c>
      <c r="AH172" s="46" t="s">
        <v>82</v>
      </c>
      <c r="AI172" s="40" t="s">
        <v>99</v>
      </c>
      <c r="AJ172" s="40" t="s">
        <v>100</v>
      </c>
      <c r="AK172" s="47" t="s">
        <v>101</v>
      </c>
      <c r="AL172" s="40"/>
      <c r="AM172" s="48">
        <f t="shared" si="82"/>
        <v>0</v>
      </c>
      <c r="AN172" s="48">
        <f t="shared" si="83"/>
        <v>0</v>
      </c>
      <c r="AO172" s="48">
        <f t="shared" si="84"/>
        <v>36</v>
      </c>
      <c r="AP172" s="48">
        <f t="shared" si="85"/>
        <v>8.25</v>
      </c>
      <c r="AQ172" s="48">
        <f t="shared" si="86"/>
        <v>12.5</v>
      </c>
      <c r="AR172" s="48">
        <f t="shared" si="87"/>
        <v>1</v>
      </c>
      <c r="AS172" s="48">
        <f t="shared" si="88"/>
        <v>0</v>
      </c>
      <c r="AT172" s="48">
        <f t="shared" si="89"/>
        <v>0</v>
      </c>
      <c r="AU172" s="48">
        <f t="shared" si="90"/>
        <v>0</v>
      </c>
      <c r="AV172" s="48">
        <f t="shared" si="91"/>
        <v>0</v>
      </c>
      <c r="AW172" s="48">
        <f>IF(N172="ПП",РПП*AB172*(V172/1.5),IF(N172="ВП",ВПр*AB172*(V172/1.5),IF(N172="РПА",РПА*AB172*(V172/1.5),IF(N172="КПА",кпа*AB172*(V172/1.5),0))))</f>
        <v>0</v>
      </c>
      <c r="AX172" s="48">
        <f t="shared" si="92"/>
        <v>0</v>
      </c>
      <c r="AY172" s="48">
        <f t="shared" si="93"/>
        <v>0</v>
      </c>
      <c r="AZ172" s="48">
        <f t="shared" si="94"/>
        <v>0</v>
      </c>
      <c r="BA172" s="48">
        <f t="shared" si="95"/>
        <v>0</v>
      </c>
      <c r="BB172" s="48">
        <f t="shared" si="96"/>
        <v>0</v>
      </c>
      <c r="BC172" s="48">
        <f t="shared" si="97"/>
        <v>0</v>
      </c>
      <c r="BD172" s="48">
        <f t="shared" si="98"/>
        <v>0</v>
      </c>
      <c r="BE172" s="48">
        <f t="shared" si="99"/>
        <v>0</v>
      </c>
      <c r="BF172" s="49">
        <f t="shared" si="100"/>
        <v>57.75</v>
      </c>
      <c r="BG172" s="50"/>
      <c r="BH172" s="51">
        <f t="shared" si="101"/>
        <v>36</v>
      </c>
      <c r="BI172" s="51">
        <f t="shared" si="102"/>
        <v>1</v>
      </c>
      <c r="BJ172" s="51">
        <f t="shared" si="103"/>
        <v>21.75</v>
      </c>
      <c r="BK172" s="52">
        <f t="shared" si="104"/>
        <v>0</v>
      </c>
      <c r="BL172" s="52">
        <f t="shared" si="105"/>
        <v>0</v>
      </c>
      <c r="BM172" s="52">
        <f t="shared" si="106"/>
        <v>0</v>
      </c>
    </row>
    <row r="173" spans="1:65" ht="30" customHeight="1" x14ac:dyDescent="0.25">
      <c r="A173" s="31" t="str">
        <f t="shared" si="72"/>
        <v>Д</v>
      </c>
      <c r="B173" s="31" t="str">
        <f t="shared" si="73"/>
        <v>Б</v>
      </c>
      <c r="C173" s="32" t="s">
        <v>186</v>
      </c>
      <c r="D173" s="33" t="str">
        <f t="shared" si="74"/>
        <v>Факультет физико-математических и естественных наук</v>
      </c>
      <c r="E173" s="34" t="str">
        <f t="shared" si="75"/>
        <v>'02.03.00</v>
      </c>
      <c r="F173" s="35" t="str">
        <f t="shared" si="76"/>
        <v>Компьютерные и информационные науки (УГСН)</v>
      </c>
      <c r="G173" s="36" t="s">
        <v>76</v>
      </c>
      <c r="H173" s="36" t="s">
        <v>183</v>
      </c>
      <c r="I173" s="37"/>
      <c r="J173" s="37"/>
      <c r="K173" s="38" t="s">
        <v>98</v>
      </c>
      <c r="L173" s="39">
        <v>1</v>
      </c>
      <c r="M173" s="39">
        <v>18</v>
      </c>
      <c r="N173" s="40" t="s">
        <v>94</v>
      </c>
      <c r="O173" s="39"/>
      <c r="P173" s="39">
        <v>2</v>
      </c>
      <c r="Q173" s="39"/>
      <c r="R173" s="40" t="s">
        <v>95</v>
      </c>
      <c r="S173" s="41"/>
      <c r="T173" s="41"/>
      <c r="U173" s="41"/>
      <c r="V173" s="41"/>
      <c r="W173" s="41"/>
      <c r="X173" s="42" t="str">
        <f t="shared" si="77"/>
        <v>НКАбд</v>
      </c>
      <c r="Y173" s="43" t="s">
        <v>192</v>
      </c>
      <c r="Z173" s="39">
        <v>1</v>
      </c>
      <c r="AA173" s="39">
        <v>1</v>
      </c>
      <c r="AB173" s="42">
        <f t="shared" si="78"/>
        <v>0</v>
      </c>
      <c r="AC173" s="39"/>
      <c r="AD173" s="39"/>
      <c r="AE173" s="44">
        <f t="shared" si="79"/>
        <v>12</v>
      </c>
      <c r="AF173" s="45">
        <f t="shared" si="80"/>
        <v>0</v>
      </c>
      <c r="AG173" s="45">
        <f t="shared" si="81"/>
        <v>0</v>
      </c>
      <c r="AH173" s="46" t="s">
        <v>82</v>
      </c>
      <c r="AI173" s="40" t="s">
        <v>99</v>
      </c>
      <c r="AJ173" s="40" t="s">
        <v>100</v>
      </c>
      <c r="AK173" s="47" t="s">
        <v>101</v>
      </c>
      <c r="AL173" s="40"/>
      <c r="AM173" s="48">
        <f t="shared" si="82"/>
        <v>0</v>
      </c>
      <c r="AN173" s="48">
        <f t="shared" si="83"/>
        <v>0</v>
      </c>
      <c r="AO173" s="48">
        <f t="shared" si="84"/>
        <v>0</v>
      </c>
      <c r="AP173" s="48">
        <f t="shared" si="85"/>
        <v>0</v>
      </c>
      <c r="AQ173" s="48">
        <f t="shared" si="86"/>
        <v>0</v>
      </c>
      <c r="AR173" s="48">
        <f t="shared" si="87"/>
        <v>0</v>
      </c>
      <c r="AS173" s="48">
        <f t="shared" si="88"/>
        <v>0</v>
      </c>
      <c r="AT173" s="48">
        <f t="shared" si="89"/>
        <v>0</v>
      </c>
      <c r="AU173" s="48">
        <f t="shared" si="90"/>
        <v>0</v>
      </c>
      <c r="AV173" s="48">
        <f t="shared" si="91"/>
        <v>0</v>
      </c>
      <c r="AW173" s="48">
        <f>IF(N173="ПП",РПП*AB173*(V173/1.5),IF(N173="ВП",ВПр*AB173*(V173/1.5),IF(N173="РПА",РПА*AB173*(V173/1.5),IF(N173="КПА",кпа*AB173*(V173/1.5),0))))</f>
        <v>0</v>
      </c>
      <c r="AX173" s="48">
        <f t="shared" si="92"/>
        <v>0</v>
      </c>
      <c r="AY173" s="48">
        <f t="shared" si="93"/>
        <v>0</v>
      </c>
      <c r="AZ173" s="48">
        <f t="shared" si="94"/>
        <v>0</v>
      </c>
      <c r="BA173" s="48">
        <f t="shared" si="95"/>
        <v>0</v>
      </c>
      <c r="BB173" s="48">
        <f t="shared" si="96"/>
        <v>0</v>
      </c>
      <c r="BC173" s="48">
        <f t="shared" si="97"/>
        <v>0</v>
      </c>
      <c r="BD173" s="48">
        <f t="shared" si="98"/>
        <v>0</v>
      </c>
      <c r="BE173" s="48">
        <f t="shared" si="99"/>
        <v>0</v>
      </c>
      <c r="BF173" s="49">
        <f t="shared" si="100"/>
        <v>0</v>
      </c>
      <c r="BG173" s="50"/>
      <c r="BH173" s="51">
        <f t="shared" si="101"/>
        <v>0</v>
      </c>
      <c r="BI173" s="51">
        <f t="shared" si="102"/>
        <v>0</v>
      </c>
      <c r="BJ173" s="51">
        <f t="shared" si="103"/>
        <v>0</v>
      </c>
      <c r="BK173" s="52">
        <f t="shared" si="104"/>
        <v>0</v>
      </c>
      <c r="BL173" s="52">
        <f t="shared" si="105"/>
        <v>0</v>
      </c>
      <c r="BM173" s="52">
        <f t="shared" si="106"/>
        <v>0</v>
      </c>
    </row>
    <row r="174" spans="1:65" ht="30" customHeight="1" x14ac:dyDescent="0.25">
      <c r="A174" s="31" t="str">
        <f t="shared" si="72"/>
        <v>Д</v>
      </c>
      <c r="B174" s="31" t="str">
        <f t="shared" si="73"/>
        <v>Б</v>
      </c>
      <c r="C174" s="32" t="s">
        <v>186</v>
      </c>
      <c r="D174" s="33" t="str">
        <f t="shared" si="74"/>
        <v>Факультет физико-математических и естественных наук</v>
      </c>
      <c r="E174" s="34" t="str">
        <f t="shared" si="75"/>
        <v>'02.03.00</v>
      </c>
      <c r="F174" s="35" t="str">
        <f t="shared" si="76"/>
        <v>Компьютерные и информационные науки (УГСН)</v>
      </c>
      <c r="G174" s="36" t="s">
        <v>76</v>
      </c>
      <c r="H174" s="36" t="s">
        <v>183</v>
      </c>
      <c r="I174" s="37"/>
      <c r="J174" s="37"/>
      <c r="K174" s="38" t="s">
        <v>91</v>
      </c>
      <c r="L174" s="39">
        <v>1</v>
      </c>
      <c r="M174" s="39">
        <v>18</v>
      </c>
      <c r="N174" s="40" t="s">
        <v>79</v>
      </c>
      <c r="O174" s="39">
        <v>2</v>
      </c>
      <c r="P174" s="39"/>
      <c r="Q174" s="39"/>
      <c r="R174" s="40" t="s">
        <v>80</v>
      </c>
      <c r="S174" s="41"/>
      <c r="T174" s="41"/>
      <c r="U174" s="41"/>
      <c r="V174" s="41"/>
      <c r="W174" s="41"/>
      <c r="X174" s="42" t="str">
        <f t="shared" si="77"/>
        <v>НКАбд</v>
      </c>
      <c r="Y174" s="39" t="s">
        <v>187</v>
      </c>
      <c r="Z174" s="39">
        <v>14</v>
      </c>
      <c r="AA174" s="39">
        <v>7</v>
      </c>
      <c r="AB174" s="42">
        <f t="shared" si="78"/>
        <v>179</v>
      </c>
      <c r="AC174" s="39">
        <v>115</v>
      </c>
      <c r="AD174" s="39">
        <v>64</v>
      </c>
      <c r="AE174" s="44">
        <f t="shared" si="79"/>
        <v>179</v>
      </c>
      <c r="AF174" s="45">
        <f t="shared" si="80"/>
        <v>1</v>
      </c>
      <c r="AG174" s="45">
        <f t="shared" si="81"/>
        <v>1</v>
      </c>
      <c r="AH174" s="46" t="s">
        <v>82</v>
      </c>
      <c r="AI174" s="40" t="s">
        <v>83</v>
      </c>
      <c r="AJ174" s="40" t="s">
        <v>84</v>
      </c>
      <c r="AK174" s="47" t="s">
        <v>93</v>
      </c>
      <c r="AL174" s="40"/>
      <c r="AM174" s="48">
        <f t="shared" si="82"/>
        <v>36</v>
      </c>
      <c r="AN174" s="48">
        <f t="shared" si="83"/>
        <v>0</v>
      </c>
      <c r="AO174" s="48">
        <f t="shared" si="84"/>
        <v>0</v>
      </c>
      <c r="AP174" s="48">
        <f t="shared" si="85"/>
        <v>59.07</v>
      </c>
      <c r="AQ174" s="48">
        <f t="shared" si="86"/>
        <v>89.5</v>
      </c>
      <c r="AR174" s="48">
        <f t="shared" si="87"/>
        <v>7</v>
      </c>
      <c r="AS174" s="48">
        <f t="shared" si="88"/>
        <v>12.6</v>
      </c>
      <c r="AT174" s="48">
        <f t="shared" si="89"/>
        <v>0</v>
      </c>
      <c r="AU174" s="48">
        <f t="shared" si="90"/>
        <v>0</v>
      </c>
      <c r="AV174" s="48">
        <f t="shared" si="91"/>
        <v>0</v>
      </c>
      <c r="AW174" s="48">
        <f>IF(N174="ПП",РПП*AB174*(V174/1.5),IF(N174="ВП",ВПр*AB174*(V174/1.5),IF(N174="РПА",РПА*AB174*(V174/1.5),IF(N174="КПА",кпа*AB174*(V174/1.5),0))))</f>
        <v>0</v>
      </c>
      <c r="AX174" s="48">
        <f t="shared" si="92"/>
        <v>0</v>
      </c>
      <c r="AY174" s="48">
        <f t="shared" si="93"/>
        <v>0</v>
      </c>
      <c r="AZ174" s="48">
        <f t="shared" si="94"/>
        <v>0</v>
      </c>
      <c r="BA174" s="48">
        <f t="shared" si="95"/>
        <v>0</v>
      </c>
      <c r="BB174" s="48">
        <f t="shared" si="96"/>
        <v>0</v>
      </c>
      <c r="BC174" s="48">
        <f t="shared" si="97"/>
        <v>0</v>
      </c>
      <c r="BD174" s="48">
        <f t="shared" si="98"/>
        <v>0</v>
      </c>
      <c r="BE174" s="48">
        <f t="shared" si="99"/>
        <v>0</v>
      </c>
      <c r="BF174" s="49">
        <f t="shared" si="100"/>
        <v>204.17</v>
      </c>
      <c r="BG174" s="50"/>
      <c r="BH174" s="51">
        <f t="shared" si="101"/>
        <v>36</v>
      </c>
      <c r="BI174" s="51">
        <f t="shared" si="102"/>
        <v>1</v>
      </c>
      <c r="BJ174" s="51">
        <f t="shared" si="103"/>
        <v>168.17</v>
      </c>
      <c r="BK174" s="52">
        <f t="shared" si="104"/>
        <v>0</v>
      </c>
      <c r="BL174" s="52">
        <f t="shared" si="105"/>
        <v>0</v>
      </c>
      <c r="BM174" s="52">
        <f t="shared" si="106"/>
        <v>0</v>
      </c>
    </row>
    <row r="175" spans="1:65" ht="30" customHeight="1" x14ac:dyDescent="0.25">
      <c r="A175" s="31" t="str">
        <f t="shared" si="72"/>
        <v>Д</v>
      </c>
      <c r="B175" s="31" t="str">
        <f t="shared" si="73"/>
        <v>Б</v>
      </c>
      <c r="C175" s="32" t="s">
        <v>186</v>
      </c>
      <c r="D175" s="33" t="str">
        <f t="shared" si="74"/>
        <v>Факультет физико-математических и естественных наук</v>
      </c>
      <c r="E175" s="34" t="str">
        <f t="shared" si="75"/>
        <v>'02.03.00</v>
      </c>
      <c r="F175" s="35" t="str">
        <f t="shared" si="76"/>
        <v>Компьютерные и информационные науки (УГСН)</v>
      </c>
      <c r="G175" s="36" t="s">
        <v>76</v>
      </c>
      <c r="H175" s="36" t="s">
        <v>183</v>
      </c>
      <c r="I175" s="37"/>
      <c r="J175" s="37"/>
      <c r="K175" s="38" t="s">
        <v>91</v>
      </c>
      <c r="L175" s="39">
        <v>1</v>
      </c>
      <c r="M175" s="39">
        <v>18</v>
      </c>
      <c r="N175" s="40" t="s">
        <v>94</v>
      </c>
      <c r="O175" s="39"/>
      <c r="P175" s="39">
        <v>2</v>
      </c>
      <c r="Q175" s="39"/>
      <c r="R175" s="40"/>
      <c r="S175" s="41"/>
      <c r="T175" s="41"/>
      <c r="U175" s="41"/>
      <c r="V175" s="41"/>
      <c r="W175" s="41"/>
      <c r="X175" s="42" t="str">
        <f t="shared" si="77"/>
        <v>НКАбд</v>
      </c>
      <c r="Y175" s="39" t="s">
        <v>87</v>
      </c>
      <c r="Z175" s="39">
        <v>1</v>
      </c>
      <c r="AA175" s="39">
        <v>1</v>
      </c>
      <c r="AB175" s="42">
        <f t="shared" si="78"/>
        <v>26</v>
      </c>
      <c r="AC175" s="39">
        <v>17</v>
      </c>
      <c r="AD175" s="39">
        <v>9</v>
      </c>
      <c r="AE175" s="44">
        <f t="shared" si="79"/>
        <v>12</v>
      </c>
      <c r="AF175" s="45">
        <f t="shared" si="80"/>
        <v>1</v>
      </c>
      <c r="AG175" s="45">
        <f t="shared" si="81"/>
        <v>2.1666666666666665</v>
      </c>
      <c r="AH175" s="46" t="s">
        <v>82</v>
      </c>
      <c r="AI175" s="40" t="s">
        <v>83</v>
      </c>
      <c r="AJ175" s="40" t="s">
        <v>84</v>
      </c>
      <c r="AK175" s="47" t="s">
        <v>93</v>
      </c>
      <c r="AL175" s="40"/>
      <c r="AM175" s="48">
        <f t="shared" si="82"/>
        <v>0</v>
      </c>
      <c r="AN175" s="48">
        <f t="shared" si="83"/>
        <v>0</v>
      </c>
      <c r="AO175" s="48">
        <f t="shared" si="84"/>
        <v>36</v>
      </c>
      <c r="AP175" s="48">
        <f t="shared" si="85"/>
        <v>0</v>
      </c>
      <c r="AQ175" s="48">
        <f t="shared" si="86"/>
        <v>0</v>
      </c>
      <c r="AR175" s="48">
        <f t="shared" si="87"/>
        <v>0</v>
      </c>
      <c r="AS175" s="48">
        <f t="shared" si="88"/>
        <v>0</v>
      </c>
      <c r="AT175" s="48">
        <f t="shared" si="89"/>
        <v>0</v>
      </c>
      <c r="AU175" s="48">
        <f t="shared" si="90"/>
        <v>0</v>
      </c>
      <c r="AV175" s="48">
        <f t="shared" si="91"/>
        <v>0</v>
      </c>
      <c r="AW175" s="48">
        <f>IF(N175="ПП",РПП*AB175*(V175/1.5),IF(N175="ВП",ВПр*AB175*(V175/1.5),IF(N175="РПА",РПА*AB175*(V175/1.5),IF(N175="КПА",кпа*AB175*(V175/1.5),0))))</f>
        <v>0</v>
      </c>
      <c r="AX175" s="48">
        <f t="shared" si="92"/>
        <v>0</v>
      </c>
      <c r="AY175" s="48">
        <f t="shared" si="93"/>
        <v>0</v>
      </c>
      <c r="AZ175" s="48">
        <f t="shared" si="94"/>
        <v>0</v>
      </c>
      <c r="BA175" s="48">
        <f t="shared" si="95"/>
        <v>0</v>
      </c>
      <c r="BB175" s="48">
        <f t="shared" si="96"/>
        <v>0</v>
      </c>
      <c r="BC175" s="48">
        <f t="shared" si="97"/>
        <v>0</v>
      </c>
      <c r="BD175" s="48">
        <f t="shared" si="98"/>
        <v>0</v>
      </c>
      <c r="BE175" s="48">
        <f t="shared" si="99"/>
        <v>0</v>
      </c>
      <c r="BF175" s="49">
        <f t="shared" si="100"/>
        <v>36</v>
      </c>
      <c r="BG175" s="50"/>
      <c r="BH175" s="51">
        <f t="shared" si="101"/>
        <v>36</v>
      </c>
      <c r="BI175" s="51">
        <f t="shared" si="102"/>
        <v>1</v>
      </c>
      <c r="BJ175" s="51">
        <f t="shared" si="103"/>
        <v>0</v>
      </c>
      <c r="BK175" s="52">
        <f t="shared" si="104"/>
        <v>0</v>
      </c>
      <c r="BL175" s="52">
        <f t="shared" si="105"/>
        <v>0</v>
      </c>
      <c r="BM175" s="52">
        <f t="shared" si="106"/>
        <v>0</v>
      </c>
    </row>
    <row r="176" spans="1:65" ht="30" customHeight="1" x14ac:dyDescent="0.25">
      <c r="A176" s="31" t="str">
        <f t="shared" si="72"/>
        <v>Д</v>
      </c>
      <c r="B176" s="31" t="str">
        <f t="shared" si="73"/>
        <v>Б</v>
      </c>
      <c r="C176" s="32" t="s">
        <v>186</v>
      </c>
      <c r="D176" s="33" t="str">
        <f t="shared" si="74"/>
        <v>Факультет физико-математических и естественных наук</v>
      </c>
      <c r="E176" s="34" t="str">
        <f t="shared" si="75"/>
        <v>'02.03.00</v>
      </c>
      <c r="F176" s="35" t="str">
        <f t="shared" si="76"/>
        <v>Компьютерные и информационные науки (УГСН)</v>
      </c>
      <c r="G176" s="36" t="s">
        <v>76</v>
      </c>
      <c r="H176" s="36" t="s">
        <v>183</v>
      </c>
      <c r="I176" s="37"/>
      <c r="J176" s="37"/>
      <c r="K176" s="38" t="s">
        <v>91</v>
      </c>
      <c r="L176" s="39">
        <v>1</v>
      </c>
      <c r="M176" s="39">
        <v>18</v>
      </c>
      <c r="N176" s="40" t="s">
        <v>94</v>
      </c>
      <c r="O176" s="39"/>
      <c r="P176" s="39">
        <v>2</v>
      </c>
      <c r="Q176" s="39"/>
      <c r="R176" s="40"/>
      <c r="S176" s="41"/>
      <c r="T176" s="41"/>
      <c r="U176" s="41"/>
      <c r="V176" s="41"/>
      <c r="W176" s="41"/>
      <c r="X176" s="42" t="str">
        <f t="shared" si="77"/>
        <v>НКАбд</v>
      </c>
      <c r="Y176" s="39" t="s">
        <v>87</v>
      </c>
      <c r="Z176" s="39">
        <v>1</v>
      </c>
      <c r="AA176" s="39">
        <v>1</v>
      </c>
      <c r="AB176" s="42">
        <f t="shared" si="78"/>
        <v>0</v>
      </c>
      <c r="AC176" s="39"/>
      <c r="AD176" s="39"/>
      <c r="AE176" s="44">
        <f t="shared" si="79"/>
        <v>12</v>
      </c>
      <c r="AF176" s="45">
        <f t="shared" si="80"/>
        <v>0</v>
      </c>
      <c r="AG176" s="45">
        <f t="shared" si="81"/>
        <v>0</v>
      </c>
      <c r="AH176" s="46" t="s">
        <v>82</v>
      </c>
      <c r="AI176" s="40" t="s">
        <v>83</v>
      </c>
      <c r="AJ176" s="40" t="s">
        <v>84</v>
      </c>
      <c r="AK176" s="47" t="s">
        <v>93</v>
      </c>
      <c r="AL176" s="40"/>
      <c r="AM176" s="48">
        <f t="shared" si="82"/>
        <v>0</v>
      </c>
      <c r="AN176" s="48">
        <f t="shared" si="83"/>
        <v>0</v>
      </c>
      <c r="AO176" s="48">
        <f t="shared" si="84"/>
        <v>0</v>
      </c>
      <c r="AP176" s="48">
        <f t="shared" si="85"/>
        <v>0</v>
      </c>
      <c r="AQ176" s="48">
        <f t="shared" si="86"/>
        <v>0</v>
      </c>
      <c r="AR176" s="48">
        <f t="shared" si="87"/>
        <v>0</v>
      </c>
      <c r="AS176" s="48">
        <f t="shared" si="88"/>
        <v>0</v>
      </c>
      <c r="AT176" s="48">
        <f t="shared" si="89"/>
        <v>0</v>
      </c>
      <c r="AU176" s="48">
        <f t="shared" si="90"/>
        <v>0</v>
      </c>
      <c r="AV176" s="48">
        <f t="shared" si="91"/>
        <v>0</v>
      </c>
      <c r="AW176" s="48">
        <f>IF(N176="ПП",РПП*AB176*(V176/1.5),IF(N176="ВП",ВПр*AB176*(V176/1.5),IF(N176="РПА",РПА*AB176*(V176/1.5),IF(N176="КПА",кпа*AB176*(V176/1.5),0))))</f>
        <v>0</v>
      </c>
      <c r="AX176" s="48">
        <f t="shared" si="92"/>
        <v>0</v>
      </c>
      <c r="AY176" s="48">
        <f t="shared" si="93"/>
        <v>0</v>
      </c>
      <c r="AZ176" s="48">
        <f t="shared" si="94"/>
        <v>0</v>
      </c>
      <c r="BA176" s="48">
        <f t="shared" si="95"/>
        <v>0</v>
      </c>
      <c r="BB176" s="48">
        <f t="shared" si="96"/>
        <v>0</v>
      </c>
      <c r="BC176" s="48">
        <f t="shared" si="97"/>
        <v>0</v>
      </c>
      <c r="BD176" s="48">
        <f t="shared" si="98"/>
        <v>0</v>
      </c>
      <c r="BE176" s="48">
        <f t="shared" si="99"/>
        <v>0</v>
      </c>
      <c r="BF176" s="49">
        <f t="shared" si="100"/>
        <v>0</v>
      </c>
      <c r="BG176" s="50"/>
      <c r="BH176" s="51">
        <f t="shared" si="101"/>
        <v>0</v>
      </c>
      <c r="BI176" s="51">
        <f t="shared" si="102"/>
        <v>0</v>
      </c>
      <c r="BJ176" s="51">
        <f t="shared" si="103"/>
        <v>0</v>
      </c>
      <c r="BK176" s="52">
        <f t="shared" si="104"/>
        <v>0</v>
      </c>
      <c r="BL176" s="52">
        <f t="shared" si="105"/>
        <v>0</v>
      </c>
      <c r="BM176" s="52">
        <f t="shared" si="106"/>
        <v>0</v>
      </c>
    </row>
    <row r="177" spans="1:65" ht="30" customHeight="1" x14ac:dyDescent="0.25">
      <c r="A177" s="31" t="str">
        <f t="shared" si="72"/>
        <v>Д</v>
      </c>
      <c r="B177" s="31" t="str">
        <f t="shared" si="73"/>
        <v>Б</v>
      </c>
      <c r="C177" s="32" t="s">
        <v>186</v>
      </c>
      <c r="D177" s="33" t="str">
        <f t="shared" si="74"/>
        <v>Факультет физико-математических и естественных наук</v>
      </c>
      <c r="E177" s="34" t="str">
        <f t="shared" si="75"/>
        <v>'02.03.00</v>
      </c>
      <c r="F177" s="35" t="str">
        <f t="shared" si="76"/>
        <v>Компьютерные и информационные науки (УГСН)</v>
      </c>
      <c r="G177" s="36" t="s">
        <v>76</v>
      </c>
      <c r="H177" s="36" t="s">
        <v>183</v>
      </c>
      <c r="I177" s="37"/>
      <c r="J177" s="37"/>
      <c r="K177" s="38" t="s">
        <v>91</v>
      </c>
      <c r="L177" s="39">
        <v>1</v>
      </c>
      <c r="M177" s="39">
        <v>18</v>
      </c>
      <c r="N177" s="40" t="s">
        <v>94</v>
      </c>
      <c r="O177" s="39"/>
      <c r="P177" s="39">
        <v>2</v>
      </c>
      <c r="Q177" s="39"/>
      <c r="R177" s="40"/>
      <c r="S177" s="41"/>
      <c r="T177" s="41"/>
      <c r="U177" s="41"/>
      <c r="V177" s="41"/>
      <c r="W177" s="41"/>
      <c r="X177" s="42" t="str">
        <f t="shared" si="77"/>
        <v>НКАбд</v>
      </c>
      <c r="Y177" s="39" t="s">
        <v>88</v>
      </c>
      <c r="Z177" s="39">
        <v>1</v>
      </c>
      <c r="AA177" s="39">
        <v>1</v>
      </c>
      <c r="AB177" s="42">
        <f t="shared" si="78"/>
        <v>26</v>
      </c>
      <c r="AC177" s="39">
        <v>17</v>
      </c>
      <c r="AD177" s="39">
        <v>9</v>
      </c>
      <c r="AE177" s="44">
        <f t="shared" si="79"/>
        <v>12</v>
      </c>
      <c r="AF177" s="45">
        <f t="shared" si="80"/>
        <v>1</v>
      </c>
      <c r="AG177" s="45">
        <f t="shared" si="81"/>
        <v>2.1666666666666665</v>
      </c>
      <c r="AH177" s="46" t="s">
        <v>82</v>
      </c>
      <c r="AI177" s="40" t="s">
        <v>83</v>
      </c>
      <c r="AJ177" s="40" t="s">
        <v>84</v>
      </c>
      <c r="AK177" s="47" t="s">
        <v>93</v>
      </c>
      <c r="AL177" s="40"/>
      <c r="AM177" s="48">
        <f t="shared" si="82"/>
        <v>0</v>
      </c>
      <c r="AN177" s="48">
        <f t="shared" si="83"/>
        <v>0</v>
      </c>
      <c r="AO177" s="48">
        <f t="shared" si="84"/>
        <v>36</v>
      </c>
      <c r="AP177" s="48">
        <f t="shared" si="85"/>
        <v>0</v>
      </c>
      <c r="AQ177" s="48">
        <f t="shared" si="86"/>
        <v>0</v>
      </c>
      <c r="AR177" s="48">
        <f t="shared" si="87"/>
        <v>0</v>
      </c>
      <c r="AS177" s="48">
        <f t="shared" si="88"/>
        <v>0</v>
      </c>
      <c r="AT177" s="48">
        <f t="shared" si="89"/>
        <v>0</v>
      </c>
      <c r="AU177" s="48">
        <f t="shared" si="90"/>
        <v>0</v>
      </c>
      <c r="AV177" s="48">
        <f t="shared" si="91"/>
        <v>0</v>
      </c>
      <c r="AW177" s="48">
        <f>IF(N177="ПП",РПП*AB177*(V177/1.5),IF(N177="ВП",ВПр*AB177*(V177/1.5),IF(N177="РПА",РПА*AB177*(V177/1.5),IF(N177="КПА",кпа*AB177*(V177/1.5),0))))</f>
        <v>0</v>
      </c>
      <c r="AX177" s="48">
        <f t="shared" si="92"/>
        <v>0</v>
      </c>
      <c r="AY177" s="48">
        <f t="shared" si="93"/>
        <v>0</v>
      </c>
      <c r="AZ177" s="48">
        <f t="shared" si="94"/>
        <v>0</v>
      </c>
      <c r="BA177" s="48">
        <f t="shared" si="95"/>
        <v>0</v>
      </c>
      <c r="BB177" s="48">
        <f t="shared" si="96"/>
        <v>0</v>
      </c>
      <c r="BC177" s="48">
        <f t="shared" si="97"/>
        <v>0</v>
      </c>
      <c r="BD177" s="48">
        <f t="shared" si="98"/>
        <v>0</v>
      </c>
      <c r="BE177" s="48">
        <f t="shared" si="99"/>
        <v>0</v>
      </c>
      <c r="BF177" s="49">
        <f t="shared" si="100"/>
        <v>36</v>
      </c>
      <c r="BG177" s="50"/>
      <c r="BH177" s="51">
        <f t="shared" si="101"/>
        <v>36</v>
      </c>
      <c r="BI177" s="51">
        <f t="shared" si="102"/>
        <v>1</v>
      </c>
      <c r="BJ177" s="51">
        <f t="shared" si="103"/>
        <v>0</v>
      </c>
      <c r="BK177" s="52">
        <f t="shared" si="104"/>
        <v>0</v>
      </c>
      <c r="BL177" s="52">
        <f t="shared" si="105"/>
        <v>0</v>
      </c>
      <c r="BM177" s="52">
        <f t="shared" si="106"/>
        <v>0</v>
      </c>
    </row>
    <row r="178" spans="1:65" ht="30" customHeight="1" x14ac:dyDescent="0.25">
      <c r="A178" s="31" t="str">
        <f t="shared" si="72"/>
        <v>Д</v>
      </c>
      <c r="B178" s="31" t="str">
        <f t="shared" si="73"/>
        <v>Б</v>
      </c>
      <c r="C178" s="32" t="s">
        <v>186</v>
      </c>
      <c r="D178" s="33" t="str">
        <f t="shared" si="74"/>
        <v>Факультет физико-математических и естественных наук</v>
      </c>
      <c r="E178" s="34" t="str">
        <f t="shared" si="75"/>
        <v>'02.03.00</v>
      </c>
      <c r="F178" s="35" t="str">
        <f t="shared" si="76"/>
        <v>Компьютерные и информационные науки (УГСН)</v>
      </c>
      <c r="G178" s="36" t="s">
        <v>76</v>
      </c>
      <c r="H178" s="36" t="s">
        <v>183</v>
      </c>
      <c r="I178" s="37"/>
      <c r="J178" s="37"/>
      <c r="K178" s="38" t="s">
        <v>91</v>
      </c>
      <c r="L178" s="39">
        <v>1</v>
      </c>
      <c r="M178" s="39">
        <v>18</v>
      </c>
      <c r="N178" s="40" t="s">
        <v>94</v>
      </c>
      <c r="O178" s="39"/>
      <c r="P178" s="39">
        <v>2</v>
      </c>
      <c r="Q178" s="39"/>
      <c r="R178" s="40"/>
      <c r="S178" s="41"/>
      <c r="T178" s="41"/>
      <c r="U178" s="41"/>
      <c r="V178" s="41"/>
      <c r="W178" s="41"/>
      <c r="X178" s="42" t="str">
        <f t="shared" si="77"/>
        <v>НКАбд</v>
      </c>
      <c r="Y178" s="39" t="s">
        <v>88</v>
      </c>
      <c r="Z178" s="39">
        <v>1</v>
      </c>
      <c r="AA178" s="39">
        <v>1</v>
      </c>
      <c r="AB178" s="42">
        <f t="shared" si="78"/>
        <v>0</v>
      </c>
      <c r="AC178" s="39"/>
      <c r="AD178" s="39"/>
      <c r="AE178" s="44">
        <f t="shared" si="79"/>
        <v>12</v>
      </c>
      <c r="AF178" s="45">
        <f t="shared" si="80"/>
        <v>0</v>
      </c>
      <c r="AG178" s="45">
        <f t="shared" si="81"/>
        <v>0</v>
      </c>
      <c r="AH178" s="46" t="s">
        <v>82</v>
      </c>
      <c r="AI178" s="40" t="s">
        <v>83</v>
      </c>
      <c r="AJ178" s="40" t="s">
        <v>84</v>
      </c>
      <c r="AK178" s="47" t="s">
        <v>93</v>
      </c>
      <c r="AL178" s="40"/>
      <c r="AM178" s="48">
        <f t="shared" si="82"/>
        <v>0</v>
      </c>
      <c r="AN178" s="48">
        <f t="shared" si="83"/>
        <v>0</v>
      </c>
      <c r="AO178" s="48">
        <f t="shared" si="84"/>
        <v>0</v>
      </c>
      <c r="AP178" s="48">
        <f t="shared" si="85"/>
        <v>0</v>
      </c>
      <c r="AQ178" s="48">
        <f t="shared" si="86"/>
        <v>0</v>
      </c>
      <c r="AR178" s="48">
        <f t="shared" si="87"/>
        <v>0</v>
      </c>
      <c r="AS178" s="48">
        <f t="shared" si="88"/>
        <v>0</v>
      </c>
      <c r="AT178" s="48">
        <f t="shared" si="89"/>
        <v>0</v>
      </c>
      <c r="AU178" s="48">
        <f t="shared" si="90"/>
        <v>0</v>
      </c>
      <c r="AV178" s="48">
        <f t="shared" si="91"/>
        <v>0</v>
      </c>
      <c r="AW178" s="48">
        <f>IF(N178="ПП",РПП*AB178*(V178/1.5),IF(N178="ВП",ВПр*AB178*(V178/1.5),IF(N178="РПА",РПА*AB178*(V178/1.5),IF(N178="КПА",кпа*AB178*(V178/1.5),0))))</f>
        <v>0</v>
      </c>
      <c r="AX178" s="48">
        <f t="shared" si="92"/>
        <v>0</v>
      </c>
      <c r="AY178" s="48">
        <f t="shared" si="93"/>
        <v>0</v>
      </c>
      <c r="AZ178" s="48">
        <f t="shared" si="94"/>
        <v>0</v>
      </c>
      <c r="BA178" s="48">
        <f t="shared" si="95"/>
        <v>0</v>
      </c>
      <c r="BB178" s="48">
        <f t="shared" si="96"/>
        <v>0</v>
      </c>
      <c r="BC178" s="48">
        <f t="shared" si="97"/>
        <v>0</v>
      </c>
      <c r="BD178" s="48">
        <f t="shared" si="98"/>
        <v>0</v>
      </c>
      <c r="BE178" s="48">
        <f t="shared" si="99"/>
        <v>0</v>
      </c>
      <c r="BF178" s="49">
        <f t="shared" si="100"/>
        <v>0</v>
      </c>
      <c r="BG178" s="50"/>
      <c r="BH178" s="51">
        <f t="shared" si="101"/>
        <v>0</v>
      </c>
      <c r="BI178" s="51">
        <f t="shared" si="102"/>
        <v>0</v>
      </c>
      <c r="BJ178" s="51">
        <f t="shared" si="103"/>
        <v>0</v>
      </c>
      <c r="BK178" s="52">
        <f t="shared" si="104"/>
        <v>0</v>
      </c>
      <c r="BL178" s="52">
        <f t="shared" si="105"/>
        <v>0</v>
      </c>
      <c r="BM178" s="52">
        <f t="shared" si="106"/>
        <v>0</v>
      </c>
    </row>
    <row r="179" spans="1:65" ht="30" customHeight="1" x14ac:dyDescent="0.25">
      <c r="A179" s="31" t="str">
        <f t="shared" si="72"/>
        <v>Д</v>
      </c>
      <c r="B179" s="31" t="str">
        <f t="shared" si="73"/>
        <v>Б</v>
      </c>
      <c r="C179" s="32" t="s">
        <v>186</v>
      </c>
      <c r="D179" s="33" t="str">
        <f t="shared" si="74"/>
        <v>Факультет физико-математических и естественных наук</v>
      </c>
      <c r="E179" s="34" t="str">
        <f t="shared" si="75"/>
        <v>'02.03.00</v>
      </c>
      <c r="F179" s="35" t="str">
        <f t="shared" si="76"/>
        <v>Компьютерные и информационные науки (УГСН)</v>
      </c>
      <c r="G179" s="36" t="s">
        <v>76</v>
      </c>
      <c r="H179" s="36" t="s">
        <v>183</v>
      </c>
      <c r="I179" s="37"/>
      <c r="J179" s="37"/>
      <c r="K179" s="38" t="s">
        <v>91</v>
      </c>
      <c r="L179" s="39">
        <v>1</v>
      </c>
      <c r="M179" s="39">
        <v>18</v>
      </c>
      <c r="N179" s="40" t="s">
        <v>94</v>
      </c>
      <c r="O179" s="39"/>
      <c r="P179" s="39">
        <v>2</v>
      </c>
      <c r="Q179" s="39"/>
      <c r="R179" s="40"/>
      <c r="S179" s="41"/>
      <c r="T179" s="41"/>
      <c r="U179" s="41"/>
      <c r="V179" s="41"/>
      <c r="W179" s="41"/>
      <c r="X179" s="42" t="str">
        <f t="shared" si="77"/>
        <v>НКАбд</v>
      </c>
      <c r="Y179" s="39" t="s">
        <v>89</v>
      </c>
      <c r="Z179" s="39">
        <v>1</v>
      </c>
      <c r="AA179" s="39">
        <v>1</v>
      </c>
      <c r="AB179" s="42">
        <f t="shared" si="78"/>
        <v>26</v>
      </c>
      <c r="AC179" s="39">
        <v>17</v>
      </c>
      <c r="AD179" s="39">
        <v>9</v>
      </c>
      <c r="AE179" s="44">
        <f t="shared" si="79"/>
        <v>12</v>
      </c>
      <c r="AF179" s="45">
        <f t="shared" si="80"/>
        <v>1</v>
      </c>
      <c r="AG179" s="45">
        <f t="shared" si="81"/>
        <v>2.1666666666666665</v>
      </c>
      <c r="AH179" s="46" t="s">
        <v>82</v>
      </c>
      <c r="AI179" s="40" t="s">
        <v>83</v>
      </c>
      <c r="AJ179" s="40" t="s">
        <v>84</v>
      </c>
      <c r="AK179" s="47" t="s">
        <v>93</v>
      </c>
      <c r="AL179" s="40"/>
      <c r="AM179" s="48">
        <f t="shared" si="82"/>
        <v>0</v>
      </c>
      <c r="AN179" s="48">
        <f t="shared" si="83"/>
        <v>0</v>
      </c>
      <c r="AO179" s="48">
        <f t="shared" si="84"/>
        <v>36</v>
      </c>
      <c r="AP179" s="48">
        <f t="shared" si="85"/>
        <v>0</v>
      </c>
      <c r="AQ179" s="48">
        <f t="shared" si="86"/>
        <v>0</v>
      </c>
      <c r="AR179" s="48">
        <f t="shared" si="87"/>
        <v>0</v>
      </c>
      <c r="AS179" s="48">
        <f t="shared" si="88"/>
        <v>0</v>
      </c>
      <c r="AT179" s="48">
        <f t="shared" si="89"/>
        <v>0</v>
      </c>
      <c r="AU179" s="48">
        <f t="shared" si="90"/>
        <v>0</v>
      </c>
      <c r="AV179" s="48">
        <f t="shared" si="91"/>
        <v>0</v>
      </c>
      <c r="AW179" s="48">
        <f>IF(N179="ПП",РПП*AB179*(V179/1.5),IF(N179="ВП",ВПр*AB179*(V179/1.5),IF(N179="РПА",РПА*AB179*(V179/1.5),IF(N179="КПА",кпа*AB179*(V179/1.5),0))))</f>
        <v>0</v>
      </c>
      <c r="AX179" s="48">
        <f t="shared" si="92"/>
        <v>0</v>
      </c>
      <c r="AY179" s="48">
        <f t="shared" si="93"/>
        <v>0</v>
      </c>
      <c r="AZ179" s="48">
        <f t="shared" si="94"/>
        <v>0</v>
      </c>
      <c r="BA179" s="48">
        <f t="shared" si="95"/>
        <v>0</v>
      </c>
      <c r="BB179" s="48">
        <f t="shared" si="96"/>
        <v>0</v>
      </c>
      <c r="BC179" s="48">
        <f t="shared" si="97"/>
        <v>0</v>
      </c>
      <c r="BD179" s="48">
        <f t="shared" si="98"/>
        <v>0</v>
      </c>
      <c r="BE179" s="48">
        <f t="shared" si="99"/>
        <v>0</v>
      </c>
      <c r="BF179" s="49">
        <f t="shared" si="100"/>
        <v>36</v>
      </c>
      <c r="BG179" s="50"/>
      <c r="BH179" s="51">
        <f t="shared" si="101"/>
        <v>36</v>
      </c>
      <c r="BI179" s="51">
        <f t="shared" si="102"/>
        <v>1</v>
      </c>
      <c r="BJ179" s="51">
        <f t="shared" si="103"/>
        <v>0</v>
      </c>
      <c r="BK179" s="52">
        <f t="shared" si="104"/>
        <v>0</v>
      </c>
      <c r="BL179" s="52">
        <f t="shared" si="105"/>
        <v>0</v>
      </c>
      <c r="BM179" s="52">
        <f t="shared" si="106"/>
        <v>0</v>
      </c>
    </row>
    <row r="180" spans="1:65" ht="30" customHeight="1" x14ac:dyDescent="0.25">
      <c r="A180" s="31" t="str">
        <f t="shared" si="72"/>
        <v>Д</v>
      </c>
      <c r="B180" s="31" t="str">
        <f t="shared" si="73"/>
        <v>Б</v>
      </c>
      <c r="C180" s="32" t="s">
        <v>186</v>
      </c>
      <c r="D180" s="33" t="str">
        <f t="shared" si="74"/>
        <v>Факультет физико-математических и естественных наук</v>
      </c>
      <c r="E180" s="34" t="str">
        <f t="shared" si="75"/>
        <v>'02.03.00</v>
      </c>
      <c r="F180" s="35" t="str">
        <f t="shared" si="76"/>
        <v>Компьютерные и информационные науки (УГСН)</v>
      </c>
      <c r="G180" s="36" t="s">
        <v>76</v>
      </c>
      <c r="H180" s="36" t="s">
        <v>183</v>
      </c>
      <c r="I180" s="37"/>
      <c r="J180" s="37"/>
      <c r="K180" s="38" t="s">
        <v>91</v>
      </c>
      <c r="L180" s="39">
        <v>1</v>
      </c>
      <c r="M180" s="39">
        <v>18</v>
      </c>
      <c r="N180" s="40" t="s">
        <v>94</v>
      </c>
      <c r="O180" s="39"/>
      <c r="P180" s="39">
        <v>2</v>
      </c>
      <c r="Q180" s="39"/>
      <c r="R180" s="40"/>
      <c r="S180" s="41"/>
      <c r="T180" s="41"/>
      <c r="U180" s="41"/>
      <c r="V180" s="41"/>
      <c r="W180" s="41"/>
      <c r="X180" s="42" t="str">
        <f t="shared" si="77"/>
        <v>НКАбд</v>
      </c>
      <c r="Y180" s="39" t="s">
        <v>89</v>
      </c>
      <c r="Z180" s="39">
        <v>1</v>
      </c>
      <c r="AA180" s="39">
        <v>1</v>
      </c>
      <c r="AB180" s="42">
        <f t="shared" si="78"/>
        <v>0</v>
      </c>
      <c r="AC180" s="39"/>
      <c r="AD180" s="39"/>
      <c r="AE180" s="44">
        <f t="shared" si="79"/>
        <v>12</v>
      </c>
      <c r="AF180" s="45">
        <f t="shared" si="80"/>
        <v>0</v>
      </c>
      <c r="AG180" s="45">
        <f t="shared" si="81"/>
        <v>0</v>
      </c>
      <c r="AH180" s="46" t="s">
        <v>82</v>
      </c>
      <c r="AI180" s="40" t="s">
        <v>83</v>
      </c>
      <c r="AJ180" s="40" t="s">
        <v>84</v>
      </c>
      <c r="AK180" s="47" t="s">
        <v>93</v>
      </c>
      <c r="AL180" s="40"/>
      <c r="AM180" s="48">
        <f t="shared" si="82"/>
        <v>0</v>
      </c>
      <c r="AN180" s="48">
        <f t="shared" si="83"/>
        <v>0</v>
      </c>
      <c r="AO180" s="48">
        <f t="shared" si="84"/>
        <v>0</v>
      </c>
      <c r="AP180" s="48">
        <f t="shared" si="85"/>
        <v>0</v>
      </c>
      <c r="AQ180" s="48">
        <f t="shared" si="86"/>
        <v>0</v>
      </c>
      <c r="AR180" s="48">
        <f t="shared" si="87"/>
        <v>0</v>
      </c>
      <c r="AS180" s="48">
        <f t="shared" si="88"/>
        <v>0</v>
      </c>
      <c r="AT180" s="48">
        <f t="shared" si="89"/>
        <v>0</v>
      </c>
      <c r="AU180" s="48">
        <f t="shared" si="90"/>
        <v>0</v>
      </c>
      <c r="AV180" s="48">
        <f t="shared" si="91"/>
        <v>0</v>
      </c>
      <c r="AW180" s="48">
        <f>IF(N180="ПП",РПП*AB180*(V180/1.5),IF(N180="ВП",ВПр*AB180*(V180/1.5),IF(N180="РПА",РПА*AB180*(V180/1.5),IF(N180="КПА",кпа*AB180*(V180/1.5),0))))</f>
        <v>0</v>
      </c>
      <c r="AX180" s="48">
        <f t="shared" si="92"/>
        <v>0</v>
      </c>
      <c r="AY180" s="48">
        <f t="shared" si="93"/>
        <v>0</v>
      </c>
      <c r="AZ180" s="48">
        <f t="shared" si="94"/>
        <v>0</v>
      </c>
      <c r="BA180" s="48">
        <f t="shared" si="95"/>
        <v>0</v>
      </c>
      <c r="BB180" s="48">
        <f t="shared" si="96"/>
        <v>0</v>
      </c>
      <c r="BC180" s="48">
        <f t="shared" si="97"/>
        <v>0</v>
      </c>
      <c r="BD180" s="48">
        <f t="shared" si="98"/>
        <v>0</v>
      </c>
      <c r="BE180" s="48">
        <f t="shared" si="99"/>
        <v>0</v>
      </c>
      <c r="BF180" s="49">
        <f t="shared" si="100"/>
        <v>0</v>
      </c>
      <c r="BG180" s="50"/>
      <c r="BH180" s="51">
        <f t="shared" si="101"/>
        <v>0</v>
      </c>
      <c r="BI180" s="51">
        <f t="shared" si="102"/>
        <v>0</v>
      </c>
      <c r="BJ180" s="51">
        <f t="shared" si="103"/>
        <v>0</v>
      </c>
      <c r="BK180" s="52">
        <f t="shared" si="104"/>
        <v>0</v>
      </c>
      <c r="BL180" s="52">
        <f t="shared" si="105"/>
        <v>0</v>
      </c>
      <c r="BM180" s="52">
        <f t="shared" si="106"/>
        <v>0</v>
      </c>
    </row>
    <row r="181" spans="1:65" ht="30" customHeight="1" x14ac:dyDescent="0.25">
      <c r="A181" s="31" t="str">
        <f t="shared" si="72"/>
        <v>Д</v>
      </c>
      <c r="B181" s="31" t="str">
        <f t="shared" si="73"/>
        <v>Б</v>
      </c>
      <c r="C181" s="32" t="s">
        <v>186</v>
      </c>
      <c r="D181" s="33" t="str">
        <f t="shared" si="74"/>
        <v>Факультет физико-математических и естественных наук</v>
      </c>
      <c r="E181" s="34" t="str">
        <f t="shared" si="75"/>
        <v>'02.03.00</v>
      </c>
      <c r="F181" s="35" t="str">
        <f t="shared" si="76"/>
        <v>Компьютерные и информационные науки (УГСН)</v>
      </c>
      <c r="G181" s="36" t="s">
        <v>76</v>
      </c>
      <c r="H181" s="36" t="s">
        <v>183</v>
      </c>
      <c r="I181" s="37"/>
      <c r="J181" s="37"/>
      <c r="K181" s="38" t="s">
        <v>91</v>
      </c>
      <c r="L181" s="39">
        <v>1</v>
      </c>
      <c r="M181" s="39">
        <v>18</v>
      </c>
      <c r="N181" s="40" t="s">
        <v>94</v>
      </c>
      <c r="O181" s="39"/>
      <c r="P181" s="39">
        <v>2</v>
      </c>
      <c r="Q181" s="39"/>
      <c r="R181" s="40"/>
      <c r="S181" s="41"/>
      <c r="T181" s="41"/>
      <c r="U181" s="41"/>
      <c r="V181" s="41"/>
      <c r="W181" s="41"/>
      <c r="X181" s="42" t="str">
        <f t="shared" si="77"/>
        <v>НКАбд</v>
      </c>
      <c r="Y181" s="39" t="s">
        <v>188</v>
      </c>
      <c r="Z181" s="39">
        <v>1</v>
      </c>
      <c r="AA181" s="39">
        <v>1</v>
      </c>
      <c r="AB181" s="42">
        <f t="shared" si="78"/>
        <v>26</v>
      </c>
      <c r="AC181" s="39">
        <v>16</v>
      </c>
      <c r="AD181" s="39">
        <v>10</v>
      </c>
      <c r="AE181" s="44">
        <f t="shared" si="79"/>
        <v>12</v>
      </c>
      <c r="AF181" s="45">
        <f t="shared" si="80"/>
        <v>1</v>
      </c>
      <c r="AG181" s="45">
        <f t="shared" si="81"/>
        <v>2.1666666666666665</v>
      </c>
      <c r="AH181" s="46" t="s">
        <v>82</v>
      </c>
      <c r="AI181" s="40" t="s">
        <v>99</v>
      </c>
      <c r="AJ181" s="40" t="s">
        <v>84</v>
      </c>
      <c r="AK181" s="47" t="s">
        <v>109</v>
      </c>
      <c r="AL181" s="40"/>
      <c r="AM181" s="48">
        <f t="shared" si="82"/>
        <v>0</v>
      </c>
      <c r="AN181" s="48">
        <f t="shared" si="83"/>
        <v>0</v>
      </c>
      <c r="AO181" s="48">
        <f t="shared" si="84"/>
        <v>36</v>
      </c>
      <c r="AP181" s="48">
        <f t="shared" si="85"/>
        <v>0</v>
      </c>
      <c r="AQ181" s="48">
        <f t="shared" si="86"/>
        <v>0</v>
      </c>
      <c r="AR181" s="48">
        <f t="shared" si="87"/>
        <v>0</v>
      </c>
      <c r="AS181" s="48">
        <f t="shared" si="88"/>
        <v>0</v>
      </c>
      <c r="AT181" s="48">
        <f t="shared" si="89"/>
        <v>0</v>
      </c>
      <c r="AU181" s="48">
        <f t="shared" si="90"/>
        <v>0</v>
      </c>
      <c r="AV181" s="48">
        <f t="shared" si="91"/>
        <v>0</v>
      </c>
      <c r="AW181" s="48">
        <f>IF(N181="ПП",РПП*AB181*(V181/1.5),IF(N181="ВП",ВПр*AB181*(V181/1.5),IF(N181="РПА",РПА*AB181*(V181/1.5),IF(N181="КПА",кпа*AB181*(V181/1.5),0))))</f>
        <v>0</v>
      </c>
      <c r="AX181" s="48">
        <f t="shared" si="92"/>
        <v>0</v>
      </c>
      <c r="AY181" s="48">
        <f t="shared" si="93"/>
        <v>0</v>
      </c>
      <c r="AZ181" s="48">
        <f t="shared" si="94"/>
        <v>0</v>
      </c>
      <c r="BA181" s="48">
        <f t="shared" si="95"/>
        <v>0</v>
      </c>
      <c r="BB181" s="48">
        <f t="shared" si="96"/>
        <v>0</v>
      </c>
      <c r="BC181" s="48">
        <f t="shared" si="97"/>
        <v>0</v>
      </c>
      <c r="BD181" s="48">
        <f t="shared" si="98"/>
        <v>0</v>
      </c>
      <c r="BE181" s="48">
        <f t="shared" si="99"/>
        <v>0</v>
      </c>
      <c r="BF181" s="49">
        <f t="shared" si="100"/>
        <v>36</v>
      </c>
      <c r="BG181" s="50"/>
      <c r="BH181" s="51">
        <f t="shared" si="101"/>
        <v>36</v>
      </c>
      <c r="BI181" s="51">
        <f t="shared" si="102"/>
        <v>1</v>
      </c>
      <c r="BJ181" s="51">
        <f t="shared" si="103"/>
        <v>0</v>
      </c>
      <c r="BK181" s="52">
        <f t="shared" si="104"/>
        <v>0</v>
      </c>
      <c r="BL181" s="52">
        <f t="shared" si="105"/>
        <v>0</v>
      </c>
      <c r="BM181" s="52">
        <f t="shared" si="106"/>
        <v>0</v>
      </c>
    </row>
    <row r="182" spans="1:65" ht="30" customHeight="1" x14ac:dyDescent="0.25">
      <c r="A182" s="31" t="str">
        <f t="shared" si="72"/>
        <v>Д</v>
      </c>
      <c r="B182" s="31" t="str">
        <f t="shared" si="73"/>
        <v>Б</v>
      </c>
      <c r="C182" s="32" t="s">
        <v>186</v>
      </c>
      <c r="D182" s="33" t="str">
        <f t="shared" si="74"/>
        <v>Факультет физико-математических и естественных наук</v>
      </c>
      <c r="E182" s="34" t="str">
        <f t="shared" si="75"/>
        <v>'02.03.00</v>
      </c>
      <c r="F182" s="35" t="str">
        <f t="shared" si="76"/>
        <v>Компьютерные и информационные науки (УГСН)</v>
      </c>
      <c r="G182" s="36" t="s">
        <v>76</v>
      </c>
      <c r="H182" s="36" t="s">
        <v>183</v>
      </c>
      <c r="I182" s="37"/>
      <c r="J182" s="37"/>
      <c r="K182" s="38" t="s">
        <v>91</v>
      </c>
      <c r="L182" s="39">
        <v>1</v>
      </c>
      <c r="M182" s="39">
        <v>18</v>
      </c>
      <c r="N182" s="40" t="s">
        <v>94</v>
      </c>
      <c r="O182" s="39"/>
      <c r="P182" s="39">
        <v>2</v>
      </c>
      <c r="Q182" s="39"/>
      <c r="R182" s="40"/>
      <c r="S182" s="41"/>
      <c r="T182" s="41"/>
      <c r="U182" s="41"/>
      <c r="V182" s="41"/>
      <c r="W182" s="41"/>
      <c r="X182" s="42" t="str">
        <f t="shared" si="77"/>
        <v>НКАбд</v>
      </c>
      <c r="Y182" s="39" t="s">
        <v>188</v>
      </c>
      <c r="Z182" s="39">
        <v>1</v>
      </c>
      <c r="AA182" s="39">
        <v>1</v>
      </c>
      <c r="AB182" s="42">
        <f t="shared" si="78"/>
        <v>0</v>
      </c>
      <c r="AC182" s="39"/>
      <c r="AD182" s="39"/>
      <c r="AE182" s="44">
        <f t="shared" si="79"/>
        <v>12</v>
      </c>
      <c r="AF182" s="45">
        <f t="shared" si="80"/>
        <v>0</v>
      </c>
      <c r="AG182" s="45">
        <f t="shared" si="81"/>
        <v>0</v>
      </c>
      <c r="AH182" s="46" t="s">
        <v>82</v>
      </c>
      <c r="AI182" s="40" t="s">
        <v>99</v>
      </c>
      <c r="AJ182" s="40" t="s">
        <v>84</v>
      </c>
      <c r="AK182" s="47" t="s">
        <v>109</v>
      </c>
      <c r="AL182" s="40"/>
      <c r="AM182" s="48">
        <f t="shared" si="82"/>
        <v>0</v>
      </c>
      <c r="AN182" s="48">
        <f t="shared" si="83"/>
        <v>0</v>
      </c>
      <c r="AO182" s="48">
        <f t="shared" si="84"/>
        <v>0</v>
      </c>
      <c r="AP182" s="48">
        <f t="shared" si="85"/>
        <v>0</v>
      </c>
      <c r="AQ182" s="48">
        <f t="shared" si="86"/>
        <v>0</v>
      </c>
      <c r="AR182" s="48">
        <f t="shared" si="87"/>
        <v>0</v>
      </c>
      <c r="AS182" s="48">
        <f t="shared" si="88"/>
        <v>0</v>
      </c>
      <c r="AT182" s="48">
        <f t="shared" si="89"/>
        <v>0</v>
      </c>
      <c r="AU182" s="48">
        <f t="shared" si="90"/>
        <v>0</v>
      </c>
      <c r="AV182" s="48">
        <f t="shared" si="91"/>
        <v>0</v>
      </c>
      <c r="AW182" s="48">
        <f>IF(N182="ПП",РПП*AB182*(V182/1.5),IF(N182="ВП",ВПр*AB182*(V182/1.5),IF(N182="РПА",РПА*AB182*(V182/1.5),IF(N182="КПА",кпа*AB182*(V182/1.5),0))))</f>
        <v>0</v>
      </c>
      <c r="AX182" s="48">
        <f t="shared" si="92"/>
        <v>0</v>
      </c>
      <c r="AY182" s="48">
        <f t="shared" si="93"/>
        <v>0</v>
      </c>
      <c r="AZ182" s="48">
        <f t="shared" si="94"/>
        <v>0</v>
      </c>
      <c r="BA182" s="48">
        <f t="shared" si="95"/>
        <v>0</v>
      </c>
      <c r="BB182" s="48">
        <f t="shared" si="96"/>
        <v>0</v>
      </c>
      <c r="BC182" s="48">
        <f t="shared" si="97"/>
        <v>0</v>
      </c>
      <c r="BD182" s="48">
        <f t="shared" si="98"/>
        <v>0</v>
      </c>
      <c r="BE182" s="48">
        <f t="shared" si="99"/>
        <v>0</v>
      </c>
      <c r="BF182" s="49">
        <f t="shared" si="100"/>
        <v>0</v>
      </c>
      <c r="BG182" s="50"/>
      <c r="BH182" s="51">
        <f t="shared" si="101"/>
        <v>0</v>
      </c>
      <c r="BI182" s="51">
        <f t="shared" si="102"/>
        <v>0</v>
      </c>
      <c r="BJ182" s="51">
        <f t="shared" si="103"/>
        <v>0</v>
      </c>
      <c r="BK182" s="52">
        <f t="shared" si="104"/>
        <v>0</v>
      </c>
      <c r="BL182" s="52">
        <f t="shared" si="105"/>
        <v>0</v>
      </c>
      <c r="BM182" s="52">
        <f t="shared" si="106"/>
        <v>0</v>
      </c>
    </row>
    <row r="183" spans="1:65" ht="30" customHeight="1" x14ac:dyDescent="0.25">
      <c r="A183" s="31" t="str">
        <f t="shared" ref="A183:A246" si="107">IF(C183&gt;0, VLOOKUP(C183,Код_ООП,11,FALSE()),0)</f>
        <v>Д</v>
      </c>
      <c r="B183" s="31" t="str">
        <f t="shared" ref="B183:B246" si="108">IF(C183&gt;0, VLOOKUP(C183,Код_ООП,12,FALSE()),0)</f>
        <v>Б</v>
      </c>
      <c r="C183" s="32" t="s">
        <v>186</v>
      </c>
      <c r="D183" s="33" t="str">
        <f t="shared" ref="D183:D246" si="109">IF(C183&gt;0,VLOOKUP(LEFT(C183,1),ОУП,2,FALSE()),0)</f>
        <v>Факультет физико-математических и естественных наук</v>
      </c>
      <c r="E183" s="34" t="str">
        <f t="shared" ref="E183:E246" si="110">IF(C183&gt;0, VLOOKUP(C183,Код_ООП,2,FALSE()),0)</f>
        <v>'02.03.00</v>
      </c>
      <c r="F183" s="35" t="str">
        <f t="shared" ref="F183:F246" si="111">IF(C183&gt;0, VLOOKUP(C183,Код_ООП,13,FALSE()),0)</f>
        <v>Компьютерные и информационные науки (УГСН)</v>
      </c>
      <c r="G183" s="36" t="s">
        <v>76</v>
      </c>
      <c r="H183" s="36" t="s">
        <v>183</v>
      </c>
      <c r="I183" s="37"/>
      <c r="J183" s="37"/>
      <c r="K183" s="38" t="s">
        <v>91</v>
      </c>
      <c r="L183" s="39">
        <v>1</v>
      </c>
      <c r="M183" s="39">
        <v>18</v>
      </c>
      <c r="N183" s="40" t="s">
        <v>94</v>
      </c>
      <c r="O183" s="39"/>
      <c r="P183" s="39">
        <v>2</v>
      </c>
      <c r="Q183" s="39"/>
      <c r="R183" s="40"/>
      <c r="S183" s="41"/>
      <c r="T183" s="41"/>
      <c r="U183" s="41"/>
      <c r="V183" s="41"/>
      <c r="W183" s="41"/>
      <c r="X183" s="42" t="str">
        <f t="shared" ref="X183:X246" si="112">MID(C183,1,5)</f>
        <v>НКАбд</v>
      </c>
      <c r="Y183" s="39" t="s">
        <v>190</v>
      </c>
      <c r="Z183" s="39">
        <v>1</v>
      </c>
      <c r="AA183" s="39">
        <v>1</v>
      </c>
      <c r="AB183" s="42">
        <f t="shared" ref="AB183:AB246" si="113">AC183+AD183</f>
        <v>25</v>
      </c>
      <c r="AC183" s="39">
        <v>16</v>
      </c>
      <c r="AD183" s="39">
        <v>9</v>
      </c>
      <c r="AE183" s="44">
        <f t="shared" ref="AE183:AE246" si="114">IF(N183="сп",6,IF(N183="клн",8,IF(OR(N183="лаб",N183="ия"),12,IF(OR(N183="пр",N183="ТЕСТ"),IF(OR(B183="Б",B183="С"),24,12),IF(N183="лек",AB183,1)))))</f>
        <v>12</v>
      </c>
      <c r="AF183" s="45">
        <f t="shared" ref="AF183:AF246" si="115">IF(AG183&gt;1,1,AG183)</f>
        <v>1</v>
      </c>
      <c r="AG183" s="45">
        <f t="shared" ref="AG183:AG246" si="116">AB183/AE183</f>
        <v>2.0833333333333335</v>
      </c>
      <c r="AH183" s="46" t="s">
        <v>82</v>
      </c>
      <c r="AI183" s="40" t="s">
        <v>99</v>
      </c>
      <c r="AJ183" s="40" t="s">
        <v>84</v>
      </c>
      <c r="AK183" s="47" t="s">
        <v>109</v>
      </c>
      <c r="AL183" s="40"/>
      <c r="AM183" s="48">
        <f t="shared" ref="AM183:AM246" si="117">IF(AB183&gt;0,IF(OR(N183="лек",N183="ТУИС"),O183*M183,0),0)</f>
        <v>0</v>
      </c>
      <c r="AN183" s="48">
        <f t="shared" ref="AN183:AN246" si="118">IF(OR(N183="пр",N183="ия",N183="сп"),Q183*AF183*M183,0)</f>
        <v>0</v>
      </c>
      <c r="AO183" s="48">
        <f t="shared" ref="AO183:AO246" si="119">IF(OR(N183="лаб",N183="клн"),P183*AF183*M183,0)</f>
        <v>36</v>
      </c>
      <c r="AP183" s="48">
        <f t="shared" ref="AP183:AP246" si="120">(IF((AND(OR(L183=1,L183=2,L183=3,L183=4,L183=5,L183=6,L183=7,L183=8,L183=9,L183=10,L183=11,L183=12),OR(R183="Зач",R183="Экз"))),ТКиРА*AB183,0)+IF(SUM(O183:Q183)&lt;&gt;0,IF(R183="ТК",ТКиРА*AB183,0),0))*(IF(G183="ФТД",0,1))</f>
        <v>0</v>
      </c>
      <c r="AQ183" s="48">
        <f t="shared" ref="AQ183:AQ246" si="121">IF(SUM(P183:Q183)&lt;&gt;0,IF(R183="Зач",ПАБРС*AB183,0),0)+IF(O183&lt;&gt;0,IF(R183="Экз",ПАБРС*AB183,0),0)</f>
        <v>0</v>
      </c>
      <c r="AR183" s="48">
        <f t="shared" ref="AR183:AR246" si="122">(IF(AQ183&lt;&gt;0,ОфВед*(IF(OR(N183="лек",N183="лаб"),AA183,AF183)),0))*(IF(G183="ФТД",0,1))</f>
        <v>0</v>
      </c>
      <c r="AS183" s="48">
        <f t="shared" ref="AS183:AS246" si="123">(IF(A183="Д",ТКЛД,IF(A183="В",ТКЛВ,IF(A183="З",ТКЛЗ,0))))*(IF(G183="ФТД",0,IF(B183="ЦМ",O183*M183,AM183)))*AA183</f>
        <v>0</v>
      </c>
      <c r="AT183" s="48">
        <f t="shared" ref="AT183:AT246" si="124">IF(S183="К",AB183*ВПКР,IF(S183="М",AB183*ВПИБ,0))</f>
        <v>0</v>
      </c>
      <c r="AU183" s="48">
        <f t="shared" ref="AU183:AU246" si="125">IF(OR(N183="лаб",N183="пр"),IF(T183="К",AB183*ВПКП,0),0)</f>
        <v>0</v>
      </c>
      <c r="AV183" s="48">
        <f t="shared" ref="AV183:AV246" si="126">IF(N183="УП",U183/1.5*AB183*РУП,IF(N183="УПМ",U183/1.5*AB183*РУПЛеч,0))</f>
        <v>0</v>
      </c>
      <c r="AW183" s="48">
        <f>IF(N183="ПП",РПП*AB183*(V183/1.5),IF(N183="ВП",ВПр*AB183*(V183/1.5),IF(N183="РПА",РПА*AB183*(V183/1.5),IF(N183="КПА",кпа*AB183*(V183/1.5),0))))</f>
        <v>0</v>
      </c>
      <c r="AX183" s="48">
        <f t="shared" ref="AX183:AX246" si="127">IF(N183="НР",(AC183*НИРМ+AD183*НИРМИн)*(W183/1.5),IF(N183="НИ",(AC183*НИРА+AD183*НИРАИ)*(W183/1.5),0))</f>
        <v>0</v>
      </c>
      <c r="AY183" s="48">
        <f t="shared" ref="AY183:AY246" si="128">IF(AND(N183="ЦП",B183="ЦМ"),AB183*ЦП,0)</f>
        <v>0</v>
      </c>
      <c r="AZ183" s="48">
        <f t="shared" ref="AZ183:AZ246" si="129">IF(B183="А",IF(N183="РР",AB183*РефАсп,IF(N183="РРФ",AB183*РефФил,0)),0)</f>
        <v>0</v>
      </c>
      <c r="BA183" s="48">
        <f t="shared" ref="BA183:BA246" si="130">IF(AND(R183="КЭ",N183="ЧК"),AB183*КдЭк,0)</f>
        <v>0</v>
      </c>
      <c r="BB183" s="48">
        <f t="shared" ref="BB183:BB246" si="131">IF(AND(N183="НКД",B183="Д"),AB183*НКД,0)+IF(AND(N183="РПЛ",B183="А"),AB183*РукПЛ,0)+IF(AND(N183="РСтж",B183="А"),AC183*РукСт+AD183*РукИСт,0)+IF(N183="ФГТ",AC183*РукРФа+AD183*РукИна,0)</f>
        <v>0</v>
      </c>
      <c r="BC183" s="48">
        <f t="shared" ref="BC183:BC246" si="132">IF(N183="РК",IF(OR(B183="С",B183="М",B183="ЦМ"),(AC183*РСМ+AD183*РСМИ),0),0)+IF(N183="РК",IF(B183="Б",(AC183*РБ+AD183*РБИ),0),0)+IF(N183="РК",IF(B183="А",(AC183*РНКР+AD183*РНКРИн),0),0)+IF(AND(R183="ПАкр"),AB183*0.3)</f>
        <v>0</v>
      </c>
      <c r="BD183" s="48">
        <f t="shared" ref="BD183:BD246" si="133">IF(N183="РДП",IF(B183="А",AB183*РРА,IF(OR(B183="С",B183="М",B183="ЦМ"),AB183*РРСМ,IF(B183="Б",AB183*РРБ,0))),IF(N183="РДИ",AB183*РДП,0))</f>
        <v>0</v>
      </c>
      <c r="BE183" s="48">
        <f t="shared" ref="BE183:BE246" si="134">IF(N183="ЧГ",AB183*ЧГ,IF(N183="ПГ",AB183*ПГ,IF(N183="ТЕСТ",ТГИЭ*AF183,IF(N183="СГ",AB183*СГ,0))))</f>
        <v>0</v>
      </c>
      <c r="BF183" s="49">
        <f t="shared" ref="BF183:BF246" si="135">SUM(AM183:BE183)</f>
        <v>36</v>
      </c>
      <c r="BG183" s="50"/>
      <c r="BH183" s="51">
        <f t="shared" ref="BH183:BH246" si="136">IF(OR(L183="1;1",L183="1;2",L183=1,L183="3;1",L183="3;2",L183=3,L183="5;1",L183="5;2",L183=5,L183="7;1",L183="7;2",L183=7,L183="9;1",L183="9;2",L183=9,L183=11),SUM(AM183:AO183),0)</f>
        <v>36</v>
      </c>
      <c r="BI183" s="51">
        <f t="shared" ref="BI183:BI246" si="137">IF(BH183&lt;&gt;0,SUM(O183:Q183)/2,0)</f>
        <v>1</v>
      </c>
      <c r="BJ183" s="51">
        <f t="shared" ref="BJ183:BJ246" si="138">IF(OR(L183="1;1",L183="1;2",L183=1,L183="3;1",L183="3;2",L183=3,L183="5;1",L183="5;2",L183=5,L183="7;1",L183="7;2",L183=7,L183="9;1",L183="9;2",L183=9,L183=11),SUM(AP183:BE183),0)</f>
        <v>0</v>
      </c>
      <c r="BK183" s="52">
        <f t="shared" ref="BK183:BK246" si="139">IF(OR(L183="2;3",L183="2;4",L183=2,L183="4;3",L183="4;4",L183=4,L183="6;3",L183="6;4",L183=6,L183="8;3",L183="8;4",L183=8,L183="10;3",L183="10;4",L183=10,L183=12),SUM(AM183:AO183),0)</f>
        <v>0</v>
      </c>
      <c r="BL183" s="52">
        <f t="shared" ref="BL183:BL246" si="140">IF(BK183&lt;&gt;0,SUM(O183:Q183)/2,0)</f>
        <v>0</v>
      </c>
      <c r="BM183" s="52">
        <f t="shared" ref="BM183:BM246" si="141">IF(OR(L183="2;3",L183="2;4",L183=2,L183="4;3",L183="4;4",L183=4,L183="6;3",L183="6;4",L183=6,L183="8;3",L183="8;4",L183=8,L183="10;3",L183="10;4",L183=10,L183=12),SUM(AP183:BE183),0)</f>
        <v>0</v>
      </c>
    </row>
    <row r="184" spans="1:65" ht="30" customHeight="1" x14ac:dyDescent="0.25">
      <c r="A184" s="31" t="str">
        <f t="shared" si="107"/>
        <v>Д</v>
      </c>
      <c r="B184" s="31" t="str">
        <f t="shared" si="108"/>
        <v>Б</v>
      </c>
      <c r="C184" s="32" t="s">
        <v>186</v>
      </c>
      <c r="D184" s="33" t="str">
        <f t="shared" si="109"/>
        <v>Факультет физико-математических и естественных наук</v>
      </c>
      <c r="E184" s="34" t="str">
        <f t="shared" si="110"/>
        <v>'02.03.00</v>
      </c>
      <c r="F184" s="35" t="str">
        <f t="shared" si="111"/>
        <v>Компьютерные и информационные науки (УГСН)</v>
      </c>
      <c r="G184" s="36" t="s">
        <v>76</v>
      </c>
      <c r="H184" s="36" t="s">
        <v>183</v>
      </c>
      <c r="I184" s="37"/>
      <c r="J184" s="37"/>
      <c r="K184" s="38" t="s">
        <v>91</v>
      </c>
      <c r="L184" s="39">
        <v>1</v>
      </c>
      <c r="M184" s="39">
        <v>18</v>
      </c>
      <c r="N184" s="40" t="s">
        <v>94</v>
      </c>
      <c r="O184" s="39"/>
      <c r="P184" s="39">
        <v>2</v>
      </c>
      <c r="Q184" s="39"/>
      <c r="R184" s="40"/>
      <c r="S184" s="41"/>
      <c r="T184" s="41"/>
      <c r="U184" s="41"/>
      <c r="V184" s="41"/>
      <c r="W184" s="41"/>
      <c r="X184" s="42" t="str">
        <f t="shared" si="112"/>
        <v>НКАбд</v>
      </c>
      <c r="Y184" s="39" t="s">
        <v>190</v>
      </c>
      <c r="Z184" s="39">
        <v>1</v>
      </c>
      <c r="AA184" s="39">
        <v>1</v>
      </c>
      <c r="AB184" s="42">
        <f t="shared" si="113"/>
        <v>0</v>
      </c>
      <c r="AC184" s="39"/>
      <c r="AD184" s="39"/>
      <c r="AE184" s="44">
        <f t="shared" si="114"/>
        <v>12</v>
      </c>
      <c r="AF184" s="45">
        <f t="shared" si="115"/>
        <v>0</v>
      </c>
      <c r="AG184" s="45">
        <f t="shared" si="116"/>
        <v>0</v>
      </c>
      <c r="AH184" s="46" t="s">
        <v>82</v>
      </c>
      <c r="AI184" s="40" t="s">
        <v>99</v>
      </c>
      <c r="AJ184" s="40" t="s">
        <v>84</v>
      </c>
      <c r="AK184" s="47" t="s">
        <v>109</v>
      </c>
      <c r="AL184" s="40"/>
      <c r="AM184" s="48">
        <f t="shared" si="117"/>
        <v>0</v>
      </c>
      <c r="AN184" s="48">
        <f t="shared" si="118"/>
        <v>0</v>
      </c>
      <c r="AO184" s="48">
        <f t="shared" si="119"/>
        <v>0</v>
      </c>
      <c r="AP184" s="48">
        <f t="shared" si="120"/>
        <v>0</v>
      </c>
      <c r="AQ184" s="48">
        <f t="shared" si="121"/>
        <v>0</v>
      </c>
      <c r="AR184" s="48">
        <f t="shared" si="122"/>
        <v>0</v>
      </c>
      <c r="AS184" s="48">
        <f t="shared" si="123"/>
        <v>0</v>
      </c>
      <c r="AT184" s="48">
        <f t="shared" si="124"/>
        <v>0</v>
      </c>
      <c r="AU184" s="48">
        <f t="shared" si="125"/>
        <v>0</v>
      </c>
      <c r="AV184" s="48">
        <f t="shared" si="126"/>
        <v>0</v>
      </c>
      <c r="AW184" s="48">
        <f>IF(N184="ПП",РПП*AB184*(V184/1.5),IF(N184="ВП",ВПр*AB184*(V184/1.5),IF(N184="РПА",РПА*AB184*(V184/1.5),IF(N184="КПА",кпа*AB184*(V184/1.5),0))))</f>
        <v>0</v>
      </c>
      <c r="AX184" s="48">
        <f t="shared" si="127"/>
        <v>0</v>
      </c>
      <c r="AY184" s="48">
        <f t="shared" si="128"/>
        <v>0</v>
      </c>
      <c r="AZ184" s="48">
        <f t="shared" si="129"/>
        <v>0</v>
      </c>
      <c r="BA184" s="48">
        <f t="shared" si="130"/>
        <v>0</v>
      </c>
      <c r="BB184" s="48">
        <f t="shared" si="131"/>
        <v>0</v>
      </c>
      <c r="BC184" s="48">
        <f t="shared" si="132"/>
        <v>0</v>
      </c>
      <c r="BD184" s="48">
        <f t="shared" si="133"/>
        <v>0</v>
      </c>
      <c r="BE184" s="48">
        <f t="shared" si="134"/>
        <v>0</v>
      </c>
      <c r="BF184" s="49">
        <f t="shared" si="135"/>
        <v>0</v>
      </c>
      <c r="BG184" s="50"/>
      <c r="BH184" s="51">
        <f t="shared" si="136"/>
        <v>0</v>
      </c>
      <c r="BI184" s="51">
        <f t="shared" si="137"/>
        <v>0</v>
      </c>
      <c r="BJ184" s="51">
        <f t="shared" si="138"/>
        <v>0</v>
      </c>
      <c r="BK184" s="52">
        <f t="shared" si="139"/>
        <v>0</v>
      </c>
      <c r="BL184" s="52">
        <f t="shared" si="140"/>
        <v>0</v>
      </c>
      <c r="BM184" s="52">
        <f t="shared" si="141"/>
        <v>0</v>
      </c>
    </row>
    <row r="185" spans="1:65" ht="30" customHeight="1" x14ac:dyDescent="0.25">
      <c r="A185" s="31" t="str">
        <f t="shared" si="107"/>
        <v>Д</v>
      </c>
      <c r="B185" s="31" t="str">
        <f t="shared" si="108"/>
        <v>Б</v>
      </c>
      <c r="C185" s="32" t="s">
        <v>186</v>
      </c>
      <c r="D185" s="33" t="str">
        <f t="shared" si="109"/>
        <v>Факультет физико-математических и естественных наук</v>
      </c>
      <c r="E185" s="34" t="str">
        <f t="shared" si="110"/>
        <v>'02.03.00</v>
      </c>
      <c r="F185" s="35" t="str">
        <f t="shared" si="111"/>
        <v>Компьютерные и информационные науки (УГСН)</v>
      </c>
      <c r="G185" s="36" t="s">
        <v>76</v>
      </c>
      <c r="H185" s="36" t="s">
        <v>183</v>
      </c>
      <c r="I185" s="37"/>
      <c r="J185" s="37"/>
      <c r="K185" s="38" t="s">
        <v>91</v>
      </c>
      <c r="L185" s="39">
        <v>1</v>
      </c>
      <c r="M185" s="39">
        <v>18</v>
      </c>
      <c r="N185" s="40" t="s">
        <v>94</v>
      </c>
      <c r="O185" s="39"/>
      <c r="P185" s="39">
        <v>2</v>
      </c>
      <c r="Q185" s="39"/>
      <c r="R185" s="40"/>
      <c r="S185" s="41"/>
      <c r="T185" s="41"/>
      <c r="U185" s="41"/>
      <c r="V185" s="41"/>
      <c r="W185" s="41"/>
      <c r="X185" s="42" t="str">
        <f t="shared" si="112"/>
        <v>НКАбд</v>
      </c>
      <c r="Y185" s="39" t="s">
        <v>191</v>
      </c>
      <c r="Z185" s="39">
        <v>1</v>
      </c>
      <c r="AA185" s="39">
        <v>1</v>
      </c>
      <c r="AB185" s="42">
        <f t="shared" si="113"/>
        <v>25</v>
      </c>
      <c r="AC185" s="39">
        <v>16</v>
      </c>
      <c r="AD185" s="39">
        <v>9</v>
      </c>
      <c r="AE185" s="44">
        <f t="shared" si="114"/>
        <v>12</v>
      </c>
      <c r="AF185" s="45">
        <f t="shared" si="115"/>
        <v>1</v>
      </c>
      <c r="AG185" s="45">
        <f t="shared" si="116"/>
        <v>2.0833333333333335</v>
      </c>
      <c r="AH185" s="46" t="s">
        <v>82</v>
      </c>
      <c r="AI185" s="40" t="s">
        <v>99</v>
      </c>
      <c r="AJ185" s="40" t="s">
        <v>84</v>
      </c>
      <c r="AK185" s="47" t="s">
        <v>109</v>
      </c>
      <c r="AL185" s="40"/>
      <c r="AM185" s="48">
        <f t="shared" si="117"/>
        <v>0</v>
      </c>
      <c r="AN185" s="48">
        <f t="shared" si="118"/>
        <v>0</v>
      </c>
      <c r="AO185" s="48">
        <f t="shared" si="119"/>
        <v>36</v>
      </c>
      <c r="AP185" s="48">
        <f t="shared" si="120"/>
        <v>0</v>
      </c>
      <c r="AQ185" s="48">
        <f t="shared" si="121"/>
        <v>0</v>
      </c>
      <c r="AR185" s="48">
        <f t="shared" si="122"/>
        <v>0</v>
      </c>
      <c r="AS185" s="48">
        <f t="shared" si="123"/>
        <v>0</v>
      </c>
      <c r="AT185" s="48">
        <f t="shared" si="124"/>
        <v>0</v>
      </c>
      <c r="AU185" s="48">
        <f t="shared" si="125"/>
        <v>0</v>
      </c>
      <c r="AV185" s="48">
        <f t="shared" si="126"/>
        <v>0</v>
      </c>
      <c r="AW185" s="48">
        <f>IF(N185="ПП",РПП*AB185*(V185/1.5),IF(N185="ВП",ВПр*AB185*(V185/1.5),IF(N185="РПА",РПА*AB185*(V185/1.5),IF(N185="КПА",кпа*AB185*(V185/1.5),0))))</f>
        <v>0</v>
      </c>
      <c r="AX185" s="48">
        <f t="shared" si="127"/>
        <v>0</v>
      </c>
      <c r="AY185" s="48">
        <f t="shared" si="128"/>
        <v>0</v>
      </c>
      <c r="AZ185" s="48">
        <f t="shared" si="129"/>
        <v>0</v>
      </c>
      <c r="BA185" s="48">
        <f t="shared" si="130"/>
        <v>0</v>
      </c>
      <c r="BB185" s="48">
        <f t="shared" si="131"/>
        <v>0</v>
      </c>
      <c r="BC185" s="48">
        <f t="shared" si="132"/>
        <v>0</v>
      </c>
      <c r="BD185" s="48">
        <f t="shared" si="133"/>
        <v>0</v>
      </c>
      <c r="BE185" s="48">
        <f t="shared" si="134"/>
        <v>0</v>
      </c>
      <c r="BF185" s="49">
        <f t="shared" si="135"/>
        <v>36</v>
      </c>
      <c r="BG185" s="50"/>
      <c r="BH185" s="51">
        <f t="shared" si="136"/>
        <v>36</v>
      </c>
      <c r="BI185" s="51">
        <f t="shared" si="137"/>
        <v>1</v>
      </c>
      <c r="BJ185" s="51">
        <f t="shared" si="138"/>
        <v>0</v>
      </c>
      <c r="BK185" s="52">
        <f t="shared" si="139"/>
        <v>0</v>
      </c>
      <c r="BL185" s="52">
        <f t="shared" si="140"/>
        <v>0</v>
      </c>
      <c r="BM185" s="52">
        <f t="shared" si="141"/>
        <v>0</v>
      </c>
    </row>
    <row r="186" spans="1:65" ht="30" customHeight="1" x14ac:dyDescent="0.25">
      <c r="A186" s="31" t="str">
        <f t="shared" si="107"/>
        <v>Д</v>
      </c>
      <c r="B186" s="31" t="str">
        <f t="shared" si="108"/>
        <v>Б</v>
      </c>
      <c r="C186" s="32" t="s">
        <v>186</v>
      </c>
      <c r="D186" s="33" t="str">
        <f t="shared" si="109"/>
        <v>Факультет физико-математических и естественных наук</v>
      </c>
      <c r="E186" s="34" t="str">
        <f t="shared" si="110"/>
        <v>'02.03.00</v>
      </c>
      <c r="F186" s="35" t="str">
        <f t="shared" si="111"/>
        <v>Компьютерные и информационные науки (УГСН)</v>
      </c>
      <c r="G186" s="36" t="s">
        <v>76</v>
      </c>
      <c r="H186" s="36" t="s">
        <v>183</v>
      </c>
      <c r="I186" s="37"/>
      <c r="J186" s="37"/>
      <c r="K186" s="38" t="s">
        <v>91</v>
      </c>
      <c r="L186" s="39">
        <v>1</v>
      </c>
      <c r="M186" s="39">
        <v>18</v>
      </c>
      <c r="N186" s="40" t="s">
        <v>94</v>
      </c>
      <c r="O186" s="39"/>
      <c r="P186" s="39">
        <v>2</v>
      </c>
      <c r="Q186" s="39"/>
      <c r="R186" s="40"/>
      <c r="S186" s="41"/>
      <c r="T186" s="41"/>
      <c r="U186" s="41"/>
      <c r="V186" s="41"/>
      <c r="W186" s="41"/>
      <c r="X186" s="42" t="str">
        <f t="shared" si="112"/>
        <v>НКАбд</v>
      </c>
      <c r="Y186" s="39" t="s">
        <v>191</v>
      </c>
      <c r="Z186" s="39">
        <v>1</v>
      </c>
      <c r="AA186" s="39">
        <v>1</v>
      </c>
      <c r="AB186" s="42">
        <f t="shared" si="113"/>
        <v>0</v>
      </c>
      <c r="AC186" s="39"/>
      <c r="AD186" s="39"/>
      <c r="AE186" s="44">
        <f t="shared" si="114"/>
        <v>12</v>
      </c>
      <c r="AF186" s="45">
        <f t="shared" si="115"/>
        <v>0</v>
      </c>
      <c r="AG186" s="45">
        <f t="shared" si="116"/>
        <v>0</v>
      </c>
      <c r="AH186" s="46" t="s">
        <v>82</v>
      </c>
      <c r="AI186" s="40" t="s">
        <v>99</v>
      </c>
      <c r="AJ186" s="40" t="s">
        <v>84</v>
      </c>
      <c r="AK186" s="47" t="s">
        <v>109</v>
      </c>
      <c r="AL186" s="40"/>
      <c r="AM186" s="48">
        <f t="shared" si="117"/>
        <v>0</v>
      </c>
      <c r="AN186" s="48">
        <f t="shared" si="118"/>
        <v>0</v>
      </c>
      <c r="AO186" s="48">
        <f t="shared" si="119"/>
        <v>0</v>
      </c>
      <c r="AP186" s="48">
        <f t="shared" si="120"/>
        <v>0</v>
      </c>
      <c r="AQ186" s="48">
        <f t="shared" si="121"/>
        <v>0</v>
      </c>
      <c r="AR186" s="48">
        <f t="shared" si="122"/>
        <v>0</v>
      </c>
      <c r="AS186" s="48">
        <f t="shared" si="123"/>
        <v>0</v>
      </c>
      <c r="AT186" s="48">
        <f t="shared" si="124"/>
        <v>0</v>
      </c>
      <c r="AU186" s="48">
        <f t="shared" si="125"/>
        <v>0</v>
      </c>
      <c r="AV186" s="48">
        <f t="shared" si="126"/>
        <v>0</v>
      </c>
      <c r="AW186" s="48">
        <f>IF(N186="ПП",РПП*AB186*(V186/1.5),IF(N186="ВП",ВПр*AB186*(V186/1.5),IF(N186="РПА",РПА*AB186*(V186/1.5),IF(N186="КПА",кпа*AB186*(V186/1.5),0))))</f>
        <v>0</v>
      </c>
      <c r="AX186" s="48">
        <f t="shared" si="127"/>
        <v>0</v>
      </c>
      <c r="AY186" s="48">
        <f t="shared" si="128"/>
        <v>0</v>
      </c>
      <c r="AZ186" s="48">
        <f t="shared" si="129"/>
        <v>0</v>
      </c>
      <c r="BA186" s="48">
        <f t="shared" si="130"/>
        <v>0</v>
      </c>
      <c r="BB186" s="48">
        <f t="shared" si="131"/>
        <v>0</v>
      </c>
      <c r="BC186" s="48">
        <f t="shared" si="132"/>
        <v>0</v>
      </c>
      <c r="BD186" s="48">
        <f t="shared" si="133"/>
        <v>0</v>
      </c>
      <c r="BE186" s="48">
        <f t="shared" si="134"/>
        <v>0</v>
      </c>
      <c r="BF186" s="49">
        <f t="shared" si="135"/>
        <v>0</v>
      </c>
      <c r="BG186" s="50"/>
      <c r="BH186" s="51">
        <f t="shared" si="136"/>
        <v>0</v>
      </c>
      <c r="BI186" s="51">
        <f t="shared" si="137"/>
        <v>0</v>
      </c>
      <c r="BJ186" s="51">
        <f t="shared" si="138"/>
        <v>0</v>
      </c>
      <c r="BK186" s="52">
        <f t="shared" si="139"/>
        <v>0</v>
      </c>
      <c r="BL186" s="52">
        <f t="shared" si="140"/>
        <v>0</v>
      </c>
      <c r="BM186" s="52">
        <f t="shared" si="141"/>
        <v>0</v>
      </c>
    </row>
    <row r="187" spans="1:65" ht="30" customHeight="1" x14ac:dyDescent="0.25">
      <c r="A187" s="31" t="str">
        <f t="shared" si="107"/>
        <v>Д</v>
      </c>
      <c r="B187" s="31" t="str">
        <f t="shared" si="108"/>
        <v>Б</v>
      </c>
      <c r="C187" s="32" t="s">
        <v>186</v>
      </c>
      <c r="D187" s="33" t="str">
        <f t="shared" si="109"/>
        <v>Факультет физико-математических и естественных наук</v>
      </c>
      <c r="E187" s="34" t="str">
        <f t="shared" si="110"/>
        <v>'02.03.00</v>
      </c>
      <c r="F187" s="35" t="str">
        <f t="shared" si="111"/>
        <v>Компьютерные и информационные науки (УГСН)</v>
      </c>
      <c r="G187" s="36" t="s">
        <v>76</v>
      </c>
      <c r="H187" s="36" t="s">
        <v>183</v>
      </c>
      <c r="I187" s="37"/>
      <c r="J187" s="37"/>
      <c r="K187" s="38" t="s">
        <v>91</v>
      </c>
      <c r="L187" s="39">
        <v>1</v>
      </c>
      <c r="M187" s="39">
        <v>18</v>
      </c>
      <c r="N187" s="40" t="s">
        <v>94</v>
      </c>
      <c r="O187" s="39"/>
      <c r="P187" s="39">
        <v>2</v>
      </c>
      <c r="Q187" s="39"/>
      <c r="R187" s="40"/>
      <c r="S187" s="41"/>
      <c r="T187" s="41"/>
      <c r="U187" s="41"/>
      <c r="V187" s="41"/>
      <c r="W187" s="41"/>
      <c r="X187" s="42" t="str">
        <f t="shared" si="112"/>
        <v>НКАбд</v>
      </c>
      <c r="Y187" s="43" t="s">
        <v>192</v>
      </c>
      <c r="Z187" s="39">
        <v>1</v>
      </c>
      <c r="AA187" s="39">
        <v>1</v>
      </c>
      <c r="AB187" s="42">
        <f t="shared" si="113"/>
        <v>25</v>
      </c>
      <c r="AC187" s="39">
        <v>16</v>
      </c>
      <c r="AD187" s="39">
        <v>9</v>
      </c>
      <c r="AE187" s="44">
        <f t="shared" si="114"/>
        <v>12</v>
      </c>
      <c r="AF187" s="45">
        <f t="shared" si="115"/>
        <v>1</v>
      </c>
      <c r="AG187" s="45">
        <f t="shared" si="116"/>
        <v>2.0833333333333335</v>
      </c>
      <c r="AH187" s="46" t="s">
        <v>82</v>
      </c>
      <c r="AI187" s="40" t="s">
        <v>99</v>
      </c>
      <c r="AJ187" s="40" t="s">
        <v>84</v>
      </c>
      <c r="AK187" s="47" t="s">
        <v>109</v>
      </c>
      <c r="AL187" s="40"/>
      <c r="AM187" s="48">
        <f t="shared" si="117"/>
        <v>0</v>
      </c>
      <c r="AN187" s="48">
        <f t="shared" si="118"/>
        <v>0</v>
      </c>
      <c r="AO187" s="48">
        <f t="shared" si="119"/>
        <v>36</v>
      </c>
      <c r="AP187" s="48">
        <f t="shared" si="120"/>
        <v>0</v>
      </c>
      <c r="AQ187" s="48">
        <f t="shared" si="121"/>
        <v>0</v>
      </c>
      <c r="AR187" s="48">
        <f t="shared" si="122"/>
        <v>0</v>
      </c>
      <c r="AS187" s="48">
        <f t="shared" si="123"/>
        <v>0</v>
      </c>
      <c r="AT187" s="48">
        <f t="shared" si="124"/>
        <v>0</v>
      </c>
      <c r="AU187" s="48">
        <f t="shared" si="125"/>
        <v>0</v>
      </c>
      <c r="AV187" s="48">
        <f t="shared" si="126"/>
        <v>0</v>
      </c>
      <c r="AW187" s="48">
        <f>IF(N187="ПП",РПП*AB187*(V187/1.5),IF(N187="ВП",ВПр*AB187*(V187/1.5),IF(N187="РПА",РПА*AB187*(V187/1.5),IF(N187="КПА",кпа*AB187*(V187/1.5),0))))</f>
        <v>0</v>
      </c>
      <c r="AX187" s="48">
        <f t="shared" si="127"/>
        <v>0</v>
      </c>
      <c r="AY187" s="48">
        <f t="shared" si="128"/>
        <v>0</v>
      </c>
      <c r="AZ187" s="48">
        <f t="shared" si="129"/>
        <v>0</v>
      </c>
      <c r="BA187" s="48">
        <f t="shared" si="130"/>
        <v>0</v>
      </c>
      <c r="BB187" s="48">
        <f t="shared" si="131"/>
        <v>0</v>
      </c>
      <c r="BC187" s="48">
        <f t="shared" si="132"/>
        <v>0</v>
      </c>
      <c r="BD187" s="48">
        <f t="shared" si="133"/>
        <v>0</v>
      </c>
      <c r="BE187" s="48">
        <f t="shared" si="134"/>
        <v>0</v>
      </c>
      <c r="BF187" s="49">
        <f t="shared" si="135"/>
        <v>36</v>
      </c>
      <c r="BG187" s="50"/>
      <c r="BH187" s="51">
        <f t="shared" si="136"/>
        <v>36</v>
      </c>
      <c r="BI187" s="51">
        <f t="shared" si="137"/>
        <v>1</v>
      </c>
      <c r="BJ187" s="51">
        <f t="shared" si="138"/>
        <v>0</v>
      </c>
      <c r="BK187" s="52">
        <f t="shared" si="139"/>
        <v>0</v>
      </c>
      <c r="BL187" s="52">
        <f t="shared" si="140"/>
        <v>0</v>
      </c>
      <c r="BM187" s="52">
        <f t="shared" si="141"/>
        <v>0</v>
      </c>
    </row>
    <row r="188" spans="1:65" ht="30" customHeight="1" x14ac:dyDescent="0.25">
      <c r="A188" s="31" t="str">
        <f t="shared" si="107"/>
        <v>Д</v>
      </c>
      <c r="B188" s="31" t="str">
        <f t="shared" si="108"/>
        <v>Б</v>
      </c>
      <c r="C188" s="32" t="s">
        <v>186</v>
      </c>
      <c r="D188" s="33" t="str">
        <f t="shared" si="109"/>
        <v>Факультет физико-математических и естественных наук</v>
      </c>
      <c r="E188" s="34" t="str">
        <f t="shared" si="110"/>
        <v>'02.03.00</v>
      </c>
      <c r="F188" s="35" t="str">
        <f t="shared" si="111"/>
        <v>Компьютерные и информационные науки (УГСН)</v>
      </c>
      <c r="G188" s="36" t="s">
        <v>76</v>
      </c>
      <c r="H188" s="36" t="s">
        <v>183</v>
      </c>
      <c r="I188" s="37"/>
      <c r="J188" s="37"/>
      <c r="K188" s="38" t="s">
        <v>91</v>
      </c>
      <c r="L188" s="39">
        <v>1</v>
      </c>
      <c r="M188" s="39">
        <v>18</v>
      </c>
      <c r="N188" s="40" t="s">
        <v>94</v>
      </c>
      <c r="O188" s="39"/>
      <c r="P188" s="39">
        <v>2</v>
      </c>
      <c r="Q188" s="39"/>
      <c r="R188" s="40"/>
      <c r="S188" s="41"/>
      <c r="T188" s="41"/>
      <c r="U188" s="41"/>
      <c r="V188" s="41"/>
      <c r="W188" s="41"/>
      <c r="X188" s="42" t="str">
        <f t="shared" si="112"/>
        <v>НКАбд</v>
      </c>
      <c r="Y188" s="43" t="s">
        <v>192</v>
      </c>
      <c r="Z188" s="39">
        <v>1</v>
      </c>
      <c r="AA188" s="39">
        <v>1</v>
      </c>
      <c r="AB188" s="42">
        <f t="shared" si="113"/>
        <v>0</v>
      </c>
      <c r="AC188" s="39"/>
      <c r="AD188" s="39"/>
      <c r="AE188" s="44">
        <f t="shared" si="114"/>
        <v>12</v>
      </c>
      <c r="AF188" s="45">
        <f t="shared" si="115"/>
        <v>0</v>
      </c>
      <c r="AG188" s="45">
        <f t="shared" si="116"/>
        <v>0</v>
      </c>
      <c r="AH188" s="46" t="s">
        <v>82</v>
      </c>
      <c r="AI188" s="40" t="s">
        <v>99</v>
      </c>
      <c r="AJ188" s="40" t="s">
        <v>84</v>
      </c>
      <c r="AK188" s="47" t="s">
        <v>109</v>
      </c>
      <c r="AL188" s="40"/>
      <c r="AM188" s="48">
        <f t="shared" si="117"/>
        <v>0</v>
      </c>
      <c r="AN188" s="48">
        <f t="shared" si="118"/>
        <v>0</v>
      </c>
      <c r="AO188" s="48">
        <f t="shared" si="119"/>
        <v>0</v>
      </c>
      <c r="AP188" s="48">
        <f t="shared" si="120"/>
        <v>0</v>
      </c>
      <c r="AQ188" s="48">
        <f t="shared" si="121"/>
        <v>0</v>
      </c>
      <c r="AR188" s="48">
        <f t="shared" si="122"/>
        <v>0</v>
      </c>
      <c r="AS188" s="48">
        <f t="shared" si="123"/>
        <v>0</v>
      </c>
      <c r="AT188" s="48">
        <f t="shared" si="124"/>
        <v>0</v>
      </c>
      <c r="AU188" s="48">
        <f t="shared" si="125"/>
        <v>0</v>
      </c>
      <c r="AV188" s="48">
        <f t="shared" si="126"/>
        <v>0</v>
      </c>
      <c r="AW188" s="48">
        <f>IF(N188="ПП",РПП*AB188*(V188/1.5),IF(N188="ВП",ВПр*AB188*(V188/1.5),IF(N188="РПА",РПА*AB188*(V188/1.5),IF(N188="КПА",кпа*AB188*(V188/1.5),0))))</f>
        <v>0</v>
      </c>
      <c r="AX188" s="48">
        <f t="shared" si="127"/>
        <v>0</v>
      </c>
      <c r="AY188" s="48">
        <f t="shared" si="128"/>
        <v>0</v>
      </c>
      <c r="AZ188" s="48">
        <f t="shared" si="129"/>
        <v>0</v>
      </c>
      <c r="BA188" s="48">
        <f t="shared" si="130"/>
        <v>0</v>
      </c>
      <c r="BB188" s="48">
        <f t="shared" si="131"/>
        <v>0</v>
      </c>
      <c r="BC188" s="48">
        <f t="shared" si="132"/>
        <v>0</v>
      </c>
      <c r="BD188" s="48">
        <f t="shared" si="133"/>
        <v>0</v>
      </c>
      <c r="BE188" s="48">
        <f t="shared" si="134"/>
        <v>0</v>
      </c>
      <c r="BF188" s="49">
        <f t="shared" si="135"/>
        <v>0</v>
      </c>
      <c r="BG188" s="50"/>
      <c r="BH188" s="51">
        <f t="shared" si="136"/>
        <v>0</v>
      </c>
      <c r="BI188" s="51">
        <f t="shared" si="137"/>
        <v>0</v>
      </c>
      <c r="BJ188" s="51">
        <f t="shared" si="138"/>
        <v>0</v>
      </c>
      <c r="BK188" s="52">
        <f t="shared" si="139"/>
        <v>0</v>
      </c>
      <c r="BL188" s="52">
        <f t="shared" si="140"/>
        <v>0</v>
      </c>
      <c r="BM188" s="52">
        <f t="shared" si="141"/>
        <v>0</v>
      </c>
    </row>
    <row r="189" spans="1:65" ht="30" customHeight="1" x14ac:dyDescent="0.25">
      <c r="A189" s="31" t="str">
        <f t="shared" si="107"/>
        <v>Д</v>
      </c>
      <c r="B189" s="31" t="str">
        <f t="shared" si="108"/>
        <v>Б</v>
      </c>
      <c r="C189" s="32" t="s">
        <v>186</v>
      </c>
      <c r="D189" s="33" t="str">
        <f t="shared" si="109"/>
        <v>Факультет физико-математических и естественных наук</v>
      </c>
      <c r="E189" s="34" t="str">
        <f t="shared" si="110"/>
        <v>'02.03.00</v>
      </c>
      <c r="F189" s="35" t="str">
        <f t="shared" si="111"/>
        <v>Компьютерные и информационные науки (УГСН)</v>
      </c>
      <c r="G189" s="36" t="s">
        <v>76</v>
      </c>
      <c r="H189" s="36" t="s">
        <v>77</v>
      </c>
      <c r="I189" s="37"/>
      <c r="J189" s="37"/>
      <c r="K189" s="38" t="s">
        <v>102</v>
      </c>
      <c r="L189" s="39">
        <v>2</v>
      </c>
      <c r="M189" s="39">
        <v>18</v>
      </c>
      <c r="N189" s="40" t="s">
        <v>79</v>
      </c>
      <c r="O189" s="39">
        <v>1</v>
      </c>
      <c r="P189" s="39"/>
      <c r="Q189" s="39"/>
      <c r="R189" s="40" t="s">
        <v>80</v>
      </c>
      <c r="S189" s="41"/>
      <c r="T189" s="41"/>
      <c r="U189" s="41"/>
      <c r="V189" s="41"/>
      <c r="W189" s="41"/>
      <c r="X189" s="42" t="str">
        <f t="shared" si="112"/>
        <v>НКАбд</v>
      </c>
      <c r="Y189" s="39" t="s">
        <v>187</v>
      </c>
      <c r="Z189" s="39">
        <v>14</v>
      </c>
      <c r="AA189" s="39">
        <v>7</v>
      </c>
      <c r="AB189" s="42">
        <f t="shared" si="113"/>
        <v>179</v>
      </c>
      <c r="AC189" s="39">
        <v>115</v>
      </c>
      <c r="AD189" s="39">
        <v>64</v>
      </c>
      <c r="AE189" s="44">
        <f t="shared" si="114"/>
        <v>179</v>
      </c>
      <c r="AF189" s="45">
        <f t="shared" si="115"/>
        <v>1</v>
      </c>
      <c r="AG189" s="45">
        <f t="shared" si="116"/>
        <v>1</v>
      </c>
      <c r="AH189" s="46" t="s">
        <v>82</v>
      </c>
      <c r="AI189" s="40" t="s">
        <v>83</v>
      </c>
      <c r="AJ189" s="40" t="s">
        <v>84</v>
      </c>
      <c r="AK189" s="47" t="s">
        <v>85</v>
      </c>
      <c r="AL189" s="40"/>
      <c r="AM189" s="48">
        <f t="shared" si="117"/>
        <v>18</v>
      </c>
      <c r="AN189" s="48">
        <f t="shared" si="118"/>
        <v>0</v>
      </c>
      <c r="AO189" s="48">
        <f t="shared" si="119"/>
        <v>0</v>
      </c>
      <c r="AP189" s="48">
        <f t="shared" si="120"/>
        <v>59.07</v>
      </c>
      <c r="AQ189" s="48">
        <f t="shared" si="121"/>
        <v>89.5</v>
      </c>
      <c r="AR189" s="48">
        <f t="shared" si="122"/>
        <v>7</v>
      </c>
      <c r="AS189" s="48">
        <f t="shared" si="123"/>
        <v>6.3</v>
      </c>
      <c r="AT189" s="48">
        <f t="shared" si="124"/>
        <v>0</v>
      </c>
      <c r="AU189" s="48">
        <f t="shared" si="125"/>
        <v>0</v>
      </c>
      <c r="AV189" s="48">
        <f t="shared" si="126"/>
        <v>0</v>
      </c>
      <c r="AW189" s="48">
        <f>IF(N189="ПП",РПП*AB189*(V189/1.5),IF(N189="ВП",ВПр*AB189*(V189/1.5),IF(N189="РПА",РПА*AB189*(V189/1.5),IF(N189="КПА",кпа*AB189*(V189/1.5),0))))</f>
        <v>0</v>
      </c>
      <c r="AX189" s="48">
        <f t="shared" si="127"/>
        <v>0</v>
      </c>
      <c r="AY189" s="48">
        <f t="shared" si="128"/>
        <v>0</v>
      </c>
      <c r="AZ189" s="48">
        <f t="shared" si="129"/>
        <v>0</v>
      </c>
      <c r="BA189" s="48">
        <f t="shared" si="130"/>
        <v>0</v>
      </c>
      <c r="BB189" s="48">
        <f t="shared" si="131"/>
        <v>0</v>
      </c>
      <c r="BC189" s="48">
        <f t="shared" si="132"/>
        <v>0</v>
      </c>
      <c r="BD189" s="48">
        <f t="shared" si="133"/>
        <v>0</v>
      </c>
      <c r="BE189" s="48">
        <f t="shared" si="134"/>
        <v>0</v>
      </c>
      <c r="BF189" s="49">
        <f t="shared" si="135"/>
        <v>179.87</v>
      </c>
      <c r="BG189" s="50"/>
      <c r="BH189" s="51">
        <f t="shared" si="136"/>
        <v>0</v>
      </c>
      <c r="BI189" s="51">
        <f t="shared" si="137"/>
        <v>0</v>
      </c>
      <c r="BJ189" s="51">
        <f t="shared" si="138"/>
        <v>0</v>
      </c>
      <c r="BK189" s="52">
        <f t="shared" si="139"/>
        <v>18</v>
      </c>
      <c r="BL189" s="52">
        <f t="shared" si="140"/>
        <v>0.5</v>
      </c>
      <c r="BM189" s="52">
        <f t="shared" si="141"/>
        <v>161.87</v>
      </c>
    </row>
    <row r="190" spans="1:65" ht="30" customHeight="1" x14ac:dyDescent="0.25">
      <c r="A190" s="31" t="str">
        <f t="shared" si="107"/>
        <v>Д</v>
      </c>
      <c r="B190" s="31" t="str">
        <f t="shared" si="108"/>
        <v>Б</v>
      </c>
      <c r="C190" s="32" t="s">
        <v>186</v>
      </c>
      <c r="D190" s="33" t="str">
        <f t="shared" si="109"/>
        <v>Факультет физико-математических и естественных наук</v>
      </c>
      <c r="E190" s="34" t="str">
        <f t="shared" si="110"/>
        <v>'02.03.00</v>
      </c>
      <c r="F190" s="35" t="str">
        <f t="shared" si="111"/>
        <v>Компьютерные и информационные науки (УГСН)</v>
      </c>
      <c r="G190" s="36" t="s">
        <v>76</v>
      </c>
      <c r="H190" s="36" t="s">
        <v>77</v>
      </c>
      <c r="I190" s="37"/>
      <c r="J190" s="37"/>
      <c r="K190" s="38" t="s">
        <v>102</v>
      </c>
      <c r="L190" s="39">
        <v>2</v>
      </c>
      <c r="M190" s="39">
        <v>18</v>
      </c>
      <c r="N190" s="40" t="s">
        <v>86</v>
      </c>
      <c r="O190" s="39"/>
      <c r="P190" s="39"/>
      <c r="Q190" s="39">
        <v>2</v>
      </c>
      <c r="R190" s="40"/>
      <c r="S190" s="41"/>
      <c r="T190" s="41"/>
      <c r="U190" s="41"/>
      <c r="V190" s="41"/>
      <c r="W190" s="41"/>
      <c r="X190" s="42" t="str">
        <f t="shared" si="112"/>
        <v>НКАбд</v>
      </c>
      <c r="Y190" s="39" t="s">
        <v>87</v>
      </c>
      <c r="Z190" s="39">
        <v>2</v>
      </c>
      <c r="AA190" s="39">
        <v>1</v>
      </c>
      <c r="AB190" s="42">
        <f t="shared" si="113"/>
        <v>26</v>
      </c>
      <c r="AC190" s="39">
        <v>17</v>
      </c>
      <c r="AD190" s="39">
        <v>9</v>
      </c>
      <c r="AE190" s="44">
        <f t="shared" si="114"/>
        <v>24</v>
      </c>
      <c r="AF190" s="45">
        <f t="shared" si="115"/>
        <v>1</v>
      </c>
      <c r="AG190" s="45">
        <f t="shared" si="116"/>
        <v>1.0833333333333333</v>
      </c>
      <c r="AH190" s="46" t="s">
        <v>82</v>
      </c>
      <c r="AI190" s="40" t="s">
        <v>83</v>
      </c>
      <c r="AJ190" s="40" t="s">
        <v>84</v>
      </c>
      <c r="AK190" s="47" t="s">
        <v>85</v>
      </c>
      <c r="AL190" s="40"/>
      <c r="AM190" s="48">
        <f t="shared" si="117"/>
        <v>0</v>
      </c>
      <c r="AN190" s="48">
        <f t="shared" si="118"/>
        <v>36</v>
      </c>
      <c r="AO190" s="48">
        <f t="shared" si="119"/>
        <v>0</v>
      </c>
      <c r="AP190" s="48">
        <f t="shared" si="120"/>
        <v>0</v>
      </c>
      <c r="AQ190" s="48">
        <f t="shared" si="121"/>
        <v>0</v>
      </c>
      <c r="AR190" s="48">
        <f t="shared" si="122"/>
        <v>0</v>
      </c>
      <c r="AS190" s="48">
        <f t="shared" si="123"/>
        <v>0</v>
      </c>
      <c r="AT190" s="48">
        <f t="shared" si="124"/>
        <v>0</v>
      </c>
      <c r="AU190" s="48">
        <f t="shared" si="125"/>
        <v>0</v>
      </c>
      <c r="AV190" s="48">
        <f t="shared" si="126"/>
        <v>0</v>
      </c>
      <c r="AW190" s="48">
        <f>IF(N190="ПП",РПП*AB190*(V190/1.5),IF(N190="ВП",ВПр*AB190*(V190/1.5),IF(N190="РПА",РПА*AB190*(V190/1.5),IF(N190="КПА",кпа*AB190*(V190/1.5),0))))</f>
        <v>0</v>
      </c>
      <c r="AX190" s="48">
        <f t="shared" si="127"/>
        <v>0</v>
      </c>
      <c r="AY190" s="48">
        <f t="shared" si="128"/>
        <v>0</v>
      </c>
      <c r="AZ190" s="48">
        <f t="shared" si="129"/>
        <v>0</v>
      </c>
      <c r="BA190" s="48">
        <f t="shared" si="130"/>
        <v>0</v>
      </c>
      <c r="BB190" s="48">
        <f t="shared" si="131"/>
        <v>0</v>
      </c>
      <c r="BC190" s="48">
        <f t="shared" si="132"/>
        <v>0</v>
      </c>
      <c r="BD190" s="48">
        <f t="shared" si="133"/>
        <v>0</v>
      </c>
      <c r="BE190" s="48">
        <f t="shared" si="134"/>
        <v>0</v>
      </c>
      <c r="BF190" s="49">
        <f t="shared" si="135"/>
        <v>36</v>
      </c>
      <c r="BG190" s="50"/>
      <c r="BH190" s="51">
        <f t="shared" si="136"/>
        <v>0</v>
      </c>
      <c r="BI190" s="51">
        <f t="shared" si="137"/>
        <v>0</v>
      </c>
      <c r="BJ190" s="51">
        <f t="shared" si="138"/>
        <v>0</v>
      </c>
      <c r="BK190" s="52">
        <f t="shared" si="139"/>
        <v>36</v>
      </c>
      <c r="BL190" s="52">
        <f t="shared" si="140"/>
        <v>1</v>
      </c>
      <c r="BM190" s="52">
        <f t="shared" si="141"/>
        <v>0</v>
      </c>
    </row>
    <row r="191" spans="1:65" ht="30" customHeight="1" x14ac:dyDescent="0.25">
      <c r="A191" s="31" t="str">
        <f t="shared" si="107"/>
        <v>Д</v>
      </c>
      <c r="B191" s="31" t="str">
        <f t="shared" si="108"/>
        <v>Б</v>
      </c>
      <c r="C191" s="32" t="s">
        <v>186</v>
      </c>
      <c r="D191" s="33" t="str">
        <f t="shared" si="109"/>
        <v>Факультет физико-математических и естественных наук</v>
      </c>
      <c r="E191" s="34" t="str">
        <f t="shared" si="110"/>
        <v>'02.03.00</v>
      </c>
      <c r="F191" s="35" t="str">
        <f t="shared" si="111"/>
        <v>Компьютерные и информационные науки (УГСН)</v>
      </c>
      <c r="G191" s="36" t="s">
        <v>76</v>
      </c>
      <c r="H191" s="36" t="s">
        <v>77</v>
      </c>
      <c r="I191" s="37"/>
      <c r="J191" s="37"/>
      <c r="K191" s="38" t="s">
        <v>102</v>
      </c>
      <c r="L191" s="39">
        <v>2</v>
      </c>
      <c r="M191" s="39">
        <v>18</v>
      </c>
      <c r="N191" s="40" t="s">
        <v>86</v>
      </c>
      <c r="O191" s="39"/>
      <c r="P191" s="39"/>
      <c r="Q191" s="39">
        <v>2</v>
      </c>
      <c r="R191" s="40"/>
      <c r="S191" s="41"/>
      <c r="T191" s="41"/>
      <c r="U191" s="41"/>
      <c r="V191" s="41"/>
      <c r="W191" s="41"/>
      <c r="X191" s="42" t="str">
        <f t="shared" si="112"/>
        <v>НКАбд</v>
      </c>
      <c r="Y191" s="39" t="s">
        <v>88</v>
      </c>
      <c r="Z191" s="39">
        <v>2</v>
      </c>
      <c r="AA191" s="39">
        <v>1</v>
      </c>
      <c r="AB191" s="42">
        <f t="shared" si="113"/>
        <v>26</v>
      </c>
      <c r="AC191" s="39">
        <v>17</v>
      </c>
      <c r="AD191" s="39">
        <v>9</v>
      </c>
      <c r="AE191" s="44">
        <f t="shared" si="114"/>
        <v>24</v>
      </c>
      <c r="AF191" s="45">
        <f t="shared" si="115"/>
        <v>1</v>
      </c>
      <c r="AG191" s="45">
        <f t="shared" si="116"/>
        <v>1.0833333333333333</v>
      </c>
      <c r="AH191" s="46" t="s">
        <v>82</v>
      </c>
      <c r="AI191" s="40" t="s">
        <v>83</v>
      </c>
      <c r="AJ191" s="40" t="s">
        <v>84</v>
      </c>
      <c r="AK191" s="47" t="s">
        <v>85</v>
      </c>
      <c r="AL191" s="40"/>
      <c r="AM191" s="48">
        <f t="shared" si="117"/>
        <v>0</v>
      </c>
      <c r="AN191" s="48">
        <f t="shared" si="118"/>
        <v>36</v>
      </c>
      <c r="AO191" s="48">
        <f t="shared" si="119"/>
        <v>0</v>
      </c>
      <c r="AP191" s="48">
        <f t="shared" si="120"/>
        <v>0</v>
      </c>
      <c r="AQ191" s="48">
        <f t="shared" si="121"/>
        <v>0</v>
      </c>
      <c r="AR191" s="48">
        <f t="shared" si="122"/>
        <v>0</v>
      </c>
      <c r="AS191" s="48">
        <f t="shared" si="123"/>
        <v>0</v>
      </c>
      <c r="AT191" s="48">
        <f t="shared" si="124"/>
        <v>0</v>
      </c>
      <c r="AU191" s="48">
        <f t="shared" si="125"/>
        <v>0</v>
      </c>
      <c r="AV191" s="48">
        <f t="shared" si="126"/>
        <v>0</v>
      </c>
      <c r="AW191" s="48">
        <f>IF(N191="ПП",РПП*AB191*(V191/1.5),IF(N191="ВП",ВПр*AB191*(V191/1.5),IF(N191="РПА",РПА*AB191*(V191/1.5),IF(N191="КПА",кпа*AB191*(V191/1.5),0))))</f>
        <v>0</v>
      </c>
      <c r="AX191" s="48">
        <f t="shared" si="127"/>
        <v>0</v>
      </c>
      <c r="AY191" s="48">
        <f t="shared" si="128"/>
        <v>0</v>
      </c>
      <c r="AZ191" s="48">
        <f t="shared" si="129"/>
        <v>0</v>
      </c>
      <c r="BA191" s="48">
        <f t="shared" si="130"/>
        <v>0</v>
      </c>
      <c r="BB191" s="48">
        <f t="shared" si="131"/>
        <v>0</v>
      </c>
      <c r="BC191" s="48">
        <f t="shared" si="132"/>
        <v>0</v>
      </c>
      <c r="BD191" s="48">
        <f t="shared" si="133"/>
        <v>0</v>
      </c>
      <c r="BE191" s="48">
        <f t="shared" si="134"/>
        <v>0</v>
      </c>
      <c r="BF191" s="49">
        <f t="shared" si="135"/>
        <v>36</v>
      </c>
      <c r="BG191" s="50"/>
      <c r="BH191" s="51">
        <f t="shared" si="136"/>
        <v>0</v>
      </c>
      <c r="BI191" s="51">
        <f t="shared" si="137"/>
        <v>0</v>
      </c>
      <c r="BJ191" s="51">
        <f t="shared" si="138"/>
        <v>0</v>
      </c>
      <c r="BK191" s="52">
        <f t="shared" si="139"/>
        <v>36</v>
      </c>
      <c r="BL191" s="52">
        <f t="shared" si="140"/>
        <v>1</v>
      </c>
      <c r="BM191" s="52">
        <f t="shared" si="141"/>
        <v>0</v>
      </c>
    </row>
    <row r="192" spans="1:65" ht="30" customHeight="1" x14ac:dyDescent="0.25">
      <c r="A192" s="31" t="str">
        <f t="shared" si="107"/>
        <v>Д</v>
      </c>
      <c r="B192" s="31" t="str">
        <f t="shared" si="108"/>
        <v>Б</v>
      </c>
      <c r="C192" s="32" t="s">
        <v>186</v>
      </c>
      <c r="D192" s="33" t="str">
        <f t="shared" si="109"/>
        <v>Факультет физико-математических и естественных наук</v>
      </c>
      <c r="E192" s="34" t="str">
        <f t="shared" si="110"/>
        <v>'02.03.00</v>
      </c>
      <c r="F192" s="35" t="str">
        <f t="shared" si="111"/>
        <v>Компьютерные и информационные науки (УГСН)</v>
      </c>
      <c r="G192" s="36" t="s">
        <v>76</v>
      </c>
      <c r="H192" s="36" t="s">
        <v>77</v>
      </c>
      <c r="I192" s="37"/>
      <c r="J192" s="37"/>
      <c r="K192" s="38" t="s">
        <v>102</v>
      </c>
      <c r="L192" s="39">
        <v>2</v>
      </c>
      <c r="M192" s="39">
        <v>18</v>
      </c>
      <c r="N192" s="40" t="s">
        <v>86</v>
      </c>
      <c r="O192" s="39"/>
      <c r="P192" s="39"/>
      <c r="Q192" s="39">
        <v>2</v>
      </c>
      <c r="R192" s="40"/>
      <c r="S192" s="41"/>
      <c r="T192" s="41"/>
      <c r="U192" s="41"/>
      <c r="V192" s="41"/>
      <c r="W192" s="41"/>
      <c r="X192" s="42" t="str">
        <f t="shared" si="112"/>
        <v>НКАбд</v>
      </c>
      <c r="Y192" s="39" t="s">
        <v>89</v>
      </c>
      <c r="Z192" s="39">
        <v>2</v>
      </c>
      <c r="AA192" s="39">
        <v>1</v>
      </c>
      <c r="AB192" s="42">
        <f t="shared" si="113"/>
        <v>26</v>
      </c>
      <c r="AC192" s="39">
        <v>17</v>
      </c>
      <c r="AD192" s="39">
        <v>9</v>
      </c>
      <c r="AE192" s="44">
        <f t="shared" si="114"/>
        <v>24</v>
      </c>
      <c r="AF192" s="45">
        <f t="shared" si="115"/>
        <v>1</v>
      </c>
      <c r="AG192" s="45">
        <f t="shared" si="116"/>
        <v>1.0833333333333333</v>
      </c>
      <c r="AH192" s="46" t="s">
        <v>82</v>
      </c>
      <c r="AI192" s="40" t="s">
        <v>83</v>
      </c>
      <c r="AJ192" s="40" t="s">
        <v>84</v>
      </c>
      <c r="AK192" s="47" t="s">
        <v>85</v>
      </c>
      <c r="AL192" s="40"/>
      <c r="AM192" s="48">
        <f t="shared" si="117"/>
        <v>0</v>
      </c>
      <c r="AN192" s="48">
        <f t="shared" si="118"/>
        <v>36</v>
      </c>
      <c r="AO192" s="48">
        <f t="shared" si="119"/>
        <v>0</v>
      </c>
      <c r="AP192" s="48">
        <f t="shared" si="120"/>
        <v>0</v>
      </c>
      <c r="AQ192" s="48">
        <f t="shared" si="121"/>
        <v>0</v>
      </c>
      <c r="AR192" s="48">
        <f t="shared" si="122"/>
        <v>0</v>
      </c>
      <c r="AS192" s="48">
        <f t="shared" si="123"/>
        <v>0</v>
      </c>
      <c r="AT192" s="48">
        <f t="shared" si="124"/>
        <v>0</v>
      </c>
      <c r="AU192" s="48">
        <f t="shared" si="125"/>
        <v>0</v>
      </c>
      <c r="AV192" s="48">
        <f t="shared" si="126"/>
        <v>0</v>
      </c>
      <c r="AW192" s="48">
        <f>IF(N192="ПП",РПП*AB192*(V192/1.5),IF(N192="ВП",ВПр*AB192*(V192/1.5),IF(N192="РПА",РПА*AB192*(V192/1.5),IF(N192="КПА",кпа*AB192*(V192/1.5),0))))</f>
        <v>0</v>
      </c>
      <c r="AX192" s="48">
        <f t="shared" si="127"/>
        <v>0</v>
      </c>
      <c r="AY192" s="48">
        <f t="shared" si="128"/>
        <v>0</v>
      </c>
      <c r="AZ192" s="48">
        <f t="shared" si="129"/>
        <v>0</v>
      </c>
      <c r="BA192" s="48">
        <f t="shared" si="130"/>
        <v>0</v>
      </c>
      <c r="BB192" s="48">
        <f t="shared" si="131"/>
        <v>0</v>
      </c>
      <c r="BC192" s="48">
        <f t="shared" si="132"/>
        <v>0</v>
      </c>
      <c r="BD192" s="48">
        <f t="shared" si="133"/>
        <v>0</v>
      </c>
      <c r="BE192" s="48">
        <f t="shared" si="134"/>
        <v>0</v>
      </c>
      <c r="BF192" s="49">
        <f t="shared" si="135"/>
        <v>36</v>
      </c>
      <c r="BG192" s="50"/>
      <c r="BH192" s="51">
        <f t="shared" si="136"/>
        <v>0</v>
      </c>
      <c r="BI192" s="51">
        <f t="shared" si="137"/>
        <v>0</v>
      </c>
      <c r="BJ192" s="51">
        <f t="shared" si="138"/>
        <v>0</v>
      </c>
      <c r="BK192" s="52">
        <f t="shared" si="139"/>
        <v>36</v>
      </c>
      <c r="BL192" s="52">
        <f t="shared" si="140"/>
        <v>1</v>
      </c>
      <c r="BM192" s="52">
        <f t="shared" si="141"/>
        <v>0</v>
      </c>
    </row>
    <row r="193" spans="1:65" ht="30" customHeight="1" x14ac:dyDescent="0.25">
      <c r="A193" s="31" t="str">
        <f t="shared" si="107"/>
        <v>Д</v>
      </c>
      <c r="B193" s="31" t="str">
        <f t="shared" si="108"/>
        <v>Б</v>
      </c>
      <c r="C193" s="32" t="s">
        <v>186</v>
      </c>
      <c r="D193" s="33" t="str">
        <f t="shared" si="109"/>
        <v>Факультет физико-математических и естественных наук</v>
      </c>
      <c r="E193" s="34" t="str">
        <f t="shared" si="110"/>
        <v>'02.03.00</v>
      </c>
      <c r="F193" s="35" t="str">
        <f t="shared" si="111"/>
        <v>Компьютерные и информационные науки (УГСН)</v>
      </c>
      <c r="G193" s="36" t="s">
        <v>76</v>
      </c>
      <c r="H193" s="36" t="s">
        <v>77</v>
      </c>
      <c r="I193" s="37"/>
      <c r="J193" s="37"/>
      <c r="K193" s="38" t="s">
        <v>102</v>
      </c>
      <c r="L193" s="39">
        <v>2</v>
      </c>
      <c r="M193" s="39">
        <v>18</v>
      </c>
      <c r="N193" s="40" t="s">
        <v>86</v>
      </c>
      <c r="O193" s="39"/>
      <c r="P193" s="39"/>
      <c r="Q193" s="39">
        <v>2</v>
      </c>
      <c r="R193" s="40"/>
      <c r="S193" s="41"/>
      <c r="T193" s="41"/>
      <c r="U193" s="41"/>
      <c r="V193" s="41"/>
      <c r="W193" s="41"/>
      <c r="X193" s="42" t="str">
        <f t="shared" si="112"/>
        <v>НКАбд</v>
      </c>
      <c r="Y193" s="39" t="s">
        <v>188</v>
      </c>
      <c r="Z193" s="39">
        <v>2</v>
      </c>
      <c r="AA193" s="39">
        <v>1</v>
      </c>
      <c r="AB193" s="42">
        <f t="shared" si="113"/>
        <v>26</v>
      </c>
      <c r="AC193" s="39">
        <v>16</v>
      </c>
      <c r="AD193" s="39">
        <v>10</v>
      </c>
      <c r="AE193" s="44">
        <f t="shared" si="114"/>
        <v>24</v>
      </c>
      <c r="AF193" s="45">
        <f t="shared" si="115"/>
        <v>1</v>
      </c>
      <c r="AG193" s="45">
        <f t="shared" si="116"/>
        <v>1.0833333333333333</v>
      </c>
      <c r="AH193" s="46" t="s">
        <v>82</v>
      </c>
      <c r="AI193" s="40" t="s">
        <v>99</v>
      </c>
      <c r="AJ193" s="40" t="s">
        <v>116</v>
      </c>
      <c r="AK193" s="47" t="s">
        <v>189</v>
      </c>
      <c r="AL193" s="40"/>
      <c r="AM193" s="48">
        <f t="shared" si="117"/>
        <v>0</v>
      </c>
      <c r="AN193" s="48">
        <f t="shared" si="118"/>
        <v>36</v>
      </c>
      <c r="AO193" s="48">
        <f t="shared" si="119"/>
        <v>0</v>
      </c>
      <c r="AP193" s="48">
        <f t="shared" si="120"/>
        <v>0</v>
      </c>
      <c r="AQ193" s="48">
        <f t="shared" si="121"/>
        <v>0</v>
      </c>
      <c r="AR193" s="48">
        <f t="shared" si="122"/>
        <v>0</v>
      </c>
      <c r="AS193" s="48">
        <f t="shared" si="123"/>
        <v>0</v>
      </c>
      <c r="AT193" s="48">
        <f t="shared" si="124"/>
        <v>0</v>
      </c>
      <c r="AU193" s="48">
        <f t="shared" si="125"/>
        <v>0</v>
      </c>
      <c r="AV193" s="48">
        <f t="shared" si="126"/>
        <v>0</v>
      </c>
      <c r="AW193" s="48">
        <f>IF(N193="ПП",РПП*AB193*(V193/1.5),IF(N193="ВП",ВПр*AB193*(V193/1.5),IF(N193="РПА",РПА*AB193*(V193/1.5),IF(N193="КПА",кпа*AB193*(V193/1.5),0))))</f>
        <v>0</v>
      </c>
      <c r="AX193" s="48">
        <f t="shared" si="127"/>
        <v>0</v>
      </c>
      <c r="AY193" s="48">
        <f t="shared" si="128"/>
        <v>0</v>
      </c>
      <c r="AZ193" s="48">
        <f t="shared" si="129"/>
        <v>0</v>
      </c>
      <c r="BA193" s="48">
        <f t="shared" si="130"/>
        <v>0</v>
      </c>
      <c r="BB193" s="48">
        <f t="shared" si="131"/>
        <v>0</v>
      </c>
      <c r="BC193" s="48">
        <f t="shared" si="132"/>
        <v>0</v>
      </c>
      <c r="BD193" s="48">
        <f t="shared" si="133"/>
        <v>0</v>
      </c>
      <c r="BE193" s="48">
        <f t="shared" si="134"/>
        <v>0</v>
      </c>
      <c r="BF193" s="49">
        <f t="shared" si="135"/>
        <v>36</v>
      </c>
      <c r="BG193" s="50"/>
      <c r="BH193" s="51">
        <f t="shared" si="136"/>
        <v>0</v>
      </c>
      <c r="BI193" s="51">
        <f t="shared" si="137"/>
        <v>0</v>
      </c>
      <c r="BJ193" s="51">
        <f t="shared" si="138"/>
        <v>0</v>
      </c>
      <c r="BK193" s="52">
        <f t="shared" si="139"/>
        <v>36</v>
      </c>
      <c r="BL193" s="52">
        <f t="shared" si="140"/>
        <v>1</v>
      </c>
      <c r="BM193" s="52">
        <f t="shared" si="141"/>
        <v>0</v>
      </c>
    </row>
    <row r="194" spans="1:65" ht="30" customHeight="1" x14ac:dyDescent="0.25">
      <c r="A194" s="31" t="str">
        <f t="shared" si="107"/>
        <v>Д</v>
      </c>
      <c r="B194" s="31" t="str">
        <f t="shared" si="108"/>
        <v>Б</v>
      </c>
      <c r="C194" s="32" t="s">
        <v>186</v>
      </c>
      <c r="D194" s="33" t="str">
        <f t="shared" si="109"/>
        <v>Факультет физико-математических и естественных наук</v>
      </c>
      <c r="E194" s="34" t="str">
        <f t="shared" si="110"/>
        <v>'02.03.00</v>
      </c>
      <c r="F194" s="35" t="str">
        <f t="shared" si="111"/>
        <v>Компьютерные и информационные науки (УГСН)</v>
      </c>
      <c r="G194" s="36" t="s">
        <v>76</v>
      </c>
      <c r="H194" s="36" t="s">
        <v>77</v>
      </c>
      <c r="I194" s="37"/>
      <c r="J194" s="37"/>
      <c r="K194" s="38" t="s">
        <v>102</v>
      </c>
      <c r="L194" s="39">
        <v>2</v>
      </c>
      <c r="M194" s="39">
        <v>18</v>
      </c>
      <c r="N194" s="40" t="s">
        <v>86</v>
      </c>
      <c r="O194" s="39"/>
      <c r="P194" s="39"/>
      <c r="Q194" s="39">
        <v>2</v>
      </c>
      <c r="R194" s="40"/>
      <c r="S194" s="41"/>
      <c r="T194" s="41"/>
      <c r="U194" s="41"/>
      <c r="V194" s="41"/>
      <c r="W194" s="41"/>
      <c r="X194" s="42" t="str">
        <f t="shared" si="112"/>
        <v>НКАбд</v>
      </c>
      <c r="Y194" s="39" t="s">
        <v>190</v>
      </c>
      <c r="Z194" s="39">
        <v>2</v>
      </c>
      <c r="AA194" s="39">
        <v>1</v>
      </c>
      <c r="AB194" s="42">
        <f t="shared" si="113"/>
        <v>25</v>
      </c>
      <c r="AC194" s="39">
        <v>16</v>
      </c>
      <c r="AD194" s="39">
        <v>9</v>
      </c>
      <c r="AE194" s="44">
        <f t="shared" si="114"/>
        <v>24</v>
      </c>
      <c r="AF194" s="45">
        <f t="shared" si="115"/>
        <v>1</v>
      </c>
      <c r="AG194" s="45">
        <f t="shared" si="116"/>
        <v>1.0416666666666667</v>
      </c>
      <c r="AH194" s="46" t="s">
        <v>82</v>
      </c>
      <c r="AI194" s="40" t="s">
        <v>99</v>
      </c>
      <c r="AJ194" s="40" t="s">
        <v>116</v>
      </c>
      <c r="AK194" s="47" t="s">
        <v>189</v>
      </c>
      <c r="AL194" s="40"/>
      <c r="AM194" s="48">
        <f t="shared" si="117"/>
        <v>0</v>
      </c>
      <c r="AN194" s="48">
        <f t="shared" si="118"/>
        <v>36</v>
      </c>
      <c r="AO194" s="48">
        <f t="shared" si="119"/>
        <v>0</v>
      </c>
      <c r="AP194" s="48">
        <f t="shared" si="120"/>
        <v>0</v>
      </c>
      <c r="AQ194" s="48">
        <f t="shared" si="121"/>
        <v>0</v>
      </c>
      <c r="AR194" s="48">
        <f t="shared" si="122"/>
        <v>0</v>
      </c>
      <c r="AS194" s="48">
        <f t="shared" si="123"/>
        <v>0</v>
      </c>
      <c r="AT194" s="48">
        <f t="shared" si="124"/>
        <v>0</v>
      </c>
      <c r="AU194" s="48">
        <f t="shared" si="125"/>
        <v>0</v>
      </c>
      <c r="AV194" s="48">
        <f t="shared" si="126"/>
        <v>0</v>
      </c>
      <c r="AW194" s="48">
        <f>IF(N194="ПП",РПП*AB194*(V194/1.5),IF(N194="ВП",ВПр*AB194*(V194/1.5),IF(N194="РПА",РПА*AB194*(V194/1.5),IF(N194="КПА",кпа*AB194*(V194/1.5),0))))</f>
        <v>0</v>
      </c>
      <c r="AX194" s="48">
        <f t="shared" si="127"/>
        <v>0</v>
      </c>
      <c r="AY194" s="48">
        <f t="shared" si="128"/>
        <v>0</v>
      </c>
      <c r="AZ194" s="48">
        <f t="shared" si="129"/>
        <v>0</v>
      </c>
      <c r="BA194" s="48">
        <f t="shared" si="130"/>
        <v>0</v>
      </c>
      <c r="BB194" s="48">
        <f t="shared" si="131"/>
        <v>0</v>
      </c>
      <c r="BC194" s="48">
        <f t="shared" si="132"/>
        <v>0</v>
      </c>
      <c r="BD194" s="48">
        <f t="shared" si="133"/>
        <v>0</v>
      </c>
      <c r="BE194" s="48">
        <f t="shared" si="134"/>
        <v>0</v>
      </c>
      <c r="BF194" s="49">
        <f t="shared" si="135"/>
        <v>36</v>
      </c>
      <c r="BG194" s="50"/>
      <c r="BH194" s="51">
        <f t="shared" si="136"/>
        <v>0</v>
      </c>
      <c r="BI194" s="51">
        <f t="shared" si="137"/>
        <v>0</v>
      </c>
      <c r="BJ194" s="51">
        <f t="shared" si="138"/>
        <v>0</v>
      </c>
      <c r="BK194" s="52">
        <f t="shared" si="139"/>
        <v>36</v>
      </c>
      <c r="BL194" s="52">
        <f t="shared" si="140"/>
        <v>1</v>
      </c>
      <c r="BM194" s="52">
        <f t="shared" si="141"/>
        <v>0</v>
      </c>
    </row>
    <row r="195" spans="1:65" ht="30" customHeight="1" x14ac:dyDescent="0.25">
      <c r="A195" s="31" t="str">
        <f t="shared" si="107"/>
        <v>Д</v>
      </c>
      <c r="B195" s="31" t="str">
        <f t="shared" si="108"/>
        <v>Б</v>
      </c>
      <c r="C195" s="32" t="s">
        <v>186</v>
      </c>
      <c r="D195" s="33" t="str">
        <f t="shared" si="109"/>
        <v>Факультет физико-математических и естественных наук</v>
      </c>
      <c r="E195" s="34" t="str">
        <f t="shared" si="110"/>
        <v>'02.03.00</v>
      </c>
      <c r="F195" s="35" t="str">
        <f t="shared" si="111"/>
        <v>Компьютерные и информационные науки (УГСН)</v>
      </c>
      <c r="G195" s="36" t="s">
        <v>76</v>
      </c>
      <c r="H195" s="36" t="s">
        <v>77</v>
      </c>
      <c r="I195" s="37"/>
      <c r="J195" s="37"/>
      <c r="K195" s="38" t="s">
        <v>102</v>
      </c>
      <c r="L195" s="39">
        <v>2</v>
      </c>
      <c r="M195" s="39">
        <v>18</v>
      </c>
      <c r="N195" s="40" t="s">
        <v>86</v>
      </c>
      <c r="O195" s="39"/>
      <c r="P195" s="39"/>
      <c r="Q195" s="39">
        <v>2</v>
      </c>
      <c r="R195" s="40"/>
      <c r="S195" s="41"/>
      <c r="T195" s="41"/>
      <c r="U195" s="41"/>
      <c r="V195" s="41"/>
      <c r="W195" s="41"/>
      <c r="X195" s="42" t="str">
        <f t="shared" si="112"/>
        <v>НКАбд</v>
      </c>
      <c r="Y195" s="39" t="s">
        <v>191</v>
      </c>
      <c r="Z195" s="39">
        <v>2</v>
      </c>
      <c r="AA195" s="39">
        <v>1</v>
      </c>
      <c r="AB195" s="42">
        <f t="shared" si="113"/>
        <v>25</v>
      </c>
      <c r="AC195" s="39">
        <v>16</v>
      </c>
      <c r="AD195" s="39">
        <v>9</v>
      </c>
      <c r="AE195" s="44">
        <f t="shared" si="114"/>
        <v>24</v>
      </c>
      <c r="AF195" s="45">
        <f t="shared" si="115"/>
        <v>1</v>
      </c>
      <c r="AG195" s="45">
        <f t="shared" si="116"/>
        <v>1.0416666666666667</v>
      </c>
      <c r="AH195" s="46" t="s">
        <v>82</v>
      </c>
      <c r="AI195" s="40" t="s">
        <v>99</v>
      </c>
      <c r="AJ195" s="40" t="s">
        <v>116</v>
      </c>
      <c r="AK195" s="47" t="s">
        <v>189</v>
      </c>
      <c r="AL195" s="40"/>
      <c r="AM195" s="48">
        <f t="shared" si="117"/>
        <v>0</v>
      </c>
      <c r="AN195" s="48">
        <f t="shared" si="118"/>
        <v>36</v>
      </c>
      <c r="AO195" s="48">
        <f t="shared" si="119"/>
        <v>0</v>
      </c>
      <c r="AP195" s="48">
        <f t="shared" si="120"/>
        <v>0</v>
      </c>
      <c r="AQ195" s="48">
        <f t="shared" si="121"/>
        <v>0</v>
      </c>
      <c r="AR195" s="48">
        <f t="shared" si="122"/>
        <v>0</v>
      </c>
      <c r="AS195" s="48">
        <f t="shared" si="123"/>
        <v>0</v>
      </c>
      <c r="AT195" s="48">
        <f t="shared" si="124"/>
        <v>0</v>
      </c>
      <c r="AU195" s="48">
        <f t="shared" si="125"/>
        <v>0</v>
      </c>
      <c r="AV195" s="48">
        <f t="shared" si="126"/>
        <v>0</v>
      </c>
      <c r="AW195" s="48">
        <f>IF(N195="ПП",РПП*AB195*(V195/1.5),IF(N195="ВП",ВПр*AB195*(V195/1.5),IF(N195="РПА",РПА*AB195*(V195/1.5),IF(N195="КПА",кпа*AB195*(V195/1.5),0))))</f>
        <v>0</v>
      </c>
      <c r="AX195" s="48">
        <f t="shared" si="127"/>
        <v>0</v>
      </c>
      <c r="AY195" s="48">
        <f t="shared" si="128"/>
        <v>0</v>
      </c>
      <c r="AZ195" s="48">
        <f t="shared" si="129"/>
        <v>0</v>
      </c>
      <c r="BA195" s="48">
        <f t="shared" si="130"/>
        <v>0</v>
      </c>
      <c r="BB195" s="48">
        <f t="shared" si="131"/>
        <v>0</v>
      </c>
      <c r="BC195" s="48">
        <f t="shared" si="132"/>
        <v>0</v>
      </c>
      <c r="BD195" s="48">
        <f t="shared" si="133"/>
        <v>0</v>
      </c>
      <c r="BE195" s="48">
        <f t="shared" si="134"/>
        <v>0</v>
      </c>
      <c r="BF195" s="49">
        <f t="shared" si="135"/>
        <v>36</v>
      </c>
      <c r="BG195" s="50"/>
      <c r="BH195" s="51">
        <f t="shared" si="136"/>
        <v>0</v>
      </c>
      <c r="BI195" s="51">
        <f t="shared" si="137"/>
        <v>0</v>
      </c>
      <c r="BJ195" s="51">
        <f t="shared" si="138"/>
        <v>0</v>
      </c>
      <c r="BK195" s="52">
        <f t="shared" si="139"/>
        <v>36</v>
      </c>
      <c r="BL195" s="52">
        <f t="shared" si="140"/>
        <v>1</v>
      </c>
      <c r="BM195" s="52">
        <f t="shared" si="141"/>
        <v>0</v>
      </c>
    </row>
    <row r="196" spans="1:65" ht="30" customHeight="1" x14ac:dyDescent="0.25">
      <c r="A196" s="31" t="str">
        <f t="shared" si="107"/>
        <v>Д</v>
      </c>
      <c r="B196" s="31" t="str">
        <f t="shared" si="108"/>
        <v>Б</v>
      </c>
      <c r="C196" s="32" t="s">
        <v>186</v>
      </c>
      <c r="D196" s="33" t="str">
        <f t="shared" si="109"/>
        <v>Факультет физико-математических и естественных наук</v>
      </c>
      <c r="E196" s="34" t="str">
        <f t="shared" si="110"/>
        <v>'02.03.00</v>
      </c>
      <c r="F196" s="35" t="str">
        <f t="shared" si="111"/>
        <v>Компьютерные и информационные науки (УГСН)</v>
      </c>
      <c r="G196" s="36" t="s">
        <v>76</v>
      </c>
      <c r="H196" s="36" t="s">
        <v>77</v>
      </c>
      <c r="I196" s="37"/>
      <c r="J196" s="37"/>
      <c r="K196" s="38" t="s">
        <v>102</v>
      </c>
      <c r="L196" s="39">
        <v>2</v>
      </c>
      <c r="M196" s="39">
        <v>18</v>
      </c>
      <c r="N196" s="40" t="s">
        <v>86</v>
      </c>
      <c r="O196" s="39"/>
      <c r="P196" s="39"/>
      <c r="Q196" s="39">
        <v>2</v>
      </c>
      <c r="R196" s="40"/>
      <c r="S196" s="41"/>
      <c r="T196" s="41"/>
      <c r="U196" s="41"/>
      <c r="V196" s="41"/>
      <c r="W196" s="41"/>
      <c r="X196" s="42" t="str">
        <f t="shared" si="112"/>
        <v>НКАбд</v>
      </c>
      <c r="Y196" s="43" t="s">
        <v>192</v>
      </c>
      <c r="Z196" s="39">
        <v>2</v>
      </c>
      <c r="AA196" s="39">
        <v>1</v>
      </c>
      <c r="AB196" s="42">
        <f t="shared" si="113"/>
        <v>25</v>
      </c>
      <c r="AC196" s="39">
        <v>16</v>
      </c>
      <c r="AD196" s="39">
        <v>9</v>
      </c>
      <c r="AE196" s="44">
        <f t="shared" si="114"/>
        <v>24</v>
      </c>
      <c r="AF196" s="45">
        <f t="shared" si="115"/>
        <v>1</v>
      </c>
      <c r="AG196" s="45">
        <f t="shared" si="116"/>
        <v>1.0416666666666667</v>
      </c>
      <c r="AH196" s="46" t="s">
        <v>82</v>
      </c>
      <c r="AI196" s="40" t="s">
        <v>99</v>
      </c>
      <c r="AJ196" s="40" t="s">
        <v>116</v>
      </c>
      <c r="AK196" s="47" t="s">
        <v>189</v>
      </c>
      <c r="AL196" s="40"/>
      <c r="AM196" s="48">
        <f t="shared" si="117"/>
        <v>0</v>
      </c>
      <c r="AN196" s="48">
        <f t="shared" si="118"/>
        <v>36</v>
      </c>
      <c r="AO196" s="48">
        <f t="shared" si="119"/>
        <v>0</v>
      </c>
      <c r="AP196" s="48">
        <f t="shared" si="120"/>
        <v>0</v>
      </c>
      <c r="AQ196" s="48">
        <f t="shared" si="121"/>
        <v>0</v>
      </c>
      <c r="AR196" s="48">
        <f t="shared" si="122"/>
        <v>0</v>
      </c>
      <c r="AS196" s="48">
        <f t="shared" si="123"/>
        <v>0</v>
      </c>
      <c r="AT196" s="48">
        <f t="shared" si="124"/>
        <v>0</v>
      </c>
      <c r="AU196" s="48">
        <f t="shared" si="125"/>
        <v>0</v>
      </c>
      <c r="AV196" s="48">
        <f t="shared" si="126"/>
        <v>0</v>
      </c>
      <c r="AW196" s="48">
        <f>IF(N196="ПП",РПП*AB196*(V196/1.5),IF(N196="ВП",ВПр*AB196*(V196/1.5),IF(N196="РПА",РПА*AB196*(V196/1.5),IF(N196="КПА",кпа*AB196*(V196/1.5),0))))</f>
        <v>0</v>
      </c>
      <c r="AX196" s="48">
        <f t="shared" si="127"/>
        <v>0</v>
      </c>
      <c r="AY196" s="48">
        <f t="shared" si="128"/>
        <v>0</v>
      </c>
      <c r="AZ196" s="48">
        <f t="shared" si="129"/>
        <v>0</v>
      </c>
      <c r="BA196" s="48">
        <f t="shared" si="130"/>
        <v>0</v>
      </c>
      <c r="BB196" s="48">
        <f t="shared" si="131"/>
        <v>0</v>
      </c>
      <c r="BC196" s="48">
        <f t="shared" si="132"/>
        <v>0</v>
      </c>
      <c r="BD196" s="48">
        <f t="shared" si="133"/>
        <v>0</v>
      </c>
      <c r="BE196" s="48">
        <f t="shared" si="134"/>
        <v>0</v>
      </c>
      <c r="BF196" s="49">
        <f t="shared" si="135"/>
        <v>36</v>
      </c>
      <c r="BG196" s="50"/>
      <c r="BH196" s="51">
        <f t="shared" si="136"/>
        <v>0</v>
      </c>
      <c r="BI196" s="51">
        <f t="shared" si="137"/>
        <v>0</v>
      </c>
      <c r="BJ196" s="51">
        <f t="shared" si="138"/>
        <v>0</v>
      </c>
      <c r="BK196" s="52">
        <f t="shared" si="139"/>
        <v>36</v>
      </c>
      <c r="BL196" s="52">
        <f t="shared" si="140"/>
        <v>1</v>
      </c>
      <c r="BM196" s="52">
        <f t="shared" si="141"/>
        <v>0</v>
      </c>
    </row>
    <row r="197" spans="1:65" ht="30" customHeight="1" x14ac:dyDescent="0.25">
      <c r="A197" s="31" t="str">
        <f t="shared" si="107"/>
        <v>Д</v>
      </c>
      <c r="B197" s="31" t="str">
        <f t="shared" si="108"/>
        <v>Б</v>
      </c>
      <c r="C197" s="32" t="s">
        <v>186</v>
      </c>
      <c r="D197" s="33" t="str">
        <f t="shared" si="109"/>
        <v>Факультет физико-математических и естественных наук</v>
      </c>
      <c r="E197" s="34" t="str">
        <f t="shared" si="110"/>
        <v>'02.03.00</v>
      </c>
      <c r="F197" s="35" t="str">
        <f t="shared" si="111"/>
        <v>Компьютерные и информационные науки (УГСН)</v>
      </c>
      <c r="G197" s="36" t="s">
        <v>76</v>
      </c>
      <c r="H197" s="36" t="s">
        <v>183</v>
      </c>
      <c r="I197" s="37"/>
      <c r="J197" s="37"/>
      <c r="K197" s="38" t="s">
        <v>103</v>
      </c>
      <c r="L197" s="39">
        <v>2</v>
      </c>
      <c r="M197" s="39">
        <v>18</v>
      </c>
      <c r="N197" s="40" t="s">
        <v>79</v>
      </c>
      <c r="O197" s="39">
        <v>2</v>
      </c>
      <c r="P197" s="39"/>
      <c r="Q197" s="39"/>
      <c r="R197" s="40" t="s">
        <v>80</v>
      </c>
      <c r="S197" s="41"/>
      <c r="T197" s="41"/>
      <c r="U197" s="41"/>
      <c r="V197" s="41"/>
      <c r="W197" s="41"/>
      <c r="X197" s="42" t="str">
        <f t="shared" si="112"/>
        <v>НКАбд</v>
      </c>
      <c r="Y197" s="39" t="s">
        <v>187</v>
      </c>
      <c r="Z197" s="39">
        <v>14</v>
      </c>
      <c r="AA197" s="39">
        <v>7</v>
      </c>
      <c r="AB197" s="42">
        <f t="shared" si="113"/>
        <v>179</v>
      </c>
      <c r="AC197" s="39">
        <v>115</v>
      </c>
      <c r="AD197" s="39">
        <v>64</v>
      </c>
      <c r="AE197" s="44">
        <f t="shared" si="114"/>
        <v>179</v>
      </c>
      <c r="AF197" s="45">
        <f t="shared" si="115"/>
        <v>1</v>
      </c>
      <c r="AG197" s="45">
        <f t="shared" si="116"/>
        <v>1</v>
      </c>
      <c r="AH197" s="46" t="s">
        <v>82</v>
      </c>
      <c r="AI197" s="40" t="s">
        <v>83</v>
      </c>
      <c r="AJ197" s="40" t="s">
        <v>84</v>
      </c>
      <c r="AK197" s="47" t="s">
        <v>104</v>
      </c>
      <c r="AL197" s="40"/>
      <c r="AM197" s="48">
        <f t="shared" si="117"/>
        <v>36</v>
      </c>
      <c r="AN197" s="48">
        <f t="shared" si="118"/>
        <v>0</v>
      </c>
      <c r="AO197" s="48">
        <f t="shared" si="119"/>
        <v>0</v>
      </c>
      <c r="AP197" s="48">
        <f t="shared" si="120"/>
        <v>59.07</v>
      </c>
      <c r="AQ197" s="48">
        <f t="shared" si="121"/>
        <v>89.5</v>
      </c>
      <c r="AR197" s="48">
        <f t="shared" si="122"/>
        <v>7</v>
      </c>
      <c r="AS197" s="48">
        <f t="shared" si="123"/>
        <v>12.6</v>
      </c>
      <c r="AT197" s="48">
        <f t="shared" si="124"/>
        <v>0</v>
      </c>
      <c r="AU197" s="48">
        <f t="shared" si="125"/>
        <v>0</v>
      </c>
      <c r="AV197" s="48">
        <f t="shared" si="126"/>
        <v>0</v>
      </c>
      <c r="AW197" s="48">
        <f>IF(N197="ПП",РПП*AB197*(V197/1.5),IF(N197="ВП",ВПр*AB197*(V197/1.5),IF(N197="РПА",РПА*AB197*(V197/1.5),IF(N197="КПА",кпа*AB197*(V197/1.5),0))))</f>
        <v>0</v>
      </c>
      <c r="AX197" s="48">
        <f t="shared" si="127"/>
        <v>0</v>
      </c>
      <c r="AY197" s="48">
        <f t="shared" si="128"/>
        <v>0</v>
      </c>
      <c r="AZ197" s="48">
        <f t="shared" si="129"/>
        <v>0</v>
      </c>
      <c r="BA197" s="48">
        <f t="shared" si="130"/>
        <v>0</v>
      </c>
      <c r="BB197" s="48">
        <f t="shared" si="131"/>
        <v>0</v>
      </c>
      <c r="BC197" s="48">
        <f t="shared" si="132"/>
        <v>0</v>
      </c>
      <c r="BD197" s="48">
        <f t="shared" si="133"/>
        <v>0</v>
      </c>
      <c r="BE197" s="48">
        <f t="shared" si="134"/>
        <v>0</v>
      </c>
      <c r="BF197" s="49">
        <f t="shared" si="135"/>
        <v>204.17</v>
      </c>
      <c r="BG197" s="50"/>
      <c r="BH197" s="51">
        <f t="shared" si="136"/>
        <v>0</v>
      </c>
      <c r="BI197" s="51">
        <f t="shared" si="137"/>
        <v>0</v>
      </c>
      <c r="BJ197" s="51">
        <f t="shared" si="138"/>
        <v>0</v>
      </c>
      <c r="BK197" s="52">
        <f t="shared" si="139"/>
        <v>36</v>
      </c>
      <c r="BL197" s="52">
        <f t="shared" si="140"/>
        <v>1</v>
      </c>
      <c r="BM197" s="52">
        <f t="shared" si="141"/>
        <v>168.17</v>
      </c>
    </row>
    <row r="198" spans="1:65" ht="30" customHeight="1" x14ac:dyDescent="0.25">
      <c r="A198" s="31" t="str">
        <f t="shared" si="107"/>
        <v>Д</v>
      </c>
      <c r="B198" s="31" t="str">
        <f t="shared" si="108"/>
        <v>Б</v>
      </c>
      <c r="C198" s="32" t="s">
        <v>186</v>
      </c>
      <c r="D198" s="33" t="str">
        <f t="shared" si="109"/>
        <v>Факультет физико-математических и естественных наук</v>
      </c>
      <c r="E198" s="34" t="str">
        <f t="shared" si="110"/>
        <v>'02.03.00</v>
      </c>
      <c r="F198" s="35" t="str">
        <f t="shared" si="111"/>
        <v>Компьютерные и информационные науки (УГСН)</v>
      </c>
      <c r="G198" s="36" t="s">
        <v>76</v>
      </c>
      <c r="H198" s="36" t="s">
        <v>183</v>
      </c>
      <c r="I198" s="37"/>
      <c r="J198" s="37"/>
      <c r="K198" s="38" t="s">
        <v>103</v>
      </c>
      <c r="L198" s="39">
        <v>2</v>
      </c>
      <c r="M198" s="39">
        <v>18</v>
      </c>
      <c r="N198" s="40" t="s">
        <v>94</v>
      </c>
      <c r="O198" s="39"/>
      <c r="P198" s="39">
        <v>2</v>
      </c>
      <c r="Q198" s="39"/>
      <c r="R198" s="40"/>
      <c r="S198" s="41"/>
      <c r="T198" s="41"/>
      <c r="U198" s="41"/>
      <c r="V198" s="41"/>
      <c r="W198" s="41"/>
      <c r="X198" s="42" t="str">
        <f t="shared" si="112"/>
        <v>НКАбд</v>
      </c>
      <c r="Y198" s="39" t="s">
        <v>87</v>
      </c>
      <c r="Z198" s="39">
        <v>1</v>
      </c>
      <c r="AA198" s="39">
        <v>1</v>
      </c>
      <c r="AB198" s="42">
        <f t="shared" si="113"/>
        <v>26</v>
      </c>
      <c r="AC198" s="39">
        <v>17</v>
      </c>
      <c r="AD198" s="39">
        <v>9</v>
      </c>
      <c r="AE198" s="44">
        <f t="shared" si="114"/>
        <v>12</v>
      </c>
      <c r="AF198" s="45">
        <f t="shared" si="115"/>
        <v>1</v>
      </c>
      <c r="AG198" s="45">
        <f t="shared" si="116"/>
        <v>2.1666666666666665</v>
      </c>
      <c r="AH198" s="46" t="s">
        <v>82</v>
      </c>
      <c r="AI198" s="40" t="s">
        <v>83</v>
      </c>
      <c r="AJ198" s="40" t="s">
        <v>84</v>
      </c>
      <c r="AK198" s="47" t="s">
        <v>104</v>
      </c>
      <c r="AL198" s="40"/>
      <c r="AM198" s="48">
        <f t="shared" si="117"/>
        <v>0</v>
      </c>
      <c r="AN198" s="48">
        <f t="shared" si="118"/>
        <v>0</v>
      </c>
      <c r="AO198" s="48">
        <f t="shared" si="119"/>
        <v>36</v>
      </c>
      <c r="AP198" s="48">
        <f t="shared" si="120"/>
        <v>0</v>
      </c>
      <c r="AQ198" s="48">
        <f t="shared" si="121"/>
        <v>0</v>
      </c>
      <c r="AR198" s="48">
        <f t="shared" si="122"/>
        <v>0</v>
      </c>
      <c r="AS198" s="48">
        <f t="shared" si="123"/>
        <v>0</v>
      </c>
      <c r="AT198" s="48">
        <f t="shared" si="124"/>
        <v>0</v>
      </c>
      <c r="AU198" s="48">
        <f t="shared" si="125"/>
        <v>0</v>
      </c>
      <c r="AV198" s="48">
        <f t="shared" si="126"/>
        <v>0</v>
      </c>
      <c r="AW198" s="48">
        <f>IF(N198="ПП",РПП*AB198*(V198/1.5),IF(N198="ВП",ВПр*AB198*(V198/1.5),IF(N198="РПА",РПА*AB198*(V198/1.5),IF(N198="КПА",кпа*AB198*(V198/1.5),0))))</f>
        <v>0</v>
      </c>
      <c r="AX198" s="48">
        <f t="shared" si="127"/>
        <v>0</v>
      </c>
      <c r="AY198" s="48">
        <f t="shared" si="128"/>
        <v>0</v>
      </c>
      <c r="AZ198" s="48">
        <f t="shared" si="129"/>
        <v>0</v>
      </c>
      <c r="BA198" s="48">
        <f t="shared" si="130"/>
        <v>0</v>
      </c>
      <c r="BB198" s="48">
        <f t="shared" si="131"/>
        <v>0</v>
      </c>
      <c r="BC198" s="48">
        <f t="shared" si="132"/>
        <v>0</v>
      </c>
      <c r="BD198" s="48">
        <f t="shared" si="133"/>
        <v>0</v>
      </c>
      <c r="BE198" s="48">
        <f t="shared" si="134"/>
        <v>0</v>
      </c>
      <c r="BF198" s="49">
        <f t="shared" si="135"/>
        <v>36</v>
      </c>
      <c r="BG198" s="50"/>
      <c r="BH198" s="51">
        <f t="shared" si="136"/>
        <v>0</v>
      </c>
      <c r="BI198" s="51">
        <f t="shared" si="137"/>
        <v>0</v>
      </c>
      <c r="BJ198" s="51">
        <f t="shared" si="138"/>
        <v>0</v>
      </c>
      <c r="BK198" s="52">
        <f t="shared" si="139"/>
        <v>36</v>
      </c>
      <c r="BL198" s="52">
        <f t="shared" si="140"/>
        <v>1</v>
      </c>
      <c r="BM198" s="52">
        <f t="shared" si="141"/>
        <v>0</v>
      </c>
    </row>
    <row r="199" spans="1:65" ht="30" customHeight="1" x14ac:dyDescent="0.25">
      <c r="A199" s="31" t="str">
        <f t="shared" si="107"/>
        <v>Д</v>
      </c>
      <c r="B199" s="31" t="str">
        <f t="shared" si="108"/>
        <v>Б</v>
      </c>
      <c r="C199" s="32" t="s">
        <v>186</v>
      </c>
      <c r="D199" s="33" t="str">
        <f t="shared" si="109"/>
        <v>Факультет физико-математических и естественных наук</v>
      </c>
      <c r="E199" s="34" t="str">
        <f t="shared" si="110"/>
        <v>'02.03.00</v>
      </c>
      <c r="F199" s="35" t="str">
        <f t="shared" si="111"/>
        <v>Компьютерные и информационные науки (УГСН)</v>
      </c>
      <c r="G199" s="36" t="s">
        <v>76</v>
      </c>
      <c r="H199" s="36" t="s">
        <v>183</v>
      </c>
      <c r="I199" s="37"/>
      <c r="J199" s="37"/>
      <c r="K199" s="38" t="s">
        <v>103</v>
      </c>
      <c r="L199" s="39">
        <v>2</v>
      </c>
      <c r="M199" s="39">
        <v>18</v>
      </c>
      <c r="N199" s="40" t="s">
        <v>94</v>
      </c>
      <c r="O199" s="39"/>
      <c r="P199" s="39">
        <v>2</v>
      </c>
      <c r="Q199" s="39"/>
      <c r="R199" s="40"/>
      <c r="S199" s="41"/>
      <c r="T199" s="41"/>
      <c r="U199" s="41"/>
      <c r="V199" s="41"/>
      <c r="W199" s="41"/>
      <c r="X199" s="42" t="str">
        <f t="shared" si="112"/>
        <v>НКАбд</v>
      </c>
      <c r="Y199" s="39" t="s">
        <v>87</v>
      </c>
      <c r="Z199" s="39">
        <v>1</v>
      </c>
      <c r="AA199" s="39">
        <v>1</v>
      </c>
      <c r="AB199" s="42">
        <f t="shared" si="113"/>
        <v>0</v>
      </c>
      <c r="AC199" s="39"/>
      <c r="AD199" s="39"/>
      <c r="AE199" s="44">
        <f t="shared" si="114"/>
        <v>12</v>
      </c>
      <c r="AF199" s="45">
        <f t="shared" si="115"/>
        <v>0</v>
      </c>
      <c r="AG199" s="45">
        <f t="shared" si="116"/>
        <v>0</v>
      </c>
      <c r="AH199" s="46" t="s">
        <v>82</v>
      </c>
      <c r="AI199" s="40" t="s">
        <v>83</v>
      </c>
      <c r="AJ199" s="40" t="s">
        <v>84</v>
      </c>
      <c r="AK199" s="47" t="s">
        <v>104</v>
      </c>
      <c r="AL199" s="40"/>
      <c r="AM199" s="48">
        <f t="shared" si="117"/>
        <v>0</v>
      </c>
      <c r="AN199" s="48">
        <f t="shared" si="118"/>
        <v>0</v>
      </c>
      <c r="AO199" s="48">
        <f t="shared" si="119"/>
        <v>0</v>
      </c>
      <c r="AP199" s="48">
        <f t="shared" si="120"/>
        <v>0</v>
      </c>
      <c r="AQ199" s="48">
        <f t="shared" si="121"/>
        <v>0</v>
      </c>
      <c r="AR199" s="48">
        <f t="shared" si="122"/>
        <v>0</v>
      </c>
      <c r="AS199" s="48">
        <f t="shared" si="123"/>
        <v>0</v>
      </c>
      <c r="AT199" s="48">
        <f t="shared" si="124"/>
        <v>0</v>
      </c>
      <c r="AU199" s="48">
        <f t="shared" si="125"/>
        <v>0</v>
      </c>
      <c r="AV199" s="48">
        <f t="shared" si="126"/>
        <v>0</v>
      </c>
      <c r="AW199" s="48">
        <f>IF(N199="ПП",РПП*AB199*(V199/1.5),IF(N199="ВП",ВПр*AB199*(V199/1.5),IF(N199="РПА",РПА*AB199*(V199/1.5),IF(N199="КПА",кпа*AB199*(V199/1.5),0))))</f>
        <v>0</v>
      </c>
      <c r="AX199" s="48">
        <f t="shared" si="127"/>
        <v>0</v>
      </c>
      <c r="AY199" s="48">
        <f t="shared" si="128"/>
        <v>0</v>
      </c>
      <c r="AZ199" s="48">
        <f t="shared" si="129"/>
        <v>0</v>
      </c>
      <c r="BA199" s="48">
        <f t="shared" si="130"/>
        <v>0</v>
      </c>
      <c r="BB199" s="48">
        <f t="shared" si="131"/>
        <v>0</v>
      </c>
      <c r="BC199" s="48">
        <f t="shared" si="132"/>
        <v>0</v>
      </c>
      <c r="BD199" s="48">
        <f t="shared" si="133"/>
        <v>0</v>
      </c>
      <c r="BE199" s="48">
        <f t="shared" si="134"/>
        <v>0</v>
      </c>
      <c r="BF199" s="49">
        <f t="shared" si="135"/>
        <v>0</v>
      </c>
      <c r="BG199" s="50"/>
      <c r="BH199" s="51">
        <f t="shared" si="136"/>
        <v>0</v>
      </c>
      <c r="BI199" s="51">
        <f t="shared" si="137"/>
        <v>0</v>
      </c>
      <c r="BJ199" s="51">
        <f t="shared" si="138"/>
        <v>0</v>
      </c>
      <c r="BK199" s="52">
        <f t="shared" si="139"/>
        <v>0</v>
      </c>
      <c r="BL199" s="52">
        <f t="shared" si="140"/>
        <v>0</v>
      </c>
      <c r="BM199" s="52">
        <f t="shared" si="141"/>
        <v>0</v>
      </c>
    </row>
    <row r="200" spans="1:65" ht="30" customHeight="1" x14ac:dyDescent="0.25">
      <c r="A200" s="31" t="str">
        <f t="shared" si="107"/>
        <v>Д</v>
      </c>
      <c r="B200" s="31" t="str">
        <f t="shared" si="108"/>
        <v>Б</v>
      </c>
      <c r="C200" s="32" t="s">
        <v>186</v>
      </c>
      <c r="D200" s="33" t="str">
        <f t="shared" si="109"/>
        <v>Факультет физико-математических и естественных наук</v>
      </c>
      <c r="E200" s="34" t="str">
        <f t="shared" si="110"/>
        <v>'02.03.00</v>
      </c>
      <c r="F200" s="35" t="str">
        <f t="shared" si="111"/>
        <v>Компьютерные и информационные науки (УГСН)</v>
      </c>
      <c r="G200" s="36" t="s">
        <v>76</v>
      </c>
      <c r="H200" s="36" t="s">
        <v>183</v>
      </c>
      <c r="I200" s="37"/>
      <c r="J200" s="37"/>
      <c r="K200" s="38" t="s">
        <v>103</v>
      </c>
      <c r="L200" s="39">
        <v>2</v>
      </c>
      <c r="M200" s="39">
        <v>18</v>
      </c>
      <c r="N200" s="40" t="s">
        <v>94</v>
      </c>
      <c r="O200" s="39"/>
      <c r="P200" s="39">
        <v>2</v>
      </c>
      <c r="Q200" s="39"/>
      <c r="R200" s="40"/>
      <c r="S200" s="41"/>
      <c r="T200" s="41"/>
      <c r="U200" s="41"/>
      <c r="V200" s="41"/>
      <c r="W200" s="41"/>
      <c r="X200" s="42" t="str">
        <f t="shared" si="112"/>
        <v>НКАбд</v>
      </c>
      <c r="Y200" s="39" t="s">
        <v>88</v>
      </c>
      <c r="Z200" s="39">
        <v>1</v>
      </c>
      <c r="AA200" s="39">
        <v>1</v>
      </c>
      <c r="AB200" s="42">
        <f t="shared" si="113"/>
        <v>26</v>
      </c>
      <c r="AC200" s="39">
        <v>17</v>
      </c>
      <c r="AD200" s="39">
        <v>9</v>
      </c>
      <c r="AE200" s="44">
        <f t="shared" si="114"/>
        <v>12</v>
      </c>
      <c r="AF200" s="45">
        <f t="shared" si="115"/>
        <v>1</v>
      </c>
      <c r="AG200" s="45">
        <f t="shared" si="116"/>
        <v>2.1666666666666665</v>
      </c>
      <c r="AH200" s="46" t="s">
        <v>82</v>
      </c>
      <c r="AI200" s="40" t="s">
        <v>83</v>
      </c>
      <c r="AJ200" s="40" t="s">
        <v>84</v>
      </c>
      <c r="AK200" s="47" t="s">
        <v>104</v>
      </c>
      <c r="AL200" s="40"/>
      <c r="AM200" s="48">
        <f t="shared" si="117"/>
        <v>0</v>
      </c>
      <c r="AN200" s="48">
        <f t="shared" si="118"/>
        <v>0</v>
      </c>
      <c r="AO200" s="48">
        <f t="shared" si="119"/>
        <v>36</v>
      </c>
      <c r="AP200" s="48">
        <f t="shared" si="120"/>
        <v>0</v>
      </c>
      <c r="AQ200" s="48">
        <f t="shared" si="121"/>
        <v>0</v>
      </c>
      <c r="AR200" s="48">
        <f t="shared" si="122"/>
        <v>0</v>
      </c>
      <c r="AS200" s="48">
        <f t="shared" si="123"/>
        <v>0</v>
      </c>
      <c r="AT200" s="48">
        <f t="shared" si="124"/>
        <v>0</v>
      </c>
      <c r="AU200" s="48">
        <f t="shared" si="125"/>
        <v>0</v>
      </c>
      <c r="AV200" s="48">
        <f t="shared" si="126"/>
        <v>0</v>
      </c>
      <c r="AW200" s="48">
        <f>IF(N200="ПП",РПП*AB200*(V200/1.5),IF(N200="ВП",ВПр*AB200*(V200/1.5),IF(N200="РПА",РПА*AB200*(V200/1.5),IF(N200="КПА",кпа*AB200*(V200/1.5),0))))</f>
        <v>0</v>
      </c>
      <c r="AX200" s="48">
        <f t="shared" si="127"/>
        <v>0</v>
      </c>
      <c r="AY200" s="48">
        <f t="shared" si="128"/>
        <v>0</v>
      </c>
      <c r="AZ200" s="48">
        <f t="shared" si="129"/>
        <v>0</v>
      </c>
      <c r="BA200" s="48">
        <f t="shared" si="130"/>
        <v>0</v>
      </c>
      <c r="BB200" s="48">
        <f t="shared" si="131"/>
        <v>0</v>
      </c>
      <c r="BC200" s="48">
        <f t="shared" si="132"/>
        <v>0</v>
      </c>
      <c r="BD200" s="48">
        <f t="shared" si="133"/>
        <v>0</v>
      </c>
      <c r="BE200" s="48">
        <f t="shared" si="134"/>
        <v>0</v>
      </c>
      <c r="BF200" s="49">
        <f t="shared" si="135"/>
        <v>36</v>
      </c>
      <c r="BG200" s="50"/>
      <c r="BH200" s="51">
        <f t="shared" si="136"/>
        <v>0</v>
      </c>
      <c r="BI200" s="51">
        <f t="shared" si="137"/>
        <v>0</v>
      </c>
      <c r="BJ200" s="51">
        <f t="shared" si="138"/>
        <v>0</v>
      </c>
      <c r="BK200" s="52">
        <f t="shared" si="139"/>
        <v>36</v>
      </c>
      <c r="BL200" s="52">
        <f t="shared" si="140"/>
        <v>1</v>
      </c>
      <c r="BM200" s="52">
        <f t="shared" si="141"/>
        <v>0</v>
      </c>
    </row>
    <row r="201" spans="1:65" ht="30" customHeight="1" x14ac:dyDescent="0.25">
      <c r="A201" s="31" t="str">
        <f t="shared" si="107"/>
        <v>Д</v>
      </c>
      <c r="B201" s="31" t="str">
        <f t="shared" si="108"/>
        <v>Б</v>
      </c>
      <c r="C201" s="32" t="s">
        <v>186</v>
      </c>
      <c r="D201" s="33" t="str">
        <f t="shared" si="109"/>
        <v>Факультет физико-математических и естественных наук</v>
      </c>
      <c r="E201" s="34" t="str">
        <f t="shared" si="110"/>
        <v>'02.03.00</v>
      </c>
      <c r="F201" s="35" t="str">
        <f t="shared" si="111"/>
        <v>Компьютерные и информационные науки (УГСН)</v>
      </c>
      <c r="G201" s="36" t="s">
        <v>76</v>
      </c>
      <c r="H201" s="36" t="s">
        <v>183</v>
      </c>
      <c r="I201" s="37"/>
      <c r="J201" s="37"/>
      <c r="K201" s="38" t="s">
        <v>103</v>
      </c>
      <c r="L201" s="39">
        <v>2</v>
      </c>
      <c r="M201" s="39">
        <v>18</v>
      </c>
      <c r="N201" s="40" t="s">
        <v>94</v>
      </c>
      <c r="O201" s="39"/>
      <c r="P201" s="39">
        <v>2</v>
      </c>
      <c r="Q201" s="39"/>
      <c r="R201" s="40"/>
      <c r="S201" s="41"/>
      <c r="T201" s="41"/>
      <c r="U201" s="41"/>
      <c r="V201" s="41"/>
      <c r="W201" s="41"/>
      <c r="X201" s="42" t="str">
        <f t="shared" si="112"/>
        <v>НКАбд</v>
      </c>
      <c r="Y201" s="39" t="s">
        <v>88</v>
      </c>
      <c r="Z201" s="39">
        <v>1</v>
      </c>
      <c r="AA201" s="39">
        <v>1</v>
      </c>
      <c r="AB201" s="42">
        <f t="shared" si="113"/>
        <v>0</v>
      </c>
      <c r="AC201" s="39"/>
      <c r="AD201" s="39"/>
      <c r="AE201" s="44">
        <f t="shared" si="114"/>
        <v>12</v>
      </c>
      <c r="AF201" s="45">
        <f t="shared" si="115"/>
        <v>0</v>
      </c>
      <c r="AG201" s="45">
        <f t="shared" si="116"/>
        <v>0</v>
      </c>
      <c r="AH201" s="46" t="s">
        <v>82</v>
      </c>
      <c r="AI201" s="40" t="s">
        <v>83</v>
      </c>
      <c r="AJ201" s="40" t="s">
        <v>84</v>
      </c>
      <c r="AK201" s="47" t="s">
        <v>104</v>
      </c>
      <c r="AL201" s="40"/>
      <c r="AM201" s="48">
        <f t="shared" si="117"/>
        <v>0</v>
      </c>
      <c r="AN201" s="48">
        <f t="shared" si="118"/>
        <v>0</v>
      </c>
      <c r="AO201" s="48">
        <f t="shared" si="119"/>
        <v>0</v>
      </c>
      <c r="AP201" s="48">
        <f t="shared" si="120"/>
        <v>0</v>
      </c>
      <c r="AQ201" s="48">
        <f t="shared" si="121"/>
        <v>0</v>
      </c>
      <c r="AR201" s="48">
        <f t="shared" si="122"/>
        <v>0</v>
      </c>
      <c r="AS201" s="48">
        <f t="shared" si="123"/>
        <v>0</v>
      </c>
      <c r="AT201" s="48">
        <f t="shared" si="124"/>
        <v>0</v>
      </c>
      <c r="AU201" s="48">
        <f t="shared" si="125"/>
        <v>0</v>
      </c>
      <c r="AV201" s="48">
        <f t="shared" si="126"/>
        <v>0</v>
      </c>
      <c r="AW201" s="48">
        <f>IF(N201="ПП",РПП*AB201*(V201/1.5),IF(N201="ВП",ВПр*AB201*(V201/1.5),IF(N201="РПА",РПА*AB201*(V201/1.5),IF(N201="КПА",кпа*AB201*(V201/1.5),0))))</f>
        <v>0</v>
      </c>
      <c r="AX201" s="48">
        <f t="shared" si="127"/>
        <v>0</v>
      </c>
      <c r="AY201" s="48">
        <f t="shared" si="128"/>
        <v>0</v>
      </c>
      <c r="AZ201" s="48">
        <f t="shared" si="129"/>
        <v>0</v>
      </c>
      <c r="BA201" s="48">
        <f t="shared" si="130"/>
        <v>0</v>
      </c>
      <c r="BB201" s="48">
        <f t="shared" si="131"/>
        <v>0</v>
      </c>
      <c r="BC201" s="48">
        <f t="shared" si="132"/>
        <v>0</v>
      </c>
      <c r="BD201" s="48">
        <f t="shared" si="133"/>
        <v>0</v>
      </c>
      <c r="BE201" s="48">
        <f t="shared" si="134"/>
        <v>0</v>
      </c>
      <c r="BF201" s="49">
        <f t="shared" si="135"/>
        <v>0</v>
      </c>
      <c r="BG201" s="50"/>
      <c r="BH201" s="51">
        <f t="shared" si="136"/>
        <v>0</v>
      </c>
      <c r="BI201" s="51">
        <f t="shared" si="137"/>
        <v>0</v>
      </c>
      <c r="BJ201" s="51">
        <f t="shared" si="138"/>
        <v>0</v>
      </c>
      <c r="BK201" s="52">
        <f t="shared" si="139"/>
        <v>0</v>
      </c>
      <c r="BL201" s="52">
        <f t="shared" si="140"/>
        <v>0</v>
      </c>
      <c r="BM201" s="52">
        <f t="shared" si="141"/>
        <v>0</v>
      </c>
    </row>
    <row r="202" spans="1:65" ht="30" customHeight="1" x14ac:dyDescent="0.25">
      <c r="A202" s="31" t="str">
        <f t="shared" si="107"/>
        <v>Д</v>
      </c>
      <c r="B202" s="31" t="str">
        <f t="shared" si="108"/>
        <v>Б</v>
      </c>
      <c r="C202" s="32" t="s">
        <v>186</v>
      </c>
      <c r="D202" s="33" t="str">
        <f t="shared" si="109"/>
        <v>Факультет физико-математических и естественных наук</v>
      </c>
      <c r="E202" s="34" t="str">
        <f t="shared" si="110"/>
        <v>'02.03.00</v>
      </c>
      <c r="F202" s="35" t="str">
        <f t="shared" si="111"/>
        <v>Компьютерные и информационные науки (УГСН)</v>
      </c>
      <c r="G202" s="36" t="s">
        <v>76</v>
      </c>
      <c r="H202" s="36" t="s">
        <v>183</v>
      </c>
      <c r="I202" s="37"/>
      <c r="J202" s="37"/>
      <c r="K202" s="38" t="s">
        <v>103</v>
      </c>
      <c r="L202" s="39">
        <v>2</v>
      </c>
      <c r="M202" s="39">
        <v>18</v>
      </c>
      <c r="N202" s="40" t="s">
        <v>94</v>
      </c>
      <c r="O202" s="39"/>
      <c r="P202" s="39">
        <v>2</v>
      </c>
      <c r="Q202" s="39"/>
      <c r="R202" s="40"/>
      <c r="S202" s="41"/>
      <c r="T202" s="41"/>
      <c r="U202" s="41"/>
      <c r="V202" s="41"/>
      <c r="W202" s="41"/>
      <c r="X202" s="42" t="str">
        <f t="shared" si="112"/>
        <v>НКАбд</v>
      </c>
      <c r="Y202" s="39" t="s">
        <v>89</v>
      </c>
      <c r="Z202" s="39">
        <v>1</v>
      </c>
      <c r="AA202" s="39">
        <v>1</v>
      </c>
      <c r="AB202" s="42">
        <f t="shared" si="113"/>
        <v>26</v>
      </c>
      <c r="AC202" s="39">
        <v>17</v>
      </c>
      <c r="AD202" s="39">
        <v>9</v>
      </c>
      <c r="AE202" s="44">
        <f t="shared" si="114"/>
        <v>12</v>
      </c>
      <c r="AF202" s="45">
        <f t="shared" si="115"/>
        <v>1</v>
      </c>
      <c r="AG202" s="45">
        <f t="shared" si="116"/>
        <v>2.1666666666666665</v>
      </c>
      <c r="AH202" s="46" t="s">
        <v>82</v>
      </c>
      <c r="AI202" s="40" t="s">
        <v>83</v>
      </c>
      <c r="AJ202" s="40" t="s">
        <v>84</v>
      </c>
      <c r="AK202" s="47" t="s">
        <v>104</v>
      </c>
      <c r="AL202" s="40"/>
      <c r="AM202" s="48">
        <f t="shared" si="117"/>
        <v>0</v>
      </c>
      <c r="AN202" s="48">
        <f t="shared" si="118"/>
        <v>0</v>
      </c>
      <c r="AO202" s="48">
        <f t="shared" si="119"/>
        <v>36</v>
      </c>
      <c r="AP202" s="48">
        <f t="shared" si="120"/>
        <v>0</v>
      </c>
      <c r="AQ202" s="48">
        <f t="shared" si="121"/>
        <v>0</v>
      </c>
      <c r="AR202" s="48">
        <f t="shared" si="122"/>
        <v>0</v>
      </c>
      <c r="AS202" s="48">
        <f t="shared" si="123"/>
        <v>0</v>
      </c>
      <c r="AT202" s="48">
        <f t="shared" si="124"/>
        <v>0</v>
      </c>
      <c r="AU202" s="48">
        <f t="shared" si="125"/>
        <v>0</v>
      </c>
      <c r="AV202" s="48">
        <f t="shared" si="126"/>
        <v>0</v>
      </c>
      <c r="AW202" s="48">
        <f>IF(N202="ПП",РПП*AB202*(V202/1.5),IF(N202="ВП",ВПр*AB202*(V202/1.5),IF(N202="РПА",РПА*AB202*(V202/1.5),IF(N202="КПА",кпа*AB202*(V202/1.5),0))))</f>
        <v>0</v>
      </c>
      <c r="AX202" s="48">
        <f t="shared" si="127"/>
        <v>0</v>
      </c>
      <c r="AY202" s="48">
        <f t="shared" si="128"/>
        <v>0</v>
      </c>
      <c r="AZ202" s="48">
        <f t="shared" si="129"/>
        <v>0</v>
      </c>
      <c r="BA202" s="48">
        <f t="shared" si="130"/>
        <v>0</v>
      </c>
      <c r="BB202" s="48">
        <f t="shared" si="131"/>
        <v>0</v>
      </c>
      <c r="BC202" s="48">
        <f t="shared" si="132"/>
        <v>0</v>
      </c>
      <c r="BD202" s="48">
        <f t="shared" si="133"/>
        <v>0</v>
      </c>
      <c r="BE202" s="48">
        <f t="shared" si="134"/>
        <v>0</v>
      </c>
      <c r="BF202" s="49">
        <f t="shared" si="135"/>
        <v>36</v>
      </c>
      <c r="BG202" s="50"/>
      <c r="BH202" s="51">
        <f t="shared" si="136"/>
        <v>0</v>
      </c>
      <c r="BI202" s="51">
        <f t="shared" si="137"/>
        <v>0</v>
      </c>
      <c r="BJ202" s="51">
        <f t="shared" si="138"/>
        <v>0</v>
      </c>
      <c r="BK202" s="52">
        <f t="shared" si="139"/>
        <v>36</v>
      </c>
      <c r="BL202" s="52">
        <f t="shared" si="140"/>
        <v>1</v>
      </c>
      <c r="BM202" s="52">
        <f t="shared" si="141"/>
        <v>0</v>
      </c>
    </row>
    <row r="203" spans="1:65" ht="30" customHeight="1" x14ac:dyDescent="0.25">
      <c r="A203" s="31" t="str">
        <f t="shared" si="107"/>
        <v>Д</v>
      </c>
      <c r="B203" s="31" t="str">
        <f t="shared" si="108"/>
        <v>Б</v>
      </c>
      <c r="C203" s="32" t="s">
        <v>186</v>
      </c>
      <c r="D203" s="33" t="str">
        <f t="shared" si="109"/>
        <v>Факультет физико-математических и естественных наук</v>
      </c>
      <c r="E203" s="34" t="str">
        <f t="shared" si="110"/>
        <v>'02.03.00</v>
      </c>
      <c r="F203" s="35" t="str">
        <f t="shared" si="111"/>
        <v>Компьютерные и информационные науки (УГСН)</v>
      </c>
      <c r="G203" s="36" t="s">
        <v>76</v>
      </c>
      <c r="H203" s="36" t="s">
        <v>183</v>
      </c>
      <c r="I203" s="37"/>
      <c r="J203" s="37"/>
      <c r="K203" s="38" t="s">
        <v>103</v>
      </c>
      <c r="L203" s="39">
        <v>2</v>
      </c>
      <c r="M203" s="39">
        <v>18</v>
      </c>
      <c r="N203" s="40" t="s">
        <v>94</v>
      </c>
      <c r="O203" s="39"/>
      <c r="P203" s="39">
        <v>2</v>
      </c>
      <c r="Q203" s="39"/>
      <c r="R203" s="40"/>
      <c r="S203" s="41"/>
      <c r="T203" s="41"/>
      <c r="U203" s="41"/>
      <c r="V203" s="41"/>
      <c r="W203" s="41"/>
      <c r="X203" s="42" t="str">
        <f t="shared" si="112"/>
        <v>НКАбд</v>
      </c>
      <c r="Y203" s="39" t="s">
        <v>89</v>
      </c>
      <c r="Z203" s="39">
        <v>1</v>
      </c>
      <c r="AA203" s="39">
        <v>1</v>
      </c>
      <c r="AB203" s="42">
        <f t="shared" si="113"/>
        <v>0</v>
      </c>
      <c r="AC203" s="39"/>
      <c r="AD203" s="39"/>
      <c r="AE203" s="44">
        <f t="shared" si="114"/>
        <v>12</v>
      </c>
      <c r="AF203" s="45">
        <f t="shared" si="115"/>
        <v>0</v>
      </c>
      <c r="AG203" s="45">
        <f t="shared" si="116"/>
        <v>0</v>
      </c>
      <c r="AH203" s="46" t="s">
        <v>82</v>
      </c>
      <c r="AI203" s="40" t="s">
        <v>83</v>
      </c>
      <c r="AJ203" s="40" t="s">
        <v>84</v>
      </c>
      <c r="AK203" s="47" t="s">
        <v>104</v>
      </c>
      <c r="AL203" s="40"/>
      <c r="AM203" s="48">
        <f t="shared" si="117"/>
        <v>0</v>
      </c>
      <c r="AN203" s="48">
        <f t="shared" si="118"/>
        <v>0</v>
      </c>
      <c r="AO203" s="48">
        <f t="shared" si="119"/>
        <v>0</v>
      </c>
      <c r="AP203" s="48">
        <f t="shared" si="120"/>
        <v>0</v>
      </c>
      <c r="AQ203" s="48">
        <f t="shared" si="121"/>
        <v>0</v>
      </c>
      <c r="AR203" s="48">
        <f t="shared" si="122"/>
        <v>0</v>
      </c>
      <c r="AS203" s="48">
        <f t="shared" si="123"/>
        <v>0</v>
      </c>
      <c r="AT203" s="48">
        <f t="shared" si="124"/>
        <v>0</v>
      </c>
      <c r="AU203" s="48">
        <f t="shared" si="125"/>
        <v>0</v>
      </c>
      <c r="AV203" s="48">
        <f t="shared" si="126"/>
        <v>0</v>
      </c>
      <c r="AW203" s="48">
        <f>IF(N203="ПП",РПП*AB203*(V203/1.5),IF(N203="ВП",ВПр*AB203*(V203/1.5),IF(N203="РПА",РПА*AB203*(V203/1.5),IF(N203="КПА",кпа*AB203*(V203/1.5),0))))</f>
        <v>0</v>
      </c>
      <c r="AX203" s="48">
        <f t="shared" si="127"/>
        <v>0</v>
      </c>
      <c r="AY203" s="48">
        <f t="shared" si="128"/>
        <v>0</v>
      </c>
      <c r="AZ203" s="48">
        <f t="shared" si="129"/>
        <v>0</v>
      </c>
      <c r="BA203" s="48">
        <f t="shared" si="130"/>
        <v>0</v>
      </c>
      <c r="BB203" s="48">
        <f t="shared" si="131"/>
        <v>0</v>
      </c>
      <c r="BC203" s="48">
        <f t="shared" si="132"/>
        <v>0</v>
      </c>
      <c r="BD203" s="48">
        <f t="shared" si="133"/>
        <v>0</v>
      </c>
      <c r="BE203" s="48">
        <f t="shared" si="134"/>
        <v>0</v>
      </c>
      <c r="BF203" s="49">
        <f t="shared" si="135"/>
        <v>0</v>
      </c>
      <c r="BG203" s="50"/>
      <c r="BH203" s="51">
        <f t="shared" si="136"/>
        <v>0</v>
      </c>
      <c r="BI203" s="51">
        <f t="shared" si="137"/>
        <v>0</v>
      </c>
      <c r="BJ203" s="51">
        <f t="shared" si="138"/>
        <v>0</v>
      </c>
      <c r="BK203" s="52">
        <f t="shared" si="139"/>
        <v>0</v>
      </c>
      <c r="BL203" s="52">
        <f t="shared" si="140"/>
        <v>0</v>
      </c>
      <c r="BM203" s="52">
        <f t="shared" si="141"/>
        <v>0</v>
      </c>
    </row>
    <row r="204" spans="1:65" ht="30" customHeight="1" x14ac:dyDescent="0.25">
      <c r="A204" s="31" t="str">
        <f t="shared" si="107"/>
        <v>Д</v>
      </c>
      <c r="B204" s="31" t="str">
        <f t="shared" si="108"/>
        <v>Б</v>
      </c>
      <c r="C204" s="32" t="s">
        <v>186</v>
      </c>
      <c r="D204" s="33" t="str">
        <f t="shared" si="109"/>
        <v>Факультет физико-математических и естественных наук</v>
      </c>
      <c r="E204" s="34" t="str">
        <f t="shared" si="110"/>
        <v>'02.03.00</v>
      </c>
      <c r="F204" s="35" t="str">
        <f t="shared" si="111"/>
        <v>Компьютерные и информационные науки (УГСН)</v>
      </c>
      <c r="G204" s="36" t="s">
        <v>76</v>
      </c>
      <c r="H204" s="36" t="s">
        <v>183</v>
      </c>
      <c r="I204" s="37"/>
      <c r="J204" s="37"/>
      <c r="K204" s="38" t="s">
        <v>103</v>
      </c>
      <c r="L204" s="39">
        <v>2</v>
      </c>
      <c r="M204" s="39">
        <v>18</v>
      </c>
      <c r="N204" s="40" t="s">
        <v>94</v>
      </c>
      <c r="O204" s="39"/>
      <c r="P204" s="39">
        <v>2</v>
      </c>
      <c r="Q204" s="39"/>
      <c r="R204" s="40"/>
      <c r="S204" s="41"/>
      <c r="T204" s="41"/>
      <c r="U204" s="41"/>
      <c r="V204" s="41"/>
      <c r="W204" s="41"/>
      <c r="X204" s="42" t="str">
        <f t="shared" si="112"/>
        <v>НКАбд</v>
      </c>
      <c r="Y204" s="39" t="s">
        <v>188</v>
      </c>
      <c r="Z204" s="39">
        <v>1</v>
      </c>
      <c r="AA204" s="39">
        <v>1</v>
      </c>
      <c r="AB204" s="42">
        <f t="shared" si="113"/>
        <v>26</v>
      </c>
      <c r="AC204" s="39">
        <v>16</v>
      </c>
      <c r="AD204" s="39">
        <v>10</v>
      </c>
      <c r="AE204" s="44">
        <f t="shared" si="114"/>
        <v>12</v>
      </c>
      <c r="AF204" s="45">
        <f t="shared" si="115"/>
        <v>1</v>
      </c>
      <c r="AG204" s="45">
        <f t="shared" si="116"/>
        <v>2.1666666666666665</v>
      </c>
      <c r="AH204" s="46" t="s">
        <v>82</v>
      </c>
      <c r="AI204" s="40" t="s">
        <v>99</v>
      </c>
      <c r="AJ204" s="40" t="s">
        <v>116</v>
      </c>
      <c r="AK204" s="47" t="s">
        <v>123</v>
      </c>
      <c r="AL204" s="40"/>
      <c r="AM204" s="48">
        <f t="shared" si="117"/>
        <v>0</v>
      </c>
      <c r="AN204" s="48">
        <f t="shared" si="118"/>
        <v>0</v>
      </c>
      <c r="AO204" s="48">
        <f t="shared" si="119"/>
        <v>36</v>
      </c>
      <c r="AP204" s="48">
        <f t="shared" si="120"/>
        <v>0</v>
      </c>
      <c r="AQ204" s="48">
        <f t="shared" si="121"/>
        <v>0</v>
      </c>
      <c r="AR204" s="48">
        <f t="shared" si="122"/>
        <v>0</v>
      </c>
      <c r="AS204" s="48">
        <f t="shared" si="123"/>
        <v>0</v>
      </c>
      <c r="AT204" s="48">
        <f t="shared" si="124"/>
        <v>0</v>
      </c>
      <c r="AU204" s="48">
        <f t="shared" si="125"/>
        <v>0</v>
      </c>
      <c r="AV204" s="48">
        <f t="shared" si="126"/>
        <v>0</v>
      </c>
      <c r="AW204" s="48">
        <f>IF(N204="ПП",РПП*AB204*(V204/1.5),IF(N204="ВП",ВПр*AB204*(V204/1.5),IF(N204="РПА",РПА*AB204*(V204/1.5),IF(N204="КПА",кпа*AB204*(V204/1.5),0))))</f>
        <v>0</v>
      </c>
      <c r="AX204" s="48">
        <f t="shared" si="127"/>
        <v>0</v>
      </c>
      <c r="AY204" s="48">
        <f t="shared" si="128"/>
        <v>0</v>
      </c>
      <c r="AZ204" s="48">
        <f t="shared" si="129"/>
        <v>0</v>
      </c>
      <c r="BA204" s="48">
        <f t="shared" si="130"/>
        <v>0</v>
      </c>
      <c r="BB204" s="48">
        <f t="shared" si="131"/>
        <v>0</v>
      </c>
      <c r="BC204" s="48">
        <f t="shared" si="132"/>
        <v>0</v>
      </c>
      <c r="BD204" s="48">
        <f t="shared" si="133"/>
        <v>0</v>
      </c>
      <c r="BE204" s="48">
        <f t="shared" si="134"/>
        <v>0</v>
      </c>
      <c r="BF204" s="49">
        <f t="shared" si="135"/>
        <v>36</v>
      </c>
      <c r="BG204" s="50"/>
      <c r="BH204" s="51">
        <f t="shared" si="136"/>
        <v>0</v>
      </c>
      <c r="BI204" s="51">
        <f t="shared" si="137"/>
        <v>0</v>
      </c>
      <c r="BJ204" s="51">
        <f t="shared" si="138"/>
        <v>0</v>
      </c>
      <c r="BK204" s="52">
        <f t="shared" si="139"/>
        <v>36</v>
      </c>
      <c r="BL204" s="52">
        <f t="shared" si="140"/>
        <v>1</v>
      </c>
      <c r="BM204" s="52">
        <f t="shared" si="141"/>
        <v>0</v>
      </c>
    </row>
    <row r="205" spans="1:65" ht="30" customHeight="1" x14ac:dyDescent="0.25">
      <c r="A205" s="31" t="str">
        <f t="shared" si="107"/>
        <v>Д</v>
      </c>
      <c r="B205" s="31" t="str">
        <f t="shared" si="108"/>
        <v>Б</v>
      </c>
      <c r="C205" s="32" t="s">
        <v>186</v>
      </c>
      <c r="D205" s="33" t="str">
        <f t="shared" si="109"/>
        <v>Факультет физико-математических и естественных наук</v>
      </c>
      <c r="E205" s="34" t="str">
        <f t="shared" si="110"/>
        <v>'02.03.00</v>
      </c>
      <c r="F205" s="35" t="str">
        <f t="shared" si="111"/>
        <v>Компьютерные и информационные науки (УГСН)</v>
      </c>
      <c r="G205" s="36" t="s">
        <v>76</v>
      </c>
      <c r="H205" s="36" t="s">
        <v>183</v>
      </c>
      <c r="I205" s="37"/>
      <c r="J205" s="37"/>
      <c r="K205" s="38" t="s">
        <v>103</v>
      </c>
      <c r="L205" s="39">
        <v>2</v>
      </c>
      <c r="M205" s="39">
        <v>18</v>
      </c>
      <c r="N205" s="40" t="s">
        <v>94</v>
      </c>
      <c r="O205" s="39"/>
      <c r="P205" s="39">
        <v>2</v>
      </c>
      <c r="Q205" s="39"/>
      <c r="R205" s="40"/>
      <c r="S205" s="41"/>
      <c r="T205" s="41"/>
      <c r="U205" s="41"/>
      <c r="V205" s="41"/>
      <c r="W205" s="41"/>
      <c r="X205" s="42" t="str">
        <f t="shared" si="112"/>
        <v>НКАбд</v>
      </c>
      <c r="Y205" s="39" t="s">
        <v>188</v>
      </c>
      <c r="Z205" s="39">
        <v>1</v>
      </c>
      <c r="AA205" s="39">
        <v>1</v>
      </c>
      <c r="AB205" s="42">
        <f t="shared" si="113"/>
        <v>0</v>
      </c>
      <c r="AC205" s="39"/>
      <c r="AD205" s="39"/>
      <c r="AE205" s="44">
        <f t="shared" si="114"/>
        <v>12</v>
      </c>
      <c r="AF205" s="45">
        <f t="shared" si="115"/>
        <v>0</v>
      </c>
      <c r="AG205" s="45">
        <f t="shared" si="116"/>
        <v>0</v>
      </c>
      <c r="AH205" s="46" t="s">
        <v>82</v>
      </c>
      <c r="AI205" s="40" t="s">
        <v>99</v>
      </c>
      <c r="AJ205" s="40" t="s">
        <v>116</v>
      </c>
      <c r="AK205" s="47" t="s">
        <v>123</v>
      </c>
      <c r="AL205" s="40"/>
      <c r="AM205" s="48">
        <f t="shared" si="117"/>
        <v>0</v>
      </c>
      <c r="AN205" s="48">
        <f t="shared" si="118"/>
        <v>0</v>
      </c>
      <c r="AO205" s="48">
        <f t="shared" si="119"/>
        <v>0</v>
      </c>
      <c r="AP205" s="48">
        <f t="shared" si="120"/>
        <v>0</v>
      </c>
      <c r="AQ205" s="48">
        <f t="shared" si="121"/>
        <v>0</v>
      </c>
      <c r="AR205" s="48">
        <f t="shared" si="122"/>
        <v>0</v>
      </c>
      <c r="AS205" s="48">
        <f t="shared" si="123"/>
        <v>0</v>
      </c>
      <c r="AT205" s="48">
        <f t="shared" si="124"/>
        <v>0</v>
      </c>
      <c r="AU205" s="48">
        <f t="shared" si="125"/>
        <v>0</v>
      </c>
      <c r="AV205" s="48">
        <f t="shared" si="126"/>
        <v>0</v>
      </c>
      <c r="AW205" s="48">
        <f>IF(N205="ПП",РПП*AB205*(V205/1.5),IF(N205="ВП",ВПр*AB205*(V205/1.5),IF(N205="РПА",РПА*AB205*(V205/1.5),IF(N205="КПА",кпа*AB205*(V205/1.5),0))))</f>
        <v>0</v>
      </c>
      <c r="AX205" s="48">
        <f t="shared" si="127"/>
        <v>0</v>
      </c>
      <c r="AY205" s="48">
        <f t="shared" si="128"/>
        <v>0</v>
      </c>
      <c r="AZ205" s="48">
        <f t="shared" si="129"/>
        <v>0</v>
      </c>
      <c r="BA205" s="48">
        <f t="shared" si="130"/>
        <v>0</v>
      </c>
      <c r="BB205" s="48">
        <f t="shared" si="131"/>
        <v>0</v>
      </c>
      <c r="BC205" s="48">
        <f t="shared" si="132"/>
        <v>0</v>
      </c>
      <c r="BD205" s="48">
        <f t="shared" si="133"/>
        <v>0</v>
      </c>
      <c r="BE205" s="48">
        <f t="shared" si="134"/>
        <v>0</v>
      </c>
      <c r="BF205" s="49">
        <f t="shared" si="135"/>
        <v>0</v>
      </c>
      <c r="BG205" s="50"/>
      <c r="BH205" s="51">
        <f t="shared" si="136"/>
        <v>0</v>
      </c>
      <c r="BI205" s="51">
        <f t="shared" si="137"/>
        <v>0</v>
      </c>
      <c r="BJ205" s="51">
        <f t="shared" si="138"/>
        <v>0</v>
      </c>
      <c r="BK205" s="52">
        <f t="shared" si="139"/>
        <v>0</v>
      </c>
      <c r="BL205" s="52">
        <f t="shared" si="140"/>
        <v>0</v>
      </c>
      <c r="BM205" s="52">
        <f t="shared" si="141"/>
        <v>0</v>
      </c>
    </row>
    <row r="206" spans="1:65" ht="30" customHeight="1" x14ac:dyDescent="0.25">
      <c r="A206" s="31" t="str">
        <f t="shared" si="107"/>
        <v>Д</v>
      </c>
      <c r="B206" s="31" t="str">
        <f t="shared" si="108"/>
        <v>Б</v>
      </c>
      <c r="C206" s="32" t="s">
        <v>186</v>
      </c>
      <c r="D206" s="33" t="str">
        <f t="shared" si="109"/>
        <v>Факультет физико-математических и естественных наук</v>
      </c>
      <c r="E206" s="34" t="str">
        <f t="shared" si="110"/>
        <v>'02.03.00</v>
      </c>
      <c r="F206" s="35" t="str">
        <f t="shared" si="111"/>
        <v>Компьютерные и информационные науки (УГСН)</v>
      </c>
      <c r="G206" s="36" t="s">
        <v>76</v>
      </c>
      <c r="H206" s="36" t="s">
        <v>183</v>
      </c>
      <c r="I206" s="37"/>
      <c r="J206" s="37"/>
      <c r="K206" s="38" t="s">
        <v>103</v>
      </c>
      <c r="L206" s="39">
        <v>2</v>
      </c>
      <c r="M206" s="39">
        <v>18</v>
      </c>
      <c r="N206" s="40" t="s">
        <v>94</v>
      </c>
      <c r="O206" s="39"/>
      <c r="P206" s="39">
        <v>2</v>
      </c>
      <c r="Q206" s="39"/>
      <c r="R206" s="40"/>
      <c r="S206" s="41"/>
      <c r="T206" s="41"/>
      <c r="U206" s="41"/>
      <c r="V206" s="41"/>
      <c r="W206" s="41"/>
      <c r="X206" s="42" t="str">
        <f t="shared" si="112"/>
        <v>НКАбд</v>
      </c>
      <c r="Y206" s="39" t="s">
        <v>190</v>
      </c>
      <c r="Z206" s="39">
        <v>1</v>
      </c>
      <c r="AA206" s="39">
        <v>1</v>
      </c>
      <c r="AB206" s="42">
        <f t="shared" si="113"/>
        <v>25</v>
      </c>
      <c r="AC206" s="39">
        <v>16</v>
      </c>
      <c r="AD206" s="39">
        <v>9</v>
      </c>
      <c r="AE206" s="44">
        <f t="shared" si="114"/>
        <v>12</v>
      </c>
      <c r="AF206" s="45">
        <f t="shared" si="115"/>
        <v>1</v>
      </c>
      <c r="AG206" s="45">
        <f t="shared" si="116"/>
        <v>2.0833333333333335</v>
      </c>
      <c r="AH206" s="46" t="s">
        <v>82</v>
      </c>
      <c r="AI206" s="40" t="s">
        <v>99</v>
      </c>
      <c r="AJ206" s="40" t="s">
        <v>116</v>
      </c>
      <c r="AK206" s="47" t="s">
        <v>123</v>
      </c>
      <c r="AL206" s="40"/>
      <c r="AM206" s="48">
        <f t="shared" si="117"/>
        <v>0</v>
      </c>
      <c r="AN206" s="48">
        <f t="shared" si="118"/>
        <v>0</v>
      </c>
      <c r="AO206" s="48">
        <f t="shared" si="119"/>
        <v>36</v>
      </c>
      <c r="AP206" s="48">
        <f t="shared" si="120"/>
        <v>0</v>
      </c>
      <c r="AQ206" s="48">
        <f t="shared" si="121"/>
        <v>0</v>
      </c>
      <c r="AR206" s="48">
        <f t="shared" si="122"/>
        <v>0</v>
      </c>
      <c r="AS206" s="48">
        <f t="shared" si="123"/>
        <v>0</v>
      </c>
      <c r="AT206" s="48">
        <f t="shared" si="124"/>
        <v>0</v>
      </c>
      <c r="AU206" s="48">
        <f t="shared" si="125"/>
        <v>0</v>
      </c>
      <c r="AV206" s="48">
        <f t="shared" si="126"/>
        <v>0</v>
      </c>
      <c r="AW206" s="48">
        <f>IF(N206="ПП",РПП*AB206*(V206/1.5),IF(N206="ВП",ВПр*AB206*(V206/1.5),IF(N206="РПА",РПА*AB206*(V206/1.5),IF(N206="КПА",кпа*AB206*(V206/1.5),0))))</f>
        <v>0</v>
      </c>
      <c r="AX206" s="48">
        <f t="shared" si="127"/>
        <v>0</v>
      </c>
      <c r="AY206" s="48">
        <f t="shared" si="128"/>
        <v>0</v>
      </c>
      <c r="AZ206" s="48">
        <f t="shared" si="129"/>
        <v>0</v>
      </c>
      <c r="BA206" s="48">
        <f t="shared" si="130"/>
        <v>0</v>
      </c>
      <c r="BB206" s="48">
        <f t="shared" si="131"/>
        <v>0</v>
      </c>
      <c r="BC206" s="48">
        <f t="shared" si="132"/>
        <v>0</v>
      </c>
      <c r="BD206" s="48">
        <f t="shared" si="133"/>
        <v>0</v>
      </c>
      <c r="BE206" s="48">
        <f t="shared" si="134"/>
        <v>0</v>
      </c>
      <c r="BF206" s="49">
        <f t="shared" si="135"/>
        <v>36</v>
      </c>
      <c r="BG206" s="50"/>
      <c r="BH206" s="51">
        <f t="shared" si="136"/>
        <v>0</v>
      </c>
      <c r="BI206" s="51">
        <f t="shared" si="137"/>
        <v>0</v>
      </c>
      <c r="BJ206" s="51">
        <f t="shared" si="138"/>
        <v>0</v>
      </c>
      <c r="BK206" s="52">
        <f t="shared" si="139"/>
        <v>36</v>
      </c>
      <c r="BL206" s="52">
        <f t="shared" si="140"/>
        <v>1</v>
      </c>
      <c r="BM206" s="52">
        <f t="shared" si="141"/>
        <v>0</v>
      </c>
    </row>
    <row r="207" spans="1:65" ht="30" customHeight="1" x14ac:dyDescent="0.25">
      <c r="A207" s="31" t="str">
        <f t="shared" si="107"/>
        <v>Д</v>
      </c>
      <c r="B207" s="31" t="str">
        <f t="shared" si="108"/>
        <v>Б</v>
      </c>
      <c r="C207" s="32" t="s">
        <v>186</v>
      </c>
      <c r="D207" s="33" t="str">
        <f t="shared" si="109"/>
        <v>Факультет физико-математических и естественных наук</v>
      </c>
      <c r="E207" s="34" t="str">
        <f t="shared" si="110"/>
        <v>'02.03.00</v>
      </c>
      <c r="F207" s="35" t="str">
        <f t="shared" si="111"/>
        <v>Компьютерные и информационные науки (УГСН)</v>
      </c>
      <c r="G207" s="36" t="s">
        <v>76</v>
      </c>
      <c r="H207" s="36" t="s">
        <v>183</v>
      </c>
      <c r="I207" s="37"/>
      <c r="J207" s="37"/>
      <c r="K207" s="38" t="s">
        <v>103</v>
      </c>
      <c r="L207" s="39">
        <v>2</v>
      </c>
      <c r="M207" s="39">
        <v>18</v>
      </c>
      <c r="N207" s="40" t="s">
        <v>94</v>
      </c>
      <c r="O207" s="39"/>
      <c r="P207" s="39">
        <v>2</v>
      </c>
      <c r="Q207" s="39"/>
      <c r="R207" s="40"/>
      <c r="S207" s="41"/>
      <c r="T207" s="41"/>
      <c r="U207" s="41"/>
      <c r="V207" s="41"/>
      <c r="W207" s="41"/>
      <c r="X207" s="42" t="str">
        <f t="shared" si="112"/>
        <v>НКАбд</v>
      </c>
      <c r="Y207" s="39" t="s">
        <v>190</v>
      </c>
      <c r="Z207" s="39">
        <v>1</v>
      </c>
      <c r="AA207" s="39">
        <v>1</v>
      </c>
      <c r="AB207" s="42">
        <f t="shared" si="113"/>
        <v>0</v>
      </c>
      <c r="AC207" s="39"/>
      <c r="AD207" s="39"/>
      <c r="AE207" s="44">
        <f t="shared" si="114"/>
        <v>12</v>
      </c>
      <c r="AF207" s="45">
        <f t="shared" si="115"/>
        <v>0</v>
      </c>
      <c r="AG207" s="45">
        <f t="shared" si="116"/>
        <v>0</v>
      </c>
      <c r="AH207" s="46" t="s">
        <v>82</v>
      </c>
      <c r="AI207" s="40" t="s">
        <v>99</v>
      </c>
      <c r="AJ207" s="40" t="s">
        <v>116</v>
      </c>
      <c r="AK207" s="47" t="s">
        <v>123</v>
      </c>
      <c r="AL207" s="40"/>
      <c r="AM207" s="48">
        <f t="shared" si="117"/>
        <v>0</v>
      </c>
      <c r="AN207" s="48">
        <f t="shared" si="118"/>
        <v>0</v>
      </c>
      <c r="AO207" s="48">
        <f t="shared" si="119"/>
        <v>0</v>
      </c>
      <c r="AP207" s="48">
        <f t="shared" si="120"/>
        <v>0</v>
      </c>
      <c r="AQ207" s="48">
        <f t="shared" si="121"/>
        <v>0</v>
      </c>
      <c r="AR207" s="48">
        <f t="shared" si="122"/>
        <v>0</v>
      </c>
      <c r="AS207" s="48">
        <f t="shared" si="123"/>
        <v>0</v>
      </c>
      <c r="AT207" s="48">
        <f t="shared" si="124"/>
        <v>0</v>
      </c>
      <c r="AU207" s="48">
        <f t="shared" si="125"/>
        <v>0</v>
      </c>
      <c r="AV207" s="48">
        <f t="shared" si="126"/>
        <v>0</v>
      </c>
      <c r="AW207" s="48">
        <f>IF(N207="ПП",РПП*AB207*(V207/1.5),IF(N207="ВП",ВПр*AB207*(V207/1.5),IF(N207="РПА",РПА*AB207*(V207/1.5),IF(N207="КПА",кпа*AB207*(V207/1.5),0))))</f>
        <v>0</v>
      </c>
      <c r="AX207" s="48">
        <f t="shared" si="127"/>
        <v>0</v>
      </c>
      <c r="AY207" s="48">
        <f t="shared" si="128"/>
        <v>0</v>
      </c>
      <c r="AZ207" s="48">
        <f t="shared" si="129"/>
        <v>0</v>
      </c>
      <c r="BA207" s="48">
        <f t="shared" si="130"/>
        <v>0</v>
      </c>
      <c r="BB207" s="48">
        <f t="shared" si="131"/>
        <v>0</v>
      </c>
      <c r="BC207" s="48">
        <f t="shared" si="132"/>
        <v>0</v>
      </c>
      <c r="BD207" s="48">
        <f t="shared" si="133"/>
        <v>0</v>
      </c>
      <c r="BE207" s="48">
        <f t="shared" si="134"/>
        <v>0</v>
      </c>
      <c r="BF207" s="49">
        <f t="shared" si="135"/>
        <v>0</v>
      </c>
      <c r="BG207" s="50"/>
      <c r="BH207" s="51">
        <f t="shared" si="136"/>
        <v>0</v>
      </c>
      <c r="BI207" s="51">
        <f t="shared" si="137"/>
        <v>0</v>
      </c>
      <c r="BJ207" s="51">
        <f t="shared" si="138"/>
        <v>0</v>
      </c>
      <c r="BK207" s="52">
        <f t="shared" si="139"/>
        <v>0</v>
      </c>
      <c r="BL207" s="52">
        <f t="shared" si="140"/>
        <v>0</v>
      </c>
      <c r="BM207" s="52">
        <f t="shared" si="141"/>
        <v>0</v>
      </c>
    </row>
    <row r="208" spans="1:65" ht="30" customHeight="1" x14ac:dyDescent="0.25">
      <c r="A208" s="31" t="str">
        <f t="shared" si="107"/>
        <v>Д</v>
      </c>
      <c r="B208" s="31" t="str">
        <f t="shared" si="108"/>
        <v>Б</v>
      </c>
      <c r="C208" s="32" t="s">
        <v>186</v>
      </c>
      <c r="D208" s="33" t="str">
        <f t="shared" si="109"/>
        <v>Факультет физико-математических и естественных наук</v>
      </c>
      <c r="E208" s="34" t="str">
        <f t="shared" si="110"/>
        <v>'02.03.00</v>
      </c>
      <c r="F208" s="35" t="str">
        <f t="shared" si="111"/>
        <v>Компьютерные и информационные науки (УГСН)</v>
      </c>
      <c r="G208" s="36" t="s">
        <v>76</v>
      </c>
      <c r="H208" s="36" t="s">
        <v>183</v>
      </c>
      <c r="I208" s="37"/>
      <c r="J208" s="37"/>
      <c r="K208" s="38" t="s">
        <v>103</v>
      </c>
      <c r="L208" s="39">
        <v>2</v>
      </c>
      <c r="M208" s="39">
        <v>18</v>
      </c>
      <c r="N208" s="40" t="s">
        <v>94</v>
      </c>
      <c r="O208" s="39"/>
      <c r="P208" s="39">
        <v>2</v>
      </c>
      <c r="Q208" s="39"/>
      <c r="R208" s="40"/>
      <c r="S208" s="41"/>
      <c r="T208" s="41"/>
      <c r="U208" s="41"/>
      <c r="V208" s="41"/>
      <c r="W208" s="41"/>
      <c r="X208" s="42" t="str">
        <f t="shared" si="112"/>
        <v>НКАбд</v>
      </c>
      <c r="Y208" s="39" t="s">
        <v>191</v>
      </c>
      <c r="Z208" s="39">
        <v>1</v>
      </c>
      <c r="AA208" s="39">
        <v>1</v>
      </c>
      <c r="AB208" s="42">
        <f t="shared" si="113"/>
        <v>25</v>
      </c>
      <c r="AC208" s="39">
        <v>16</v>
      </c>
      <c r="AD208" s="39">
        <v>9</v>
      </c>
      <c r="AE208" s="44">
        <f t="shared" si="114"/>
        <v>12</v>
      </c>
      <c r="AF208" s="45">
        <f t="shared" si="115"/>
        <v>1</v>
      </c>
      <c r="AG208" s="45">
        <f t="shared" si="116"/>
        <v>2.0833333333333335</v>
      </c>
      <c r="AH208" s="46" t="s">
        <v>82</v>
      </c>
      <c r="AI208" s="40" t="s">
        <v>99</v>
      </c>
      <c r="AJ208" s="40" t="s">
        <v>116</v>
      </c>
      <c r="AK208" s="47" t="s">
        <v>123</v>
      </c>
      <c r="AL208" s="40"/>
      <c r="AM208" s="48">
        <f t="shared" si="117"/>
        <v>0</v>
      </c>
      <c r="AN208" s="48">
        <f t="shared" si="118"/>
        <v>0</v>
      </c>
      <c r="AO208" s="48">
        <f t="shared" si="119"/>
        <v>36</v>
      </c>
      <c r="AP208" s="48">
        <f t="shared" si="120"/>
        <v>0</v>
      </c>
      <c r="AQ208" s="48">
        <f t="shared" si="121"/>
        <v>0</v>
      </c>
      <c r="AR208" s="48">
        <f t="shared" si="122"/>
        <v>0</v>
      </c>
      <c r="AS208" s="48">
        <f t="shared" si="123"/>
        <v>0</v>
      </c>
      <c r="AT208" s="48">
        <f t="shared" si="124"/>
        <v>0</v>
      </c>
      <c r="AU208" s="48">
        <f t="shared" si="125"/>
        <v>0</v>
      </c>
      <c r="AV208" s="48">
        <f t="shared" si="126"/>
        <v>0</v>
      </c>
      <c r="AW208" s="48">
        <f>IF(N208="ПП",РПП*AB208*(V208/1.5),IF(N208="ВП",ВПр*AB208*(V208/1.5),IF(N208="РПА",РПА*AB208*(V208/1.5),IF(N208="КПА",кпа*AB208*(V208/1.5),0))))</f>
        <v>0</v>
      </c>
      <c r="AX208" s="48">
        <f t="shared" si="127"/>
        <v>0</v>
      </c>
      <c r="AY208" s="48">
        <f t="shared" si="128"/>
        <v>0</v>
      </c>
      <c r="AZ208" s="48">
        <f t="shared" si="129"/>
        <v>0</v>
      </c>
      <c r="BA208" s="48">
        <f t="shared" si="130"/>
        <v>0</v>
      </c>
      <c r="BB208" s="48">
        <f t="shared" si="131"/>
        <v>0</v>
      </c>
      <c r="BC208" s="48">
        <f t="shared" si="132"/>
        <v>0</v>
      </c>
      <c r="BD208" s="48">
        <f t="shared" si="133"/>
        <v>0</v>
      </c>
      <c r="BE208" s="48">
        <f t="shared" si="134"/>
        <v>0</v>
      </c>
      <c r="BF208" s="49">
        <f t="shared" si="135"/>
        <v>36</v>
      </c>
      <c r="BG208" s="50"/>
      <c r="BH208" s="51">
        <f t="shared" si="136"/>
        <v>0</v>
      </c>
      <c r="BI208" s="51">
        <f t="shared" si="137"/>
        <v>0</v>
      </c>
      <c r="BJ208" s="51">
        <f t="shared" si="138"/>
        <v>0</v>
      </c>
      <c r="BK208" s="52">
        <f t="shared" si="139"/>
        <v>36</v>
      </c>
      <c r="BL208" s="52">
        <f t="shared" si="140"/>
        <v>1</v>
      </c>
      <c r="BM208" s="52">
        <f t="shared" si="141"/>
        <v>0</v>
      </c>
    </row>
    <row r="209" spans="1:65" ht="30" customHeight="1" x14ac:dyDescent="0.25">
      <c r="A209" s="31" t="str">
        <f t="shared" si="107"/>
        <v>Д</v>
      </c>
      <c r="B209" s="31" t="str">
        <f t="shared" si="108"/>
        <v>Б</v>
      </c>
      <c r="C209" s="32" t="s">
        <v>186</v>
      </c>
      <c r="D209" s="33" t="str">
        <f t="shared" si="109"/>
        <v>Факультет физико-математических и естественных наук</v>
      </c>
      <c r="E209" s="34" t="str">
        <f t="shared" si="110"/>
        <v>'02.03.00</v>
      </c>
      <c r="F209" s="35" t="str">
        <f t="shared" si="111"/>
        <v>Компьютерные и информационные науки (УГСН)</v>
      </c>
      <c r="G209" s="36" t="s">
        <v>76</v>
      </c>
      <c r="H209" s="36" t="s">
        <v>183</v>
      </c>
      <c r="I209" s="37"/>
      <c r="J209" s="37"/>
      <c r="K209" s="38" t="s">
        <v>103</v>
      </c>
      <c r="L209" s="39">
        <v>2</v>
      </c>
      <c r="M209" s="39">
        <v>18</v>
      </c>
      <c r="N209" s="40" t="s">
        <v>94</v>
      </c>
      <c r="O209" s="39"/>
      <c r="P209" s="39">
        <v>2</v>
      </c>
      <c r="Q209" s="39"/>
      <c r="R209" s="40"/>
      <c r="S209" s="41"/>
      <c r="T209" s="41"/>
      <c r="U209" s="41"/>
      <c r="V209" s="41"/>
      <c r="W209" s="41"/>
      <c r="X209" s="42" t="str">
        <f t="shared" si="112"/>
        <v>НКАбд</v>
      </c>
      <c r="Y209" s="39" t="s">
        <v>191</v>
      </c>
      <c r="Z209" s="39">
        <v>1</v>
      </c>
      <c r="AA209" s="39">
        <v>1</v>
      </c>
      <c r="AB209" s="42">
        <f t="shared" si="113"/>
        <v>0</v>
      </c>
      <c r="AC209" s="39"/>
      <c r="AD209" s="39"/>
      <c r="AE209" s="44">
        <f t="shared" si="114"/>
        <v>12</v>
      </c>
      <c r="AF209" s="45">
        <f t="shared" si="115"/>
        <v>0</v>
      </c>
      <c r="AG209" s="45">
        <f t="shared" si="116"/>
        <v>0</v>
      </c>
      <c r="AH209" s="46" t="s">
        <v>82</v>
      </c>
      <c r="AI209" s="40" t="s">
        <v>99</v>
      </c>
      <c r="AJ209" s="40" t="s">
        <v>116</v>
      </c>
      <c r="AK209" s="47" t="s">
        <v>123</v>
      </c>
      <c r="AL209" s="40"/>
      <c r="AM209" s="48">
        <f t="shared" si="117"/>
        <v>0</v>
      </c>
      <c r="AN209" s="48">
        <f t="shared" si="118"/>
        <v>0</v>
      </c>
      <c r="AO209" s="48">
        <f t="shared" si="119"/>
        <v>0</v>
      </c>
      <c r="AP209" s="48">
        <f t="shared" si="120"/>
        <v>0</v>
      </c>
      <c r="AQ209" s="48">
        <f t="shared" si="121"/>
        <v>0</v>
      </c>
      <c r="AR209" s="48">
        <f t="shared" si="122"/>
        <v>0</v>
      </c>
      <c r="AS209" s="48">
        <f t="shared" si="123"/>
        <v>0</v>
      </c>
      <c r="AT209" s="48">
        <f t="shared" si="124"/>
        <v>0</v>
      </c>
      <c r="AU209" s="48">
        <f t="shared" si="125"/>
        <v>0</v>
      </c>
      <c r="AV209" s="48">
        <f t="shared" si="126"/>
        <v>0</v>
      </c>
      <c r="AW209" s="48">
        <f>IF(N209="ПП",РПП*AB209*(V209/1.5),IF(N209="ВП",ВПр*AB209*(V209/1.5),IF(N209="РПА",РПА*AB209*(V209/1.5),IF(N209="КПА",кпа*AB209*(V209/1.5),0))))</f>
        <v>0</v>
      </c>
      <c r="AX209" s="48">
        <f t="shared" si="127"/>
        <v>0</v>
      </c>
      <c r="AY209" s="48">
        <f t="shared" si="128"/>
        <v>0</v>
      </c>
      <c r="AZ209" s="48">
        <f t="shared" si="129"/>
        <v>0</v>
      </c>
      <c r="BA209" s="48">
        <f t="shared" si="130"/>
        <v>0</v>
      </c>
      <c r="BB209" s="48">
        <f t="shared" si="131"/>
        <v>0</v>
      </c>
      <c r="BC209" s="48">
        <f t="shared" si="132"/>
        <v>0</v>
      </c>
      <c r="BD209" s="48">
        <f t="shared" si="133"/>
        <v>0</v>
      </c>
      <c r="BE209" s="48">
        <f t="shared" si="134"/>
        <v>0</v>
      </c>
      <c r="BF209" s="49">
        <f t="shared" si="135"/>
        <v>0</v>
      </c>
      <c r="BG209" s="50"/>
      <c r="BH209" s="51">
        <f t="shared" si="136"/>
        <v>0</v>
      </c>
      <c r="BI209" s="51">
        <f t="shared" si="137"/>
        <v>0</v>
      </c>
      <c r="BJ209" s="51">
        <f t="shared" si="138"/>
        <v>0</v>
      </c>
      <c r="BK209" s="52">
        <f t="shared" si="139"/>
        <v>0</v>
      </c>
      <c r="BL209" s="52">
        <f t="shared" si="140"/>
        <v>0</v>
      </c>
      <c r="BM209" s="52">
        <f t="shared" si="141"/>
        <v>0</v>
      </c>
    </row>
    <row r="210" spans="1:65" ht="30" customHeight="1" x14ac:dyDescent="0.25">
      <c r="A210" s="31" t="str">
        <f t="shared" si="107"/>
        <v>Д</v>
      </c>
      <c r="B210" s="31" t="str">
        <f t="shared" si="108"/>
        <v>Б</v>
      </c>
      <c r="C210" s="32" t="s">
        <v>186</v>
      </c>
      <c r="D210" s="33" t="str">
        <f t="shared" si="109"/>
        <v>Факультет физико-математических и естественных наук</v>
      </c>
      <c r="E210" s="34" t="str">
        <f t="shared" si="110"/>
        <v>'02.03.00</v>
      </c>
      <c r="F210" s="35" t="str">
        <f t="shared" si="111"/>
        <v>Компьютерные и информационные науки (УГСН)</v>
      </c>
      <c r="G210" s="36" t="s">
        <v>76</v>
      </c>
      <c r="H210" s="36" t="s">
        <v>183</v>
      </c>
      <c r="I210" s="37"/>
      <c r="J210" s="37"/>
      <c r="K210" s="38" t="s">
        <v>103</v>
      </c>
      <c r="L210" s="39">
        <v>2</v>
      </c>
      <c r="M210" s="39">
        <v>18</v>
      </c>
      <c r="N210" s="40" t="s">
        <v>94</v>
      </c>
      <c r="O210" s="39"/>
      <c r="P210" s="39">
        <v>2</v>
      </c>
      <c r="Q210" s="39"/>
      <c r="R210" s="40"/>
      <c r="S210" s="41"/>
      <c r="T210" s="41"/>
      <c r="U210" s="41"/>
      <c r="V210" s="41"/>
      <c r="W210" s="41"/>
      <c r="X210" s="42" t="str">
        <f t="shared" si="112"/>
        <v>НКАбд</v>
      </c>
      <c r="Y210" s="43" t="s">
        <v>192</v>
      </c>
      <c r="Z210" s="39">
        <v>1</v>
      </c>
      <c r="AA210" s="39">
        <v>1</v>
      </c>
      <c r="AB210" s="42">
        <f t="shared" si="113"/>
        <v>25</v>
      </c>
      <c r="AC210" s="39">
        <v>16</v>
      </c>
      <c r="AD210" s="39">
        <v>9</v>
      </c>
      <c r="AE210" s="44">
        <f t="shared" si="114"/>
        <v>12</v>
      </c>
      <c r="AF210" s="45">
        <f t="shared" si="115"/>
        <v>1</v>
      </c>
      <c r="AG210" s="45">
        <f t="shared" si="116"/>
        <v>2.0833333333333335</v>
      </c>
      <c r="AH210" s="46" t="s">
        <v>82</v>
      </c>
      <c r="AI210" s="40" t="s">
        <v>99</v>
      </c>
      <c r="AJ210" s="40" t="s">
        <v>116</v>
      </c>
      <c r="AK210" s="47" t="s">
        <v>123</v>
      </c>
      <c r="AL210" s="40"/>
      <c r="AM210" s="48">
        <f t="shared" si="117"/>
        <v>0</v>
      </c>
      <c r="AN210" s="48">
        <f t="shared" si="118"/>
        <v>0</v>
      </c>
      <c r="AO210" s="48">
        <f t="shared" si="119"/>
        <v>36</v>
      </c>
      <c r="AP210" s="48">
        <f t="shared" si="120"/>
        <v>0</v>
      </c>
      <c r="AQ210" s="48">
        <f t="shared" si="121"/>
        <v>0</v>
      </c>
      <c r="AR210" s="48">
        <f t="shared" si="122"/>
        <v>0</v>
      </c>
      <c r="AS210" s="48">
        <f t="shared" si="123"/>
        <v>0</v>
      </c>
      <c r="AT210" s="48">
        <f t="shared" si="124"/>
        <v>0</v>
      </c>
      <c r="AU210" s="48">
        <f t="shared" si="125"/>
        <v>0</v>
      </c>
      <c r="AV210" s="48">
        <f t="shared" si="126"/>
        <v>0</v>
      </c>
      <c r="AW210" s="48">
        <f>IF(N210="ПП",РПП*AB210*(V210/1.5),IF(N210="ВП",ВПр*AB210*(V210/1.5),IF(N210="РПА",РПА*AB210*(V210/1.5),IF(N210="КПА",кпа*AB210*(V210/1.5),0))))</f>
        <v>0</v>
      </c>
      <c r="AX210" s="48">
        <f t="shared" si="127"/>
        <v>0</v>
      </c>
      <c r="AY210" s="48">
        <f t="shared" si="128"/>
        <v>0</v>
      </c>
      <c r="AZ210" s="48">
        <f t="shared" si="129"/>
        <v>0</v>
      </c>
      <c r="BA210" s="48">
        <f t="shared" si="130"/>
        <v>0</v>
      </c>
      <c r="BB210" s="48">
        <f t="shared" si="131"/>
        <v>0</v>
      </c>
      <c r="BC210" s="48">
        <f t="shared" si="132"/>
        <v>0</v>
      </c>
      <c r="BD210" s="48">
        <f t="shared" si="133"/>
        <v>0</v>
      </c>
      <c r="BE210" s="48">
        <f t="shared" si="134"/>
        <v>0</v>
      </c>
      <c r="BF210" s="49">
        <f t="shared" si="135"/>
        <v>36</v>
      </c>
      <c r="BG210" s="50"/>
      <c r="BH210" s="51">
        <f t="shared" si="136"/>
        <v>0</v>
      </c>
      <c r="BI210" s="51">
        <f t="shared" si="137"/>
        <v>0</v>
      </c>
      <c r="BJ210" s="51">
        <f t="shared" si="138"/>
        <v>0</v>
      </c>
      <c r="BK210" s="52">
        <f t="shared" si="139"/>
        <v>36</v>
      </c>
      <c r="BL210" s="52">
        <f t="shared" si="140"/>
        <v>1</v>
      </c>
      <c r="BM210" s="52">
        <f t="shared" si="141"/>
        <v>0</v>
      </c>
    </row>
    <row r="211" spans="1:65" ht="30" customHeight="1" x14ac:dyDescent="0.25">
      <c r="A211" s="31" t="str">
        <f t="shared" si="107"/>
        <v>Д</v>
      </c>
      <c r="B211" s="31" t="str">
        <f t="shared" si="108"/>
        <v>Б</v>
      </c>
      <c r="C211" s="32" t="s">
        <v>186</v>
      </c>
      <c r="D211" s="33" t="str">
        <f t="shared" si="109"/>
        <v>Факультет физико-математических и естественных наук</v>
      </c>
      <c r="E211" s="34" t="str">
        <f t="shared" si="110"/>
        <v>'02.03.00</v>
      </c>
      <c r="F211" s="35" t="str">
        <f t="shared" si="111"/>
        <v>Компьютерные и информационные науки (УГСН)</v>
      </c>
      <c r="G211" s="36" t="s">
        <v>76</v>
      </c>
      <c r="H211" s="36" t="s">
        <v>183</v>
      </c>
      <c r="I211" s="37"/>
      <c r="J211" s="37"/>
      <c r="K211" s="38" t="s">
        <v>103</v>
      </c>
      <c r="L211" s="39">
        <v>2</v>
      </c>
      <c r="M211" s="39">
        <v>18</v>
      </c>
      <c r="N211" s="40" t="s">
        <v>94</v>
      </c>
      <c r="O211" s="39"/>
      <c r="P211" s="39">
        <v>2</v>
      </c>
      <c r="Q211" s="39"/>
      <c r="R211" s="40"/>
      <c r="S211" s="41"/>
      <c r="T211" s="41"/>
      <c r="U211" s="41"/>
      <c r="V211" s="41"/>
      <c r="W211" s="41"/>
      <c r="X211" s="42" t="str">
        <f t="shared" si="112"/>
        <v>НКАбд</v>
      </c>
      <c r="Y211" s="43" t="s">
        <v>192</v>
      </c>
      <c r="Z211" s="39">
        <v>1</v>
      </c>
      <c r="AA211" s="39">
        <v>1</v>
      </c>
      <c r="AB211" s="42">
        <f t="shared" si="113"/>
        <v>0</v>
      </c>
      <c r="AC211" s="39"/>
      <c r="AD211" s="39"/>
      <c r="AE211" s="44">
        <f t="shared" si="114"/>
        <v>12</v>
      </c>
      <c r="AF211" s="45">
        <f t="shared" si="115"/>
        <v>0</v>
      </c>
      <c r="AG211" s="45">
        <f t="shared" si="116"/>
        <v>0</v>
      </c>
      <c r="AH211" s="46" t="s">
        <v>82</v>
      </c>
      <c r="AI211" s="40" t="s">
        <v>99</v>
      </c>
      <c r="AJ211" s="40" t="s">
        <v>116</v>
      </c>
      <c r="AK211" s="47" t="s">
        <v>123</v>
      </c>
      <c r="AL211" s="40"/>
      <c r="AM211" s="48">
        <f t="shared" si="117"/>
        <v>0</v>
      </c>
      <c r="AN211" s="48">
        <f t="shared" si="118"/>
        <v>0</v>
      </c>
      <c r="AO211" s="48">
        <f t="shared" si="119"/>
        <v>0</v>
      </c>
      <c r="AP211" s="48">
        <f t="shared" si="120"/>
        <v>0</v>
      </c>
      <c r="AQ211" s="48">
        <f t="shared" si="121"/>
        <v>0</v>
      </c>
      <c r="AR211" s="48">
        <f t="shared" si="122"/>
        <v>0</v>
      </c>
      <c r="AS211" s="48">
        <f t="shared" si="123"/>
        <v>0</v>
      </c>
      <c r="AT211" s="48">
        <f t="shared" si="124"/>
        <v>0</v>
      </c>
      <c r="AU211" s="48">
        <f t="shared" si="125"/>
        <v>0</v>
      </c>
      <c r="AV211" s="48">
        <f t="shared" si="126"/>
        <v>0</v>
      </c>
      <c r="AW211" s="48">
        <f>IF(N211="ПП",РПП*AB211*(V211/1.5),IF(N211="ВП",ВПр*AB211*(V211/1.5),IF(N211="РПА",РПА*AB211*(V211/1.5),IF(N211="КПА",кпа*AB211*(V211/1.5),0))))</f>
        <v>0</v>
      </c>
      <c r="AX211" s="48">
        <f t="shared" si="127"/>
        <v>0</v>
      </c>
      <c r="AY211" s="48">
        <f t="shared" si="128"/>
        <v>0</v>
      </c>
      <c r="AZ211" s="48">
        <f t="shared" si="129"/>
        <v>0</v>
      </c>
      <c r="BA211" s="48">
        <f t="shared" si="130"/>
        <v>0</v>
      </c>
      <c r="BB211" s="48">
        <f t="shared" si="131"/>
        <v>0</v>
      </c>
      <c r="BC211" s="48">
        <f t="shared" si="132"/>
        <v>0</v>
      </c>
      <c r="BD211" s="48">
        <f t="shared" si="133"/>
        <v>0</v>
      </c>
      <c r="BE211" s="48">
        <f t="shared" si="134"/>
        <v>0</v>
      </c>
      <c r="BF211" s="49">
        <f t="shared" si="135"/>
        <v>0</v>
      </c>
      <c r="BG211" s="50"/>
      <c r="BH211" s="51">
        <f t="shared" si="136"/>
        <v>0</v>
      </c>
      <c r="BI211" s="51">
        <f t="shared" si="137"/>
        <v>0</v>
      </c>
      <c r="BJ211" s="51">
        <f t="shared" si="138"/>
        <v>0</v>
      </c>
      <c r="BK211" s="52">
        <f t="shared" si="139"/>
        <v>0</v>
      </c>
      <c r="BL211" s="52">
        <f t="shared" si="140"/>
        <v>0</v>
      </c>
      <c r="BM211" s="52">
        <f t="shared" si="141"/>
        <v>0</v>
      </c>
    </row>
    <row r="212" spans="1:65" ht="30" customHeight="1" x14ac:dyDescent="0.25">
      <c r="A212" s="31" t="str">
        <f t="shared" si="107"/>
        <v>Д</v>
      </c>
      <c r="B212" s="31" t="str">
        <f t="shared" si="108"/>
        <v>Б</v>
      </c>
      <c r="C212" s="32" t="s">
        <v>186</v>
      </c>
      <c r="D212" s="33" t="str">
        <f t="shared" si="109"/>
        <v>Факультет физико-математических и естественных наук</v>
      </c>
      <c r="E212" s="34" t="str">
        <f t="shared" si="110"/>
        <v>'02.03.00</v>
      </c>
      <c r="F212" s="35" t="str">
        <f t="shared" si="111"/>
        <v>Компьютерные и информационные науки (УГСН)</v>
      </c>
      <c r="G212" s="36" t="s">
        <v>76</v>
      </c>
      <c r="H212" s="36" t="s">
        <v>183</v>
      </c>
      <c r="I212" s="37"/>
      <c r="J212" s="37"/>
      <c r="K212" s="38" t="s">
        <v>193</v>
      </c>
      <c r="L212" s="39">
        <v>3</v>
      </c>
      <c r="M212" s="39">
        <v>18</v>
      </c>
      <c r="N212" s="40" t="s">
        <v>79</v>
      </c>
      <c r="O212" s="39">
        <v>1</v>
      </c>
      <c r="P212" s="39"/>
      <c r="Q212" s="39"/>
      <c r="R212" s="40" t="s">
        <v>80</v>
      </c>
      <c r="S212" s="41"/>
      <c r="T212" s="41"/>
      <c r="U212" s="41"/>
      <c r="V212" s="41"/>
      <c r="W212" s="41"/>
      <c r="X212" s="42" t="str">
        <f t="shared" si="112"/>
        <v>НКАбд</v>
      </c>
      <c r="Y212" s="39" t="s">
        <v>194</v>
      </c>
      <c r="Z212" s="39">
        <v>10</v>
      </c>
      <c r="AA212" s="39">
        <v>5</v>
      </c>
      <c r="AB212" s="42">
        <f t="shared" si="113"/>
        <v>129</v>
      </c>
      <c r="AC212" s="39">
        <v>82</v>
      </c>
      <c r="AD212" s="39">
        <v>47</v>
      </c>
      <c r="AE212" s="44">
        <f t="shared" si="114"/>
        <v>129</v>
      </c>
      <c r="AF212" s="45">
        <f t="shared" si="115"/>
        <v>1</v>
      </c>
      <c r="AG212" s="45">
        <f t="shared" si="116"/>
        <v>1</v>
      </c>
      <c r="AH212" s="46" t="s">
        <v>82</v>
      </c>
      <c r="AI212" s="40" t="s">
        <v>83</v>
      </c>
      <c r="AJ212" s="40" t="s">
        <v>84</v>
      </c>
      <c r="AK212" s="47" t="s">
        <v>97</v>
      </c>
      <c r="AL212" s="40"/>
      <c r="AM212" s="48">
        <f t="shared" si="117"/>
        <v>18</v>
      </c>
      <c r="AN212" s="48">
        <f t="shared" si="118"/>
        <v>0</v>
      </c>
      <c r="AO212" s="48">
        <f t="shared" si="119"/>
        <v>0</v>
      </c>
      <c r="AP212" s="48">
        <f t="shared" si="120"/>
        <v>42.57</v>
      </c>
      <c r="AQ212" s="48">
        <f t="shared" si="121"/>
        <v>64.5</v>
      </c>
      <c r="AR212" s="48">
        <f t="shared" si="122"/>
        <v>5</v>
      </c>
      <c r="AS212" s="48">
        <f t="shared" si="123"/>
        <v>4.5</v>
      </c>
      <c r="AT212" s="48">
        <f t="shared" si="124"/>
        <v>0</v>
      </c>
      <c r="AU212" s="48">
        <f t="shared" si="125"/>
        <v>0</v>
      </c>
      <c r="AV212" s="48">
        <f t="shared" si="126"/>
        <v>0</v>
      </c>
      <c r="AW212" s="48">
        <f>IF(N212="ПП",РПП*AB212*(V212/1.5),IF(N212="ВП",ВПр*AB212*(V212/1.5),IF(N212="РПА",РПА*AB212*(V212/1.5),IF(N212="КПА",кпа*AB212*(V212/1.5),0))))</f>
        <v>0</v>
      </c>
      <c r="AX212" s="48">
        <f t="shared" si="127"/>
        <v>0</v>
      </c>
      <c r="AY212" s="48">
        <f t="shared" si="128"/>
        <v>0</v>
      </c>
      <c r="AZ212" s="48">
        <f t="shared" si="129"/>
        <v>0</v>
      </c>
      <c r="BA212" s="48">
        <f t="shared" si="130"/>
        <v>0</v>
      </c>
      <c r="BB212" s="48">
        <f t="shared" si="131"/>
        <v>0</v>
      </c>
      <c r="BC212" s="48">
        <f t="shared" si="132"/>
        <v>0</v>
      </c>
      <c r="BD212" s="48">
        <f t="shared" si="133"/>
        <v>0</v>
      </c>
      <c r="BE212" s="48">
        <f t="shared" si="134"/>
        <v>0</v>
      </c>
      <c r="BF212" s="49">
        <f t="shared" si="135"/>
        <v>134.57</v>
      </c>
      <c r="BG212" s="50"/>
      <c r="BH212" s="51">
        <f t="shared" si="136"/>
        <v>18</v>
      </c>
      <c r="BI212" s="51">
        <f t="shared" si="137"/>
        <v>0.5</v>
      </c>
      <c r="BJ212" s="51">
        <f t="shared" si="138"/>
        <v>116.57</v>
      </c>
      <c r="BK212" s="52">
        <f t="shared" si="139"/>
        <v>0</v>
      </c>
      <c r="BL212" s="52">
        <f t="shared" si="140"/>
        <v>0</v>
      </c>
      <c r="BM212" s="52">
        <f t="shared" si="141"/>
        <v>0</v>
      </c>
    </row>
    <row r="213" spans="1:65" ht="30" customHeight="1" x14ac:dyDescent="0.25">
      <c r="A213" s="31" t="str">
        <f t="shared" si="107"/>
        <v>Д</v>
      </c>
      <c r="B213" s="31" t="str">
        <f t="shared" si="108"/>
        <v>Б</v>
      </c>
      <c r="C213" s="32" t="s">
        <v>186</v>
      </c>
      <c r="D213" s="33" t="str">
        <f t="shared" si="109"/>
        <v>Факультет физико-математических и естественных наук</v>
      </c>
      <c r="E213" s="34" t="str">
        <f t="shared" si="110"/>
        <v>'02.03.00</v>
      </c>
      <c r="F213" s="35" t="str">
        <f t="shared" si="111"/>
        <v>Компьютерные и информационные науки (УГСН)</v>
      </c>
      <c r="G213" s="36" t="s">
        <v>76</v>
      </c>
      <c r="H213" s="36" t="s">
        <v>183</v>
      </c>
      <c r="I213" s="37"/>
      <c r="J213" s="37"/>
      <c r="K213" s="38" t="s">
        <v>193</v>
      </c>
      <c r="L213" s="39">
        <v>3</v>
      </c>
      <c r="M213" s="39">
        <v>18</v>
      </c>
      <c r="N213" s="40" t="s">
        <v>94</v>
      </c>
      <c r="O213" s="39"/>
      <c r="P213" s="39">
        <v>2</v>
      </c>
      <c r="Q213" s="39"/>
      <c r="R213" s="40"/>
      <c r="S213" s="41"/>
      <c r="T213" s="41"/>
      <c r="U213" s="41"/>
      <c r="V213" s="41"/>
      <c r="W213" s="41"/>
      <c r="X213" s="42" t="str">
        <f t="shared" si="112"/>
        <v>НКАбд</v>
      </c>
      <c r="Y213" s="39" t="s">
        <v>107</v>
      </c>
      <c r="Z213" s="39">
        <v>1</v>
      </c>
      <c r="AA213" s="39">
        <v>1</v>
      </c>
      <c r="AB213" s="42">
        <f t="shared" si="113"/>
        <v>26</v>
      </c>
      <c r="AC213" s="39">
        <v>17</v>
      </c>
      <c r="AD213" s="39">
        <v>9</v>
      </c>
      <c r="AE213" s="44">
        <f t="shared" si="114"/>
        <v>12</v>
      </c>
      <c r="AF213" s="45">
        <f t="shared" si="115"/>
        <v>1</v>
      </c>
      <c r="AG213" s="45">
        <f t="shared" si="116"/>
        <v>2.1666666666666665</v>
      </c>
      <c r="AH213" s="46" t="s">
        <v>82</v>
      </c>
      <c r="AI213" s="40" t="s">
        <v>83</v>
      </c>
      <c r="AJ213" s="40" t="s">
        <v>84</v>
      </c>
      <c r="AK213" s="47" t="s">
        <v>97</v>
      </c>
      <c r="AL213" s="40"/>
      <c r="AM213" s="48">
        <f t="shared" si="117"/>
        <v>0</v>
      </c>
      <c r="AN213" s="48">
        <f t="shared" si="118"/>
        <v>0</v>
      </c>
      <c r="AO213" s="48">
        <f t="shared" si="119"/>
        <v>36</v>
      </c>
      <c r="AP213" s="48">
        <f t="shared" si="120"/>
        <v>0</v>
      </c>
      <c r="AQ213" s="48">
        <f t="shared" si="121"/>
        <v>0</v>
      </c>
      <c r="AR213" s="48">
        <f t="shared" si="122"/>
        <v>0</v>
      </c>
      <c r="AS213" s="48">
        <f t="shared" si="123"/>
        <v>0</v>
      </c>
      <c r="AT213" s="48">
        <f t="shared" si="124"/>
        <v>0</v>
      </c>
      <c r="AU213" s="48">
        <f t="shared" si="125"/>
        <v>0</v>
      </c>
      <c r="AV213" s="48">
        <f t="shared" si="126"/>
        <v>0</v>
      </c>
      <c r="AW213" s="48">
        <f>IF(N213="ПП",РПП*AB213*(V213/1.5),IF(N213="ВП",ВПр*AB213*(V213/1.5),IF(N213="РПА",РПА*AB213*(V213/1.5),IF(N213="КПА",кпа*AB213*(V213/1.5),0))))</f>
        <v>0</v>
      </c>
      <c r="AX213" s="48">
        <f t="shared" si="127"/>
        <v>0</v>
      </c>
      <c r="AY213" s="48">
        <f t="shared" si="128"/>
        <v>0</v>
      </c>
      <c r="AZ213" s="48">
        <f t="shared" si="129"/>
        <v>0</v>
      </c>
      <c r="BA213" s="48">
        <f t="shared" si="130"/>
        <v>0</v>
      </c>
      <c r="BB213" s="48">
        <f t="shared" si="131"/>
        <v>0</v>
      </c>
      <c r="BC213" s="48">
        <f t="shared" si="132"/>
        <v>0</v>
      </c>
      <c r="BD213" s="48">
        <f t="shared" si="133"/>
        <v>0</v>
      </c>
      <c r="BE213" s="48">
        <f t="shared" si="134"/>
        <v>0</v>
      </c>
      <c r="BF213" s="49">
        <f t="shared" si="135"/>
        <v>36</v>
      </c>
      <c r="BG213" s="50"/>
      <c r="BH213" s="51">
        <f t="shared" si="136"/>
        <v>36</v>
      </c>
      <c r="BI213" s="51">
        <f t="shared" si="137"/>
        <v>1</v>
      </c>
      <c r="BJ213" s="51">
        <f t="shared" si="138"/>
        <v>0</v>
      </c>
      <c r="BK213" s="52">
        <f t="shared" si="139"/>
        <v>0</v>
      </c>
      <c r="BL213" s="52">
        <f t="shared" si="140"/>
        <v>0</v>
      </c>
      <c r="BM213" s="52">
        <f t="shared" si="141"/>
        <v>0</v>
      </c>
    </row>
    <row r="214" spans="1:65" ht="30" customHeight="1" x14ac:dyDescent="0.25">
      <c r="A214" s="31" t="str">
        <f t="shared" si="107"/>
        <v>Д</v>
      </c>
      <c r="B214" s="31" t="str">
        <f t="shared" si="108"/>
        <v>Б</v>
      </c>
      <c r="C214" s="32" t="s">
        <v>186</v>
      </c>
      <c r="D214" s="33" t="str">
        <f t="shared" si="109"/>
        <v>Факультет физико-математических и естественных наук</v>
      </c>
      <c r="E214" s="34" t="str">
        <f t="shared" si="110"/>
        <v>'02.03.00</v>
      </c>
      <c r="F214" s="35" t="str">
        <f t="shared" si="111"/>
        <v>Компьютерные и информационные науки (УГСН)</v>
      </c>
      <c r="G214" s="36" t="s">
        <v>76</v>
      </c>
      <c r="H214" s="36" t="s">
        <v>183</v>
      </c>
      <c r="I214" s="37"/>
      <c r="J214" s="37"/>
      <c r="K214" s="38" t="s">
        <v>193</v>
      </c>
      <c r="L214" s="39">
        <v>3</v>
      </c>
      <c r="M214" s="39">
        <v>18</v>
      </c>
      <c r="N214" s="40" t="s">
        <v>94</v>
      </c>
      <c r="O214" s="39"/>
      <c r="P214" s="39">
        <v>2</v>
      </c>
      <c r="Q214" s="39"/>
      <c r="R214" s="40"/>
      <c r="S214" s="41"/>
      <c r="T214" s="41"/>
      <c r="U214" s="41"/>
      <c r="V214" s="41"/>
      <c r="W214" s="41"/>
      <c r="X214" s="42" t="str">
        <f t="shared" si="112"/>
        <v>НКАбд</v>
      </c>
      <c r="Y214" s="39" t="s">
        <v>107</v>
      </c>
      <c r="Z214" s="39">
        <v>1</v>
      </c>
      <c r="AA214" s="39">
        <v>1</v>
      </c>
      <c r="AB214" s="42">
        <f t="shared" si="113"/>
        <v>0</v>
      </c>
      <c r="AC214" s="39"/>
      <c r="AD214" s="39"/>
      <c r="AE214" s="44">
        <f t="shared" si="114"/>
        <v>12</v>
      </c>
      <c r="AF214" s="45">
        <f t="shared" si="115"/>
        <v>0</v>
      </c>
      <c r="AG214" s="45">
        <f t="shared" si="116"/>
        <v>0</v>
      </c>
      <c r="AH214" s="46" t="s">
        <v>82</v>
      </c>
      <c r="AI214" s="40" t="s">
        <v>83</v>
      </c>
      <c r="AJ214" s="40" t="s">
        <v>84</v>
      </c>
      <c r="AK214" s="47" t="s">
        <v>97</v>
      </c>
      <c r="AL214" s="40"/>
      <c r="AM214" s="48">
        <f t="shared" si="117"/>
        <v>0</v>
      </c>
      <c r="AN214" s="48">
        <f t="shared" si="118"/>
        <v>0</v>
      </c>
      <c r="AO214" s="48">
        <f t="shared" si="119"/>
        <v>0</v>
      </c>
      <c r="AP214" s="48">
        <f t="shared" si="120"/>
        <v>0</v>
      </c>
      <c r="AQ214" s="48">
        <f t="shared" si="121"/>
        <v>0</v>
      </c>
      <c r="AR214" s="48">
        <f t="shared" si="122"/>
        <v>0</v>
      </c>
      <c r="AS214" s="48">
        <f t="shared" si="123"/>
        <v>0</v>
      </c>
      <c r="AT214" s="48">
        <f t="shared" si="124"/>
        <v>0</v>
      </c>
      <c r="AU214" s="48">
        <f t="shared" si="125"/>
        <v>0</v>
      </c>
      <c r="AV214" s="48">
        <f t="shared" si="126"/>
        <v>0</v>
      </c>
      <c r="AW214" s="48">
        <f>IF(N214="ПП",РПП*AB214*(V214/1.5),IF(N214="ВП",ВПр*AB214*(V214/1.5),IF(N214="РПА",РПА*AB214*(V214/1.5),IF(N214="КПА",кпа*AB214*(V214/1.5),0))))</f>
        <v>0</v>
      </c>
      <c r="AX214" s="48">
        <f t="shared" si="127"/>
        <v>0</v>
      </c>
      <c r="AY214" s="48">
        <f t="shared" si="128"/>
        <v>0</v>
      </c>
      <c r="AZ214" s="48">
        <f t="shared" si="129"/>
        <v>0</v>
      </c>
      <c r="BA214" s="48">
        <f t="shared" si="130"/>
        <v>0</v>
      </c>
      <c r="BB214" s="48">
        <f t="shared" si="131"/>
        <v>0</v>
      </c>
      <c r="BC214" s="48">
        <f t="shared" si="132"/>
        <v>0</v>
      </c>
      <c r="BD214" s="48">
        <f t="shared" si="133"/>
        <v>0</v>
      </c>
      <c r="BE214" s="48">
        <f t="shared" si="134"/>
        <v>0</v>
      </c>
      <c r="BF214" s="49">
        <f t="shared" si="135"/>
        <v>0</v>
      </c>
      <c r="BG214" s="50"/>
      <c r="BH214" s="51">
        <f t="shared" si="136"/>
        <v>0</v>
      </c>
      <c r="BI214" s="51">
        <f t="shared" si="137"/>
        <v>0</v>
      </c>
      <c r="BJ214" s="51">
        <f t="shared" si="138"/>
        <v>0</v>
      </c>
      <c r="BK214" s="52">
        <f t="shared" si="139"/>
        <v>0</v>
      </c>
      <c r="BL214" s="52">
        <f t="shared" si="140"/>
        <v>0</v>
      </c>
      <c r="BM214" s="52">
        <f t="shared" si="141"/>
        <v>0</v>
      </c>
    </row>
    <row r="215" spans="1:65" ht="30" customHeight="1" x14ac:dyDescent="0.25">
      <c r="A215" s="31" t="str">
        <f t="shared" si="107"/>
        <v>Д</v>
      </c>
      <c r="B215" s="31" t="str">
        <f t="shared" si="108"/>
        <v>Б</v>
      </c>
      <c r="C215" s="32" t="s">
        <v>186</v>
      </c>
      <c r="D215" s="33" t="str">
        <f t="shared" si="109"/>
        <v>Факультет физико-математических и естественных наук</v>
      </c>
      <c r="E215" s="34" t="str">
        <f t="shared" si="110"/>
        <v>'02.03.00</v>
      </c>
      <c r="F215" s="35" t="str">
        <f t="shared" si="111"/>
        <v>Компьютерные и информационные науки (УГСН)</v>
      </c>
      <c r="G215" s="36" t="s">
        <v>76</v>
      </c>
      <c r="H215" s="36" t="s">
        <v>183</v>
      </c>
      <c r="I215" s="37"/>
      <c r="J215" s="37"/>
      <c r="K215" s="38" t="s">
        <v>193</v>
      </c>
      <c r="L215" s="39">
        <v>3</v>
      </c>
      <c r="M215" s="39">
        <v>18</v>
      </c>
      <c r="N215" s="40" t="s">
        <v>94</v>
      </c>
      <c r="O215" s="39"/>
      <c r="P215" s="39">
        <v>2</v>
      </c>
      <c r="Q215" s="39"/>
      <c r="R215" s="40"/>
      <c r="S215" s="41"/>
      <c r="T215" s="41"/>
      <c r="U215" s="41"/>
      <c r="V215" s="41"/>
      <c r="W215" s="41"/>
      <c r="X215" s="42" t="str">
        <f t="shared" si="112"/>
        <v>НКАбд</v>
      </c>
      <c r="Y215" s="39" t="s">
        <v>108</v>
      </c>
      <c r="Z215" s="39">
        <v>1</v>
      </c>
      <c r="AA215" s="39">
        <v>1</v>
      </c>
      <c r="AB215" s="42">
        <f t="shared" si="113"/>
        <v>26</v>
      </c>
      <c r="AC215" s="39">
        <v>17</v>
      </c>
      <c r="AD215" s="39">
        <v>9</v>
      </c>
      <c r="AE215" s="44">
        <f t="shared" si="114"/>
        <v>12</v>
      </c>
      <c r="AF215" s="45">
        <f t="shared" si="115"/>
        <v>1</v>
      </c>
      <c r="AG215" s="45">
        <f t="shared" si="116"/>
        <v>2.1666666666666665</v>
      </c>
      <c r="AH215" s="46" t="s">
        <v>82</v>
      </c>
      <c r="AI215" s="40" t="s">
        <v>99</v>
      </c>
      <c r="AJ215" s="40" t="s">
        <v>100</v>
      </c>
      <c r="AK215" s="47" t="s">
        <v>195</v>
      </c>
      <c r="AL215" s="40"/>
      <c r="AM215" s="48">
        <f t="shared" si="117"/>
        <v>0</v>
      </c>
      <c r="AN215" s="48">
        <f t="shared" si="118"/>
        <v>0</v>
      </c>
      <c r="AO215" s="48">
        <f t="shared" si="119"/>
        <v>36</v>
      </c>
      <c r="AP215" s="48">
        <f t="shared" si="120"/>
        <v>0</v>
      </c>
      <c r="AQ215" s="48">
        <f t="shared" si="121"/>
        <v>0</v>
      </c>
      <c r="AR215" s="48">
        <f t="shared" si="122"/>
        <v>0</v>
      </c>
      <c r="AS215" s="48">
        <f t="shared" si="123"/>
        <v>0</v>
      </c>
      <c r="AT215" s="48">
        <f t="shared" si="124"/>
        <v>0</v>
      </c>
      <c r="AU215" s="48">
        <f t="shared" si="125"/>
        <v>0</v>
      </c>
      <c r="AV215" s="48">
        <f t="shared" si="126"/>
        <v>0</v>
      </c>
      <c r="AW215" s="48">
        <f>IF(N215="ПП",РПП*AB215*(V215/1.5),IF(N215="ВП",ВПр*AB215*(V215/1.5),IF(N215="РПА",РПА*AB215*(V215/1.5),IF(N215="КПА",кпа*AB215*(V215/1.5),0))))</f>
        <v>0</v>
      </c>
      <c r="AX215" s="48">
        <f t="shared" si="127"/>
        <v>0</v>
      </c>
      <c r="AY215" s="48">
        <f t="shared" si="128"/>
        <v>0</v>
      </c>
      <c r="AZ215" s="48">
        <f t="shared" si="129"/>
        <v>0</v>
      </c>
      <c r="BA215" s="48">
        <f t="shared" si="130"/>
        <v>0</v>
      </c>
      <c r="BB215" s="48">
        <f t="shared" si="131"/>
        <v>0</v>
      </c>
      <c r="BC215" s="48">
        <f t="shared" si="132"/>
        <v>0</v>
      </c>
      <c r="BD215" s="48">
        <f t="shared" si="133"/>
        <v>0</v>
      </c>
      <c r="BE215" s="48">
        <f t="shared" si="134"/>
        <v>0</v>
      </c>
      <c r="BF215" s="49">
        <f t="shared" si="135"/>
        <v>36</v>
      </c>
      <c r="BG215" s="50"/>
      <c r="BH215" s="51">
        <f t="shared" si="136"/>
        <v>36</v>
      </c>
      <c r="BI215" s="51">
        <f t="shared" si="137"/>
        <v>1</v>
      </c>
      <c r="BJ215" s="51">
        <f t="shared" si="138"/>
        <v>0</v>
      </c>
      <c r="BK215" s="52">
        <f t="shared" si="139"/>
        <v>0</v>
      </c>
      <c r="BL215" s="52">
        <f t="shared" si="140"/>
        <v>0</v>
      </c>
      <c r="BM215" s="52">
        <f t="shared" si="141"/>
        <v>0</v>
      </c>
    </row>
    <row r="216" spans="1:65" ht="30" customHeight="1" x14ac:dyDescent="0.25">
      <c r="A216" s="31" t="str">
        <f t="shared" si="107"/>
        <v>Д</v>
      </c>
      <c r="B216" s="31" t="str">
        <f t="shared" si="108"/>
        <v>Б</v>
      </c>
      <c r="C216" s="32" t="s">
        <v>186</v>
      </c>
      <c r="D216" s="33" t="str">
        <f t="shared" si="109"/>
        <v>Факультет физико-математических и естественных наук</v>
      </c>
      <c r="E216" s="34" t="str">
        <f t="shared" si="110"/>
        <v>'02.03.00</v>
      </c>
      <c r="F216" s="35" t="str">
        <f t="shared" si="111"/>
        <v>Компьютерные и информационные науки (УГСН)</v>
      </c>
      <c r="G216" s="36" t="s">
        <v>76</v>
      </c>
      <c r="H216" s="36" t="s">
        <v>183</v>
      </c>
      <c r="I216" s="37"/>
      <c r="J216" s="37"/>
      <c r="K216" s="38" t="s">
        <v>193</v>
      </c>
      <c r="L216" s="39">
        <v>3</v>
      </c>
      <c r="M216" s="39">
        <v>18</v>
      </c>
      <c r="N216" s="40" t="s">
        <v>94</v>
      </c>
      <c r="O216" s="39"/>
      <c r="P216" s="39">
        <v>2</v>
      </c>
      <c r="Q216" s="39"/>
      <c r="R216" s="40"/>
      <c r="S216" s="41"/>
      <c r="T216" s="41"/>
      <c r="U216" s="41"/>
      <c r="V216" s="41"/>
      <c r="W216" s="41"/>
      <c r="X216" s="42" t="str">
        <f t="shared" si="112"/>
        <v>НКАбд</v>
      </c>
      <c r="Y216" s="39" t="s">
        <v>108</v>
      </c>
      <c r="Z216" s="39">
        <v>1</v>
      </c>
      <c r="AA216" s="39">
        <v>1</v>
      </c>
      <c r="AB216" s="42">
        <f t="shared" si="113"/>
        <v>0</v>
      </c>
      <c r="AC216" s="39"/>
      <c r="AD216" s="39"/>
      <c r="AE216" s="44">
        <f t="shared" si="114"/>
        <v>12</v>
      </c>
      <c r="AF216" s="45">
        <f t="shared" si="115"/>
        <v>0</v>
      </c>
      <c r="AG216" s="45">
        <f t="shared" si="116"/>
        <v>0</v>
      </c>
      <c r="AH216" s="46" t="s">
        <v>82</v>
      </c>
      <c r="AI216" s="40" t="s">
        <v>99</v>
      </c>
      <c r="AJ216" s="40" t="s">
        <v>100</v>
      </c>
      <c r="AK216" s="47" t="s">
        <v>195</v>
      </c>
      <c r="AL216" s="40"/>
      <c r="AM216" s="48">
        <f t="shared" si="117"/>
        <v>0</v>
      </c>
      <c r="AN216" s="48">
        <f t="shared" si="118"/>
        <v>0</v>
      </c>
      <c r="AO216" s="48">
        <f t="shared" si="119"/>
        <v>0</v>
      </c>
      <c r="AP216" s="48">
        <f t="shared" si="120"/>
        <v>0</v>
      </c>
      <c r="AQ216" s="48">
        <f t="shared" si="121"/>
        <v>0</v>
      </c>
      <c r="AR216" s="48">
        <f t="shared" si="122"/>
        <v>0</v>
      </c>
      <c r="AS216" s="48">
        <f t="shared" si="123"/>
        <v>0</v>
      </c>
      <c r="AT216" s="48">
        <f t="shared" si="124"/>
        <v>0</v>
      </c>
      <c r="AU216" s="48">
        <f t="shared" si="125"/>
        <v>0</v>
      </c>
      <c r="AV216" s="48">
        <f t="shared" si="126"/>
        <v>0</v>
      </c>
      <c r="AW216" s="48">
        <f>IF(N216="ПП",РПП*AB216*(V216/1.5),IF(N216="ВП",ВПр*AB216*(V216/1.5),IF(N216="РПА",РПА*AB216*(V216/1.5),IF(N216="КПА",кпа*AB216*(V216/1.5),0))))</f>
        <v>0</v>
      </c>
      <c r="AX216" s="48">
        <f t="shared" si="127"/>
        <v>0</v>
      </c>
      <c r="AY216" s="48">
        <f t="shared" si="128"/>
        <v>0</v>
      </c>
      <c r="AZ216" s="48">
        <f t="shared" si="129"/>
        <v>0</v>
      </c>
      <c r="BA216" s="48">
        <f t="shared" si="130"/>
        <v>0</v>
      </c>
      <c r="BB216" s="48">
        <f t="shared" si="131"/>
        <v>0</v>
      </c>
      <c r="BC216" s="48">
        <f t="shared" si="132"/>
        <v>0</v>
      </c>
      <c r="BD216" s="48">
        <f t="shared" si="133"/>
        <v>0</v>
      </c>
      <c r="BE216" s="48">
        <f t="shared" si="134"/>
        <v>0</v>
      </c>
      <c r="BF216" s="49">
        <f t="shared" si="135"/>
        <v>0</v>
      </c>
      <c r="BG216" s="50"/>
      <c r="BH216" s="51">
        <f t="shared" si="136"/>
        <v>0</v>
      </c>
      <c r="BI216" s="51">
        <f t="shared" si="137"/>
        <v>0</v>
      </c>
      <c r="BJ216" s="51">
        <f t="shared" si="138"/>
        <v>0</v>
      </c>
      <c r="BK216" s="52">
        <f t="shared" si="139"/>
        <v>0</v>
      </c>
      <c r="BL216" s="52">
        <f t="shared" si="140"/>
        <v>0</v>
      </c>
      <c r="BM216" s="52">
        <f t="shared" si="141"/>
        <v>0</v>
      </c>
    </row>
    <row r="217" spans="1:65" ht="30" customHeight="1" x14ac:dyDescent="0.25">
      <c r="A217" s="31" t="str">
        <f t="shared" si="107"/>
        <v>Д</v>
      </c>
      <c r="B217" s="31" t="str">
        <f t="shared" si="108"/>
        <v>Б</v>
      </c>
      <c r="C217" s="32" t="s">
        <v>186</v>
      </c>
      <c r="D217" s="33" t="str">
        <f t="shared" si="109"/>
        <v>Факультет физико-математических и естественных наук</v>
      </c>
      <c r="E217" s="34" t="str">
        <f t="shared" si="110"/>
        <v>'02.03.00</v>
      </c>
      <c r="F217" s="35" t="str">
        <f t="shared" si="111"/>
        <v>Компьютерные и информационные науки (УГСН)</v>
      </c>
      <c r="G217" s="36" t="s">
        <v>76</v>
      </c>
      <c r="H217" s="36" t="s">
        <v>183</v>
      </c>
      <c r="I217" s="37"/>
      <c r="J217" s="37"/>
      <c r="K217" s="38" t="s">
        <v>193</v>
      </c>
      <c r="L217" s="39">
        <v>3</v>
      </c>
      <c r="M217" s="39">
        <v>18</v>
      </c>
      <c r="N217" s="40" t="s">
        <v>94</v>
      </c>
      <c r="O217" s="39"/>
      <c r="P217" s="39">
        <v>2</v>
      </c>
      <c r="Q217" s="39"/>
      <c r="R217" s="40"/>
      <c r="S217" s="41"/>
      <c r="T217" s="41"/>
      <c r="U217" s="41"/>
      <c r="V217" s="41"/>
      <c r="W217" s="41"/>
      <c r="X217" s="42" t="str">
        <f t="shared" si="112"/>
        <v>НКАбд</v>
      </c>
      <c r="Y217" s="39" t="s">
        <v>110</v>
      </c>
      <c r="Z217" s="39">
        <v>1</v>
      </c>
      <c r="AA217" s="39">
        <v>1</v>
      </c>
      <c r="AB217" s="42">
        <f t="shared" si="113"/>
        <v>26</v>
      </c>
      <c r="AC217" s="39">
        <v>16</v>
      </c>
      <c r="AD217" s="39">
        <v>10</v>
      </c>
      <c r="AE217" s="44">
        <f t="shared" si="114"/>
        <v>12</v>
      </c>
      <c r="AF217" s="45">
        <f t="shared" si="115"/>
        <v>1</v>
      </c>
      <c r="AG217" s="45">
        <f t="shared" si="116"/>
        <v>2.1666666666666665</v>
      </c>
      <c r="AH217" s="46" t="s">
        <v>82</v>
      </c>
      <c r="AI217" s="40" t="s">
        <v>99</v>
      </c>
      <c r="AJ217" s="40" t="s">
        <v>100</v>
      </c>
      <c r="AK217" s="47" t="s">
        <v>195</v>
      </c>
      <c r="AL217" s="40"/>
      <c r="AM217" s="48">
        <f t="shared" si="117"/>
        <v>0</v>
      </c>
      <c r="AN217" s="48">
        <f t="shared" si="118"/>
        <v>0</v>
      </c>
      <c r="AO217" s="48">
        <f t="shared" si="119"/>
        <v>36</v>
      </c>
      <c r="AP217" s="48">
        <f t="shared" si="120"/>
        <v>0</v>
      </c>
      <c r="AQ217" s="48">
        <f t="shared" si="121"/>
        <v>0</v>
      </c>
      <c r="AR217" s="48">
        <f t="shared" si="122"/>
        <v>0</v>
      </c>
      <c r="AS217" s="48">
        <f t="shared" si="123"/>
        <v>0</v>
      </c>
      <c r="AT217" s="48">
        <f t="shared" si="124"/>
        <v>0</v>
      </c>
      <c r="AU217" s="48">
        <f t="shared" si="125"/>
        <v>0</v>
      </c>
      <c r="AV217" s="48">
        <f t="shared" si="126"/>
        <v>0</v>
      </c>
      <c r="AW217" s="48">
        <f>IF(N217="ПП",РПП*AB217*(V217/1.5),IF(N217="ВП",ВПр*AB217*(V217/1.5),IF(N217="РПА",РПА*AB217*(V217/1.5),IF(N217="КПА",кпа*AB217*(V217/1.5),0))))</f>
        <v>0</v>
      </c>
      <c r="AX217" s="48">
        <f t="shared" si="127"/>
        <v>0</v>
      </c>
      <c r="AY217" s="48">
        <f t="shared" si="128"/>
        <v>0</v>
      </c>
      <c r="AZ217" s="48">
        <f t="shared" si="129"/>
        <v>0</v>
      </c>
      <c r="BA217" s="48">
        <f t="shared" si="130"/>
        <v>0</v>
      </c>
      <c r="BB217" s="48">
        <f t="shared" si="131"/>
        <v>0</v>
      </c>
      <c r="BC217" s="48">
        <f t="shared" si="132"/>
        <v>0</v>
      </c>
      <c r="BD217" s="48">
        <f t="shared" si="133"/>
        <v>0</v>
      </c>
      <c r="BE217" s="48">
        <f t="shared" si="134"/>
        <v>0</v>
      </c>
      <c r="BF217" s="49">
        <f t="shared" si="135"/>
        <v>36</v>
      </c>
      <c r="BG217" s="50"/>
      <c r="BH217" s="51">
        <f t="shared" si="136"/>
        <v>36</v>
      </c>
      <c r="BI217" s="51">
        <f t="shared" si="137"/>
        <v>1</v>
      </c>
      <c r="BJ217" s="51">
        <f t="shared" si="138"/>
        <v>0</v>
      </c>
      <c r="BK217" s="52">
        <f t="shared" si="139"/>
        <v>0</v>
      </c>
      <c r="BL217" s="52">
        <f t="shared" si="140"/>
        <v>0</v>
      </c>
      <c r="BM217" s="52">
        <f t="shared" si="141"/>
        <v>0</v>
      </c>
    </row>
    <row r="218" spans="1:65" ht="30" customHeight="1" x14ac:dyDescent="0.25">
      <c r="A218" s="31" t="str">
        <f t="shared" si="107"/>
        <v>Д</v>
      </c>
      <c r="B218" s="31" t="str">
        <f t="shared" si="108"/>
        <v>Б</v>
      </c>
      <c r="C218" s="32" t="s">
        <v>186</v>
      </c>
      <c r="D218" s="33" t="str">
        <f t="shared" si="109"/>
        <v>Факультет физико-математических и естественных наук</v>
      </c>
      <c r="E218" s="34" t="str">
        <f t="shared" si="110"/>
        <v>'02.03.00</v>
      </c>
      <c r="F218" s="35" t="str">
        <f t="shared" si="111"/>
        <v>Компьютерные и информационные науки (УГСН)</v>
      </c>
      <c r="G218" s="36" t="s">
        <v>76</v>
      </c>
      <c r="H218" s="36" t="s">
        <v>183</v>
      </c>
      <c r="I218" s="37"/>
      <c r="J218" s="37"/>
      <c r="K218" s="38" t="s">
        <v>193</v>
      </c>
      <c r="L218" s="39">
        <v>3</v>
      </c>
      <c r="M218" s="39">
        <v>18</v>
      </c>
      <c r="N218" s="40" t="s">
        <v>94</v>
      </c>
      <c r="O218" s="39"/>
      <c r="P218" s="39">
        <v>2</v>
      </c>
      <c r="Q218" s="39"/>
      <c r="R218" s="40"/>
      <c r="S218" s="41"/>
      <c r="T218" s="41"/>
      <c r="U218" s="41"/>
      <c r="V218" s="41"/>
      <c r="W218" s="41"/>
      <c r="X218" s="42" t="str">
        <f t="shared" si="112"/>
        <v>НКАбд</v>
      </c>
      <c r="Y218" s="39" t="s">
        <v>110</v>
      </c>
      <c r="Z218" s="39">
        <v>1</v>
      </c>
      <c r="AA218" s="39">
        <v>1</v>
      </c>
      <c r="AB218" s="42">
        <f t="shared" si="113"/>
        <v>0</v>
      </c>
      <c r="AC218" s="39"/>
      <c r="AD218" s="39"/>
      <c r="AE218" s="44">
        <f t="shared" si="114"/>
        <v>12</v>
      </c>
      <c r="AF218" s="45">
        <f t="shared" si="115"/>
        <v>0</v>
      </c>
      <c r="AG218" s="45">
        <f t="shared" si="116"/>
        <v>0</v>
      </c>
      <c r="AH218" s="46" t="s">
        <v>82</v>
      </c>
      <c r="AI218" s="40" t="s">
        <v>99</v>
      </c>
      <c r="AJ218" s="40" t="s">
        <v>100</v>
      </c>
      <c r="AK218" s="47" t="s">
        <v>195</v>
      </c>
      <c r="AL218" s="40"/>
      <c r="AM218" s="48">
        <f t="shared" si="117"/>
        <v>0</v>
      </c>
      <c r="AN218" s="48">
        <f t="shared" si="118"/>
        <v>0</v>
      </c>
      <c r="AO218" s="48">
        <f t="shared" si="119"/>
        <v>0</v>
      </c>
      <c r="AP218" s="48">
        <f t="shared" si="120"/>
        <v>0</v>
      </c>
      <c r="AQ218" s="48">
        <f t="shared" si="121"/>
        <v>0</v>
      </c>
      <c r="AR218" s="48">
        <f t="shared" si="122"/>
        <v>0</v>
      </c>
      <c r="AS218" s="48">
        <f t="shared" si="123"/>
        <v>0</v>
      </c>
      <c r="AT218" s="48">
        <f t="shared" si="124"/>
        <v>0</v>
      </c>
      <c r="AU218" s="48">
        <f t="shared" si="125"/>
        <v>0</v>
      </c>
      <c r="AV218" s="48">
        <f t="shared" si="126"/>
        <v>0</v>
      </c>
      <c r="AW218" s="48">
        <f>IF(N218="ПП",РПП*AB218*(V218/1.5),IF(N218="ВП",ВПр*AB218*(V218/1.5),IF(N218="РПА",РПА*AB218*(V218/1.5),IF(N218="КПА",кпа*AB218*(V218/1.5),0))))</f>
        <v>0</v>
      </c>
      <c r="AX218" s="48">
        <f t="shared" si="127"/>
        <v>0</v>
      </c>
      <c r="AY218" s="48">
        <f t="shared" si="128"/>
        <v>0</v>
      </c>
      <c r="AZ218" s="48">
        <f t="shared" si="129"/>
        <v>0</v>
      </c>
      <c r="BA218" s="48">
        <f t="shared" si="130"/>
        <v>0</v>
      </c>
      <c r="BB218" s="48">
        <f t="shared" si="131"/>
        <v>0</v>
      </c>
      <c r="BC218" s="48">
        <f t="shared" si="132"/>
        <v>0</v>
      </c>
      <c r="BD218" s="48">
        <f t="shared" si="133"/>
        <v>0</v>
      </c>
      <c r="BE218" s="48">
        <f t="shared" si="134"/>
        <v>0</v>
      </c>
      <c r="BF218" s="49">
        <f t="shared" si="135"/>
        <v>0</v>
      </c>
      <c r="BG218" s="50"/>
      <c r="BH218" s="51">
        <f t="shared" si="136"/>
        <v>0</v>
      </c>
      <c r="BI218" s="51">
        <f t="shared" si="137"/>
        <v>0</v>
      </c>
      <c r="BJ218" s="51">
        <f t="shared" si="138"/>
        <v>0</v>
      </c>
      <c r="BK218" s="52">
        <f t="shared" si="139"/>
        <v>0</v>
      </c>
      <c r="BL218" s="52">
        <f t="shared" si="140"/>
        <v>0</v>
      </c>
      <c r="BM218" s="52">
        <f t="shared" si="141"/>
        <v>0</v>
      </c>
    </row>
    <row r="219" spans="1:65" ht="30" customHeight="1" x14ac:dyDescent="0.25">
      <c r="A219" s="31" t="str">
        <f t="shared" si="107"/>
        <v>Д</v>
      </c>
      <c r="B219" s="31" t="str">
        <f t="shared" si="108"/>
        <v>Б</v>
      </c>
      <c r="C219" s="32" t="s">
        <v>186</v>
      </c>
      <c r="D219" s="33" t="str">
        <f t="shared" si="109"/>
        <v>Факультет физико-математических и естественных наук</v>
      </c>
      <c r="E219" s="34" t="str">
        <f t="shared" si="110"/>
        <v>'02.03.00</v>
      </c>
      <c r="F219" s="35" t="str">
        <f t="shared" si="111"/>
        <v>Компьютерные и информационные науки (УГСН)</v>
      </c>
      <c r="G219" s="36" t="s">
        <v>76</v>
      </c>
      <c r="H219" s="36" t="s">
        <v>183</v>
      </c>
      <c r="I219" s="37"/>
      <c r="J219" s="37"/>
      <c r="K219" s="38" t="s">
        <v>193</v>
      </c>
      <c r="L219" s="39">
        <v>3</v>
      </c>
      <c r="M219" s="39">
        <v>18</v>
      </c>
      <c r="N219" s="40" t="s">
        <v>94</v>
      </c>
      <c r="O219" s="39"/>
      <c r="P219" s="39">
        <v>2</v>
      </c>
      <c r="Q219" s="39"/>
      <c r="R219" s="40"/>
      <c r="S219" s="41"/>
      <c r="T219" s="41"/>
      <c r="U219" s="41"/>
      <c r="V219" s="41"/>
      <c r="W219" s="41"/>
      <c r="X219" s="42" t="str">
        <f t="shared" si="112"/>
        <v>НКАбд</v>
      </c>
      <c r="Y219" s="39" t="s">
        <v>196</v>
      </c>
      <c r="Z219" s="39">
        <v>1</v>
      </c>
      <c r="AA219" s="39">
        <v>1</v>
      </c>
      <c r="AB219" s="42">
        <f t="shared" si="113"/>
        <v>26</v>
      </c>
      <c r="AC219" s="39">
        <v>16</v>
      </c>
      <c r="AD219" s="39">
        <v>10</v>
      </c>
      <c r="AE219" s="44">
        <f t="shared" si="114"/>
        <v>12</v>
      </c>
      <c r="AF219" s="45">
        <f t="shared" si="115"/>
        <v>1</v>
      </c>
      <c r="AG219" s="45">
        <f t="shared" si="116"/>
        <v>2.1666666666666665</v>
      </c>
      <c r="AH219" s="46" t="s">
        <v>82</v>
      </c>
      <c r="AI219" s="40" t="s">
        <v>99</v>
      </c>
      <c r="AJ219" s="40" t="s">
        <v>100</v>
      </c>
      <c r="AK219" s="47" t="s">
        <v>195</v>
      </c>
      <c r="AL219" s="40"/>
      <c r="AM219" s="48">
        <f t="shared" si="117"/>
        <v>0</v>
      </c>
      <c r="AN219" s="48">
        <f t="shared" si="118"/>
        <v>0</v>
      </c>
      <c r="AO219" s="48">
        <f t="shared" si="119"/>
        <v>36</v>
      </c>
      <c r="AP219" s="48">
        <f t="shared" si="120"/>
        <v>0</v>
      </c>
      <c r="AQ219" s="48">
        <f t="shared" si="121"/>
        <v>0</v>
      </c>
      <c r="AR219" s="48">
        <f t="shared" si="122"/>
        <v>0</v>
      </c>
      <c r="AS219" s="48">
        <f t="shared" si="123"/>
        <v>0</v>
      </c>
      <c r="AT219" s="48">
        <f t="shared" si="124"/>
        <v>0</v>
      </c>
      <c r="AU219" s="48">
        <f t="shared" si="125"/>
        <v>0</v>
      </c>
      <c r="AV219" s="48">
        <f t="shared" si="126"/>
        <v>0</v>
      </c>
      <c r="AW219" s="48">
        <f>IF(N219="ПП",РПП*AB219*(V219/1.5),IF(N219="ВП",ВПр*AB219*(V219/1.5),IF(N219="РПА",РПА*AB219*(V219/1.5),IF(N219="КПА",кпа*AB219*(V219/1.5),0))))</f>
        <v>0</v>
      </c>
      <c r="AX219" s="48">
        <f t="shared" si="127"/>
        <v>0</v>
      </c>
      <c r="AY219" s="48">
        <f t="shared" si="128"/>
        <v>0</v>
      </c>
      <c r="AZ219" s="48">
        <f t="shared" si="129"/>
        <v>0</v>
      </c>
      <c r="BA219" s="48">
        <f t="shared" si="130"/>
        <v>0</v>
      </c>
      <c r="BB219" s="48">
        <f t="shared" si="131"/>
        <v>0</v>
      </c>
      <c r="BC219" s="48">
        <f t="shared" si="132"/>
        <v>0</v>
      </c>
      <c r="BD219" s="48">
        <f t="shared" si="133"/>
        <v>0</v>
      </c>
      <c r="BE219" s="48">
        <f t="shared" si="134"/>
        <v>0</v>
      </c>
      <c r="BF219" s="49">
        <f t="shared" si="135"/>
        <v>36</v>
      </c>
      <c r="BG219" s="50"/>
      <c r="BH219" s="51">
        <f t="shared" si="136"/>
        <v>36</v>
      </c>
      <c r="BI219" s="51">
        <f t="shared" si="137"/>
        <v>1</v>
      </c>
      <c r="BJ219" s="51">
        <f t="shared" si="138"/>
        <v>0</v>
      </c>
      <c r="BK219" s="52">
        <f t="shared" si="139"/>
        <v>0</v>
      </c>
      <c r="BL219" s="52">
        <f t="shared" si="140"/>
        <v>0</v>
      </c>
      <c r="BM219" s="52">
        <f t="shared" si="141"/>
        <v>0</v>
      </c>
    </row>
    <row r="220" spans="1:65" ht="30" customHeight="1" x14ac:dyDescent="0.25">
      <c r="A220" s="31" t="str">
        <f t="shared" si="107"/>
        <v>Д</v>
      </c>
      <c r="B220" s="31" t="str">
        <f t="shared" si="108"/>
        <v>Б</v>
      </c>
      <c r="C220" s="32" t="s">
        <v>186</v>
      </c>
      <c r="D220" s="33" t="str">
        <f t="shared" si="109"/>
        <v>Факультет физико-математических и естественных наук</v>
      </c>
      <c r="E220" s="34" t="str">
        <f t="shared" si="110"/>
        <v>'02.03.00</v>
      </c>
      <c r="F220" s="35" t="str">
        <f t="shared" si="111"/>
        <v>Компьютерные и информационные науки (УГСН)</v>
      </c>
      <c r="G220" s="36" t="s">
        <v>76</v>
      </c>
      <c r="H220" s="36" t="s">
        <v>183</v>
      </c>
      <c r="I220" s="37"/>
      <c r="J220" s="37"/>
      <c r="K220" s="38" t="s">
        <v>193</v>
      </c>
      <c r="L220" s="39">
        <v>3</v>
      </c>
      <c r="M220" s="39">
        <v>18</v>
      </c>
      <c r="N220" s="40" t="s">
        <v>94</v>
      </c>
      <c r="O220" s="39"/>
      <c r="P220" s="39">
        <v>2</v>
      </c>
      <c r="Q220" s="39"/>
      <c r="R220" s="40"/>
      <c r="S220" s="41"/>
      <c r="T220" s="41"/>
      <c r="U220" s="41"/>
      <c r="V220" s="41"/>
      <c r="W220" s="41"/>
      <c r="X220" s="42" t="str">
        <f t="shared" si="112"/>
        <v>НКАбд</v>
      </c>
      <c r="Y220" s="39" t="s">
        <v>196</v>
      </c>
      <c r="Z220" s="39">
        <v>1</v>
      </c>
      <c r="AA220" s="39">
        <v>1</v>
      </c>
      <c r="AB220" s="42">
        <f t="shared" si="113"/>
        <v>0</v>
      </c>
      <c r="AC220" s="39"/>
      <c r="AD220" s="39"/>
      <c r="AE220" s="44">
        <f t="shared" si="114"/>
        <v>12</v>
      </c>
      <c r="AF220" s="45">
        <f t="shared" si="115"/>
        <v>0</v>
      </c>
      <c r="AG220" s="45">
        <f t="shared" si="116"/>
        <v>0</v>
      </c>
      <c r="AH220" s="46" t="s">
        <v>82</v>
      </c>
      <c r="AI220" s="40" t="s">
        <v>99</v>
      </c>
      <c r="AJ220" s="40" t="s">
        <v>100</v>
      </c>
      <c r="AK220" s="47" t="s">
        <v>195</v>
      </c>
      <c r="AL220" s="40"/>
      <c r="AM220" s="48">
        <f t="shared" si="117"/>
        <v>0</v>
      </c>
      <c r="AN220" s="48">
        <f t="shared" si="118"/>
        <v>0</v>
      </c>
      <c r="AO220" s="48">
        <f t="shared" si="119"/>
        <v>0</v>
      </c>
      <c r="AP220" s="48">
        <f t="shared" si="120"/>
        <v>0</v>
      </c>
      <c r="AQ220" s="48">
        <f t="shared" si="121"/>
        <v>0</v>
      </c>
      <c r="AR220" s="48">
        <f t="shared" si="122"/>
        <v>0</v>
      </c>
      <c r="AS220" s="48">
        <f t="shared" si="123"/>
        <v>0</v>
      </c>
      <c r="AT220" s="48">
        <f t="shared" si="124"/>
        <v>0</v>
      </c>
      <c r="AU220" s="48">
        <f t="shared" si="125"/>
        <v>0</v>
      </c>
      <c r="AV220" s="48">
        <f t="shared" si="126"/>
        <v>0</v>
      </c>
      <c r="AW220" s="48">
        <f>IF(N220="ПП",РПП*AB220*(V220/1.5),IF(N220="ВП",ВПр*AB220*(V220/1.5),IF(N220="РПА",РПА*AB220*(V220/1.5),IF(N220="КПА",кпа*AB220*(V220/1.5),0))))</f>
        <v>0</v>
      </c>
      <c r="AX220" s="48">
        <f t="shared" si="127"/>
        <v>0</v>
      </c>
      <c r="AY220" s="48">
        <f t="shared" si="128"/>
        <v>0</v>
      </c>
      <c r="AZ220" s="48">
        <f t="shared" si="129"/>
        <v>0</v>
      </c>
      <c r="BA220" s="48">
        <f t="shared" si="130"/>
        <v>0</v>
      </c>
      <c r="BB220" s="48">
        <f t="shared" si="131"/>
        <v>0</v>
      </c>
      <c r="BC220" s="48">
        <f t="shared" si="132"/>
        <v>0</v>
      </c>
      <c r="BD220" s="48">
        <f t="shared" si="133"/>
        <v>0</v>
      </c>
      <c r="BE220" s="48">
        <f t="shared" si="134"/>
        <v>0</v>
      </c>
      <c r="BF220" s="49">
        <f t="shared" si="135"/>
        <v>0</v>
      </c>
      <c r="BG220" s="50"/>
      <c r="BH220" s="51">
        <f t="shared" si="136"/>
        <v>0</v>
      </c>
      <c r="BI220" s="51">
        <f t="shared" si="137"/>
        <v>0</v>
      </c>
      <c r="BJ220" s="51">
        <f t="shared" si="138"/>
        <v>0</v>
      </c>
      <c r="BK220" s="52">
        <f t="shared" si="139"/>
        <v>0</v>
      </c>
      <c r="BL220" s="52">
        <f t="shared" si="140"/>
        <v>0</v>
      </c>
      <c r="BM220" s="52">
        <f t="shared" si="141"/>
        <v>0</v>
      </c>
    </row>
    <row r="221" spans="1:65" ht="30" customHeight="1" x14ac:dyDescent="0.25">
      <c r="A221" s="31" t="str">
        <f t="shared" si="107"/>
        <v>Д</v>
      </c>
      <c r="B221" s="31" t="str">
        <f t="shared" si="108"/>
        <v>Б</v>
      </c>
      <c r="C221" s="32" t="s">
        <v>186</v>
      </c>
      <c r="D221" s="33" t="str">
        <f t="shared" si="109"/>
        <v>Факультет физико-математических и естественных наук</v>
      </c>
      <c r="E221" s="34" t="str">
        <f t="shared" si="110"/>
        <v>'02.03.00</v>
      </c>
      <c r="F221" s="35" t="str">
        <f t="shared" si="111"/>
        <v>Компьютерные и информационные науки (УГСН)</v>
      </c>
      <c r="G221" s="36" t="s">
        <v>76</v>
      </c>
      <c r="H221" s="36" t="s">
        <v>183</v>
      </c>
      <c r="I221" s="37"/>
      <c r="J221" s="37"/>
      <c r="K221" s="38" t="s">
        <v>193</v>
      </c>
      <c r="L221" s="39">
        <v>3</v>
      </c>
      <c r="M221" s="39">
        <v>18</v>
      </c>
      <c r="N221" s="40" t="s">
        <v>94</v>
      </c>
      <c r="O221" s="39"/>
      <c r="P221" s="39">
        <v>2</v>
      </c>
      <c r="Q221" s="39"/>
      <c r="R221" s="40"/>
      <c r="S221" s="41"/>
      <c r="T221" s="41"/>
      <c r="U221" s="41"/>
      <c r="V221" s="41"/>
      <c r="W221" s="41"/>
      <c r="X221" s="42" t="str">
        <f t="shared" si="112"/>
        <v>НКАбд</v>
      </c>
      <c r="Y221" s="39" t="s">
        <v>197</v>
      </c>
      <c r="Z221" s="39">
        <v>1</v>
      </c>
      <c r="AA221" s="39">
        <v>1</v>
      </c>
      <c r="AB221" s="42">
        <f t="shared" si="113"/>
        <v>25</v>
      </c>
      <c r="AC221" s="39">
        <v>16</v>
      </c>
      <c r="AD221" s="39">
        <v>9</v>
      </c>
      <c r="AE221" s="44">
        <f t="shared" si="114"/>
        <v>12</v>
      </c>
      <c r="AF221" s="45">
        <f t="shared" si="115"/>
        <v>1</v>
      </c>
      <c r="AG221" s="45">
        <f t="shared" si="116"/>
        <v>2.0833333333333335</v>
      </c>
      <c r="AH221" s="46" t="s">
        <v>82</v>
      </c>
      <c r="AI221" s="40" t="s">
        <v>99</v>
      </c>
      <c r="AJ221" s="40" t="s">
        <v>100</v>
      </c>
      <c r="AK221" s="47" t="s">
        <v>195</v>
      </c>
      <c r="AL221" s="40"/>
      <c r="AM221" s="48">
        <f t="shared" si="117"/>
        <v>0</v>
      </c>
      <c r="AN221" s="48">
        <f t="shared" si="118"/>
        <v>0</v>
      </c>
      <c r="AO221" s="48">
        <f t="shared" si="119"/>
        <v>36</v>
      </c>
      <c r="AP221" s="48">
        <f t="shared" si="120"/>
        <v>0</v>
      </c>
      <c r="AQ221" s="48">
        <f t="shared" si="121"/>
        <v>0</v>
      </c>
      <c r="AR221" s="48">
        <f t="shared" si="122"/>
        <v>0</v>
      </c>
      <c r="AS221" s="48">
        <f t="shared" si="123"/>
        <v>0</v>
      </c>
      <c r="AT221" s="48">
        <f t="shared" si="124"/>
        <v>0</v>
      </c>
      <c r="AU221" s="48">
        <f t="shared" si="125"/>
        <v>0</v>
      </c>
      <c r="AV221" s="48">
        <f t="shared" si="126"/>
        <v>0</v>
      </c>
      <c r="AW221" s="48">
        <f>IF(N221="ПП",РПП*AB221*(V221/1.5),IF(N221="ВП",ВПр*AB221*(V221/1.5),IF(N221="РПА",РПА*AB221*(V221/1.5),IF(N221="КПА",кпа*AB221*(V221/1.5),0))))</f>
        <v>0</v>
      </c>
      <c r="AX221" s="48">
        <f t="shared" si="127"/>
        <v>0</v>
      </c>
      <c r="AY221" s="48">
        <f t="shared" si="128"/>
        <v>0</v>
      </c>
      <c r="AZ221" s="48">
        <f t="shared" si="129"/>
        <v>0</v>
      </c>
      <c r="BA221" s="48">
        <f t="shared" si="130"/>
        <v>0</v>
      </c>
      <c r="BB221" s="48">
        <f t="shared" si="131"/>
        <v>0</v>
      </c>
      <c r="BC221" s="48">
        <f t="shared" si="132"/>
        <v>0</v>
      </c>
      <c r="BD221" s="48">
        <f t="shared" si="133"/>
        <v>0</v>
      </c>
      <c r="BE221" s="48">
        <f t="shared" si="134"/>
        <v>0</v>
      </c>
      <c r="BF221" s="49">
        <f t="shared" si="135"/>
        <v>36</v>
      </c>
      <c r="BG221" s="50"/>
      <c r="BH221" s="51">
        <f t="shared" si="136"/>
        <v>36</v>
      </c>
      <c r="BI221" s="51">
        <f t="shared" si="137"/>
        <v>1</v>
      </c>
      <c r="BJ221" s="51">
        <f t="shared" si="138"/>
        <v>0</v>
      </c>
      <c r="BK221" s="52">
        <f t="shared" si="139"/>
        <v>0</v>
      </c>
      <c r="BL221" s="52">
        <f t="shared" si="140"/>
        <v>0</v>
      </c>
      <c r="BM221" s="52">
        <f t="shared" si="141"/>
        <v>0</v>
      </c>
    </row>
    <row r="222" spans="1:65" ht="30" customHeight="1" x14ac:dyDescent="0.25">
      <c r="A222" s="31" t="str">
        <f t="shared" si="107"/>
        <v>Д</v>
      </c>
      <c r="B222" s="31" t="str">
        <f t="shared" si="108"/>
        <v>Б</v>
      </c>
      <c r="C222" s="32" t="s">
        <v>186</v>
      </c>
      <c r="D222" s="33" t="str">
        <f t="shared" si="109"/>
        <v>Факультет физико-математических и естественных наук</v>
      </c>
      <c r="E222" s="34" t="str">
        <f t="shared" si="110"/>
        <v>'02.03.00</v>
      </c>
      <c r="F222" s="35" t="str">
        <f t="shared" si="111"/>
        <v>Компьютерные и информационные науки (УГСН)</v>
      </c>
      <c r="G222" s="36" t="s">
        <v>76</v>
      </c>
      <c r="H222" s="36" t="s">
        <v>183</v>
      </c>
      <c r="I222" s="37"/>
      <c r="J222" s="37"/>
      <c r="K222" s="38" t="s">
        <v>193</v>
      </c>
      <c r="L222" s="39">
        <v>3</v>
      </c>
      <c r="M222" s="39">
        <v>18</v>
      </c>
      <c r="N222" s="40" t="s">
        <v>94</v>
      </c>
      <c r="O222" s="39"/>
      <c r="P222" s="39">
        <v>2</v>
      </c>
      <c r="Q222" s="39"/>
      <c r="R222" s="40"/>
      <c r="S222" s="41"/>
      <c r="T222" s="41"/>
      <c r="U222" s="41"/>
      <c r="V222" s="41"/>
      <c r="W222" s="41"/>
      <c r="X222" s="42" t="str">
        <f t="shared" si="112"/>
        <v>НКАбд</v>
      </c>
      <c r="Y222" s="39" t="s">
        <v>197</v>
      </c>
      <c r="Z222" s="39">
        <v>1</v>
      </c>
      <c r="AA222" s="39">
        <v>1</v>
      </c>
      <c r="AB222" s="42">
        <f t="shared" si="113"/>
        <v>0</v>
      </c>
      <c r="AC222" s="39"/>
      <c r="AD222" s="39"/>
      <c r="AE222" s="44">
        <f t="shared" si="114"/>
        <v>12</v>
      </c>
      <c r="AF222" s="45">
        <f t="shared" si="115"/>
        <v>0</v>
      </c>
      <c r="AG222" s="45">
        <f t="shared" si="116"/>
        <v>0</v>
      </c>
      <c r="AH222" s="46" t="s">
        <v>82</v>
      </c>
      <c r="AI222" s="40" t="s">
        <v>99</v>
      </c>
      <c r="AJ222" s="40" t="s">
        <v>100</v>
      </c>
      <c r="AK222" s="47" t="s">
        <v>195</v>
      </c>
      <c r="AL222" s="40"/>
      <c r="AM222" s="48">
        <f t="shared" si="117"/>
        <v>0</v>
      </c>
      <c r="AN222" s="48">
        <f t="shared" si="118"/>
        <v>0</v>
      </c>
      <c r="AO222" s="48">
        <f t="shared" si="119"/>
        <v>0</v>
      </c>
      <c r="AP222" s="48">
        <f t="shared" si="120"/>
        <v>0</v>
      </c>
      <c r="AQ222" s="48">
        <f t="shared" si="121"/>
        <v>0</v>
      </c>
      <c r="AR222" s="48">
        <f t="shared" si="122"/>
        <v>0</v>
      </c>
      <c r="AS222" s="48">
        <f t="shared" si="123"/>
        <v>0</v>
      </c>
      <c r="AT222" s="48">
        <f t="shared" si="124"/>
        <v>0</v>
      </c>
      <c r="AU222" s="48">
        <f t="shared" si="125"/>
        <v>0</v>
      </c>
      <c r="AV222" s="48">
        <f t="shared" si="126"/>
        <v>0</v>
      </c>
      <c r="AW222" s="48">
        <f>IF(N222="ПП",РПП*AB222*(V222/1.5),IF(N222="ВП",ВПр*AB222*(V222/1.5),IF(N222="РПА",РПА*AB222*(V222/1.5),IF(N222="КПА",кпа*AB222*(V222/1.5),0))))</f>
        <v>0</v>
      </c>
      <c r="AX222" s="48">
        <f t="shared" si="127"/>
        <v>0</v>
      </c>
      <c r="AY222" s="48">
        <f t="shared" si="128"/>
        <v>0</v>
      </c>
      <c r="AZ222" s="48">
        <f t="shared" si="129"/>
        <v>0</v>
      </c>
      <c r="BA222" s="48">
        <f t="shared" si="130"/>
        <v>0</v>
      </c>
      <c r="BB222" s="48">
        <f t="shared" si="131"/>
        <v>0</v>
      </c>
      <c r="BC222" s="48">
        <f t="shared" si="132"/>
        <v>0</v>
      </c>
      <c r="BD222" s="48">
        <f t="shared" si="133"/>
        <v>0</v>
      </c>
      <c r="BE222" s="48">
        <f t="shared" si="134"/>
        <v>0</v>
      </c>
      <c r="BF222" s="49">
        <f t="shared" si="135"/>
        <v>0</v>
      </c>
      <c r="BG222" s="50"/>
      <c r="BH222" s="51">
        <f t="shared" si="136"/>
        <v>0</v>
      </c>
      <c r="BI222" s="51">
        <f t="shared" si="137"/>
        <v>0</v>
      </c>
      <c r="BJ222" s="51">
        <f t="shared" si="138"/>
        <v>0</v>
      </c>
      <c r="BK222" s="52">
        <f t="shared" si="139"/>
        <v>0</v>
      </c>
      <c r="BL222" s="52">
        <f t="shared" si="140"/>
        <v>0</v>
      </c>
      <c r="BM222" s="52">
        <f t="shared" si="141"/>
        <v>0</v>
      </c>
    </row>
    <row r="223" spans="1:65" ht="30" customHeight="1" x14ac:dyDescent="0.25">
      <c r="A223" s="31" t="str">
        <f t="shared" si="107"/>
        <v>Д</v>
      </c>
      <c r="B223" s="31" t="str">
        <f t="shared" si="108"/>
        <v>Б</v>
      </c>
      <c r="C223" s="32" t="s">
        <v>186</v>
      </c>
      <c r="D223" s="33" t="str">
        <f t="shared" si="109"/>
        <v>Факультет физико-математических и естественных наук</v>
      </c>
      <c r="E223" s="34" t="str">
        <f t="shared" si="110"/>
        <v>'02.03.00</v>
      </c>
      <c r="F223" s="35" t="str">
        <f t="shared" si="111"/>
        <v>Компьютерные и информационные науки (УГСН)</v>
      </c>
      <c r="G223" s="36" t="s">
        <v>76</v>
      </c>
      <c r="H223" s="36" t="s">
        <v>183</v>
      </c>
      <c r="I223" s="37"/>
      <c r="J223" s="37"/>
      <c r="K223" s="38" t="s">
        <v>193</v>
      </c>
      <c r="L223" s="39">
        <v>4</v>
      </c>
      <c r="M223" s="39">
        <v>18</v>
      </c>
      <c r="N223" s="40" t="s">
        <v>79</v>
      </c>
      <c r="O223" s="39">
        <v>2</v>
      </c>
      <c r="P223" s="39"/>
      <c r="Q223" s="39"/>
      <c r="R223" s="40" t="s">
        <v>80</v>
      </c>
      <c r="S223" s="41"/>
      <c r="T223" s="41"/>
      <c r="U223" s="41"/>
      <c r="V223" s="41"/>
      <c r="W223" s="41"/>
      <c r="X223" s="42" t="str">
        <f t="shared" si="112"/>
        <v>НКАбд</v>
      </c>
      <c r="Y223" s="39" t="s">
        <v>194</v>
      </c>
      <c r="Z223" s="39">
        <v>10</v>
      </c>
      <c r="AA223" s="39">
        <v>5</v>
      </c>
      <c r="AB223" s="42">
        <f t="shared" si="113"/>
        <v>129</v>
      </c>
      <c r="AC223" s="39">
        <v>82</v>
      </c>
      <c r="AD223" s="39">
        <v>47</v>
      </c>
      <c r="AE223" s="44">
        <f t="shared" si="114"/>
        <v>129</v>
      </c>
      <c r="AF223" s="45">
        <f t="shared" si="115"/>
        <v>1</v>
      </c>
      <c r="AG223" s="45">
        <f t="shared" si="116"/>
        <v>1</v>
      </c>
      <c r="AH223" s="46" t="s">
        <v>82</v>
      </c>
      <c r="AI223" s="40" t="s">
        <v>83</v>
      </c>
      <c r="AJ223" s="40" t="s">
        <v>84</v>
      </c>
      <c r="AK223" s="47" t="s">
        <v>97</v>
      </c>
      <c r="AL223" s="40"/>
      <c r="AM223" s="48">
        <f t="shared" si="117"/>
        <v>36</v>
      </c>
      <c r="AN223" s="48">
        <f t="shared" si="118"/>
        <v>0</v>
      </c>
      <c r="AO223" s="48">
        <f t="shared" si="119"/>
        <v>0</v>
      </c>
      <c r="AP223" s="48">
        <f t="shared" si="120"/>
        <v>42.57</v>
      </c>
      <c r="AQ223" s="48">
        <f t="shared" si="121"/>
        <v>64.5</v>
      </c>
      <c r="AR223" s="48">
        <f t="shared" si="122"/>
        <v>5</v>
      </c>
      <c r="AS223" s="48">
        <f t="shared" si="123"/>
        <v>9</v>
      </c>
      <c r="AT223" s="48">
        <f t="shared" si="124"/>
        <v>0</v>
      </c>
      <c r="AU223" s="48">
        <f t="shared" si="125"/>
        <v>0</v>
      </c>
      <c r="AV223" s="48">
        <f t="shared" si="126"/>
        <v>0</v>
      </c>
      <c r="AW223" s="48">
        <f>IF(N223="ПП",РПП*AB223*(V223/1.5),IF(N223="ВП",ВПр*AB223*(V223/1.5),IF(N223="РПА",РПА*AB223*(V223/1.5),IF(N223="КПА",кпа*AB223*(V223/1.5),0))))</f>
        <v>0</v>
      </c>
      <c r="AX223" s="48">
        <f t="shared" si="127"/>
        <v>0</v>
      </c>
      <c r="AY223" s="48">
        <f t="shared" si="128"/>
        <v>0</v>
      </c>
      <c r="AZ223" s="48">
        <f t="shared" si="129"/>
        <v>0</v>
      </c>
      <c r="BA223" s="48">
        <f t="shared" si="130"/>
        <v>0</v>
      </c>
      <c r="BB223" s="48">
        <f t="shared" si="131"/>
        <v>0</v>
      </c>
      <c r="BC223" s="48">
        <f t="shared" si="132"/>
        <v>0</v>
      </c>
      <c r="BD223" s="48">
        <f t="shared" si="133"/>
        <v>0</v>
      </c>
      <c r="BE223" s="48">
        <f t="shared" si="134"/>
        <v>0</v>
      </c>
      <c r="BF223" s="49">
        <f t="shared" si="135"/>
        <v>157.07</v>
      </c>
      <c r="BG223" s="50"/>
      <c r="BH223" s="51">
        <f t="shared" si="136"/>
        <v>0</v>
      </c>
      <c r="BI223" s="51">
        <f t="shared" si="137"/>
        <v>0</v>
      </c>
      <c r="BJ223" s="51">
        <f t="shared" si="138"/>
        <v>0</v>
      </c>
      <c r="BK223" s="52">
        <f t="shared" si="139"/>
        <v>36</v>
      </c>
      <c r="BL223" s="52">
        <f t="shared" si="140"/>
        <v>1</v>
      </c>
      <c r="BM223" s="52">
        <f t="shared" si="141"/>
        <v>121.07</v>
      </c>
    </row>
    <row r="224" spans="1:65" ht="30" customHeight="1" x14ac:dyDescent="0.25">
      <c r="A224" s="31" t="str">
        <f t="shared" si="107"/>
        <v>Д</v>
      </c>
      <c r="B224" s="31" t="str">
        <f t="shared" si="108"/>
        <v>Б</v>
      </c>
      <c r="C224" s="32" t="s">
        <v>186</v>
      </c>
      <c r="D224" s="33" t="str">
        <f t="shared" si="109"/>
        <v>Факультет физико-математических и естественных наук</v>
      </c>
      <c r="E224" s="34" t="str">
        <f t="shared" si="110"/>
        <v>'02.03.00</v>
      </c>
      <c r="F224" s="35" t="str">
        <f t="shared" si="111"/>
        <v>Компьютерные и информационные науки (УГСН)</v>
      </c>
      <c r="G224" s="36" t="s">
        <v>76</v>
      </c>
      <c r="H224" s="36" t="s">
        <v>183</v>
      </c>
      <c r="I224" s="37"/>
      <c r="J224" s="37"/>
      <c r="K224" s="38" t="s">
        <v>193</v>
      </c>
      <c r="L224" s="39">
        <v>4</v>
      </c>
      <c r="M224" s="39">
        <v>18</v>
      </c>
      <c r="N224" s="40" t="s">
        <v>94</v>
      </c>
      <c r="O224" s="39"/>
      <c r="P224" s="39">
        <v>2</v>
      </c>
      <c r="Q224" s="39"/>
      <c r="R224" s="40"/>
      <c r="S224" s="41"/>
      <c r="T224" s="41"/>
      <c r="U224" s="41"/>
      <c r="V224" s="41"/>
      <c r="W224" s="41"/>
      <c r="X224" s="42" t="str">
        <f t="shared" si="112"/>
        <v>НКАбд</v>
      </c>
      <c r="Y224" s="39" t="s">
        <v>107</v>
      </c>
      <c r="Z224" s="39">
        <v>1</v>
      </c>
      <c r="AA224" s="39">
        <v>1</v>
      </c>
      <c r="AB224" s="42">
        <f t="shared" si="113"/>
        <v>26</v>
      </c>
      <c r="AC224" s="39">
        <v>17</v>
      </c>
      <c r="AD224" s="39">
        <v>9</v>
      </c>
      <c r="AE224" s="44">
        <f t="shared" si="114"/>
        <v>12</v>
      </c>
      <c r="AF224" s="45">
        <f t="shared" si="115"/>
        <v>1</v>
      </c>
      <c r="AG224" s="45">
        <f t="shared" si="116"/>
        <v>2.1666666666666665</v>
      </c>
      <c r="AH224" s="46" t="s">
        <v>82</v>
      </c>
      <c r="AI224" s="40" t="s">
        <v>99</v>
      </c>
      <c r="AJ224" s="40" t="s">
        <v>100</v>
      </c>
      <c r="AK224" s="47" t="s">
        <v>195</v>
      </c>
      <c r="AL224" s="40"/>
      <c r="AM224" s="48">
        <f t="shared" si="117"/>
        <v>0</v>
      </c>
      <c r="AN224" s="48">
        <f t="shared" si="118"/>
        <v>0</v>
      </c>
      <c r="AO224" s="48">
        <f t="shared" si="119"/>
        <v>36</v>
      </c>
      <c r="AP224" s="48">
        <f t="shared" si="120"/>
        <v>0</v>
      </c>
      <c r="AQ224" s="48">
        <f t="shared" si="121"/>
        <v>0</v>
      </c>
      <c r="AR224" s="48">
        <f t="shared" si="122"/>
        <v>0</v>
      </c>
      <c r="AS224" s="48">
        <f t="shared" si="123"/>
        <v>0</v>
      </c>
      <c r="AT224" s="48">
        <f t="shared" si="124"/>
        <v>0</v>
      </c>
      <c r="AU224" s="48">
        <f t="shared" si="125"/>
        <v>0</v>
      </c>
      <c r="AV224" s="48">
        <f t="shared" si="126"/>
        <v>0</v>
      </c>
      <c r="AW224" s="48">
        <f>IF(N224="ПП",РПП*AB224*(V224/1.5),IF(N224="ВП",ВПр*AB224*(V224/1.5),IF(N224="РПА",РПА*AB224*(V224/1.5),IF(N224="КПА",кпа*AB224*(V224/1.5),0))))</f>
        <v>0</v>
      </c>
      <c r="AX224" s="48">
        <f t="shared" si="127"/>
        <v>0</v>
      </c>
      <c r="AY224" s="48">
        <f t="shared" si="128"/>
        <v>0</v>
      </c>
      <c r="AZ224" s="48">
        <f t="shared" si="129"/>
        <v>0</v>
      </c>
      <c r="BA224" s="48">
        <f t="shared" si="130"/>
        <v>0</v>
      </c>
      <c r="BB224" s="48">
        <f t="shared" si="131"/>
        <v>0</v>
      </c>
      <c r="BC224" s="48">
        <f t="shared" si="132"/>
        <v>0</v>
      </c>
      <c r="BD224" s="48">
        <f t="shared" si="133"/>
        <v>0</v>
      </c>
      <c r="BE224" s="48">
        <f t="shared" si="134"/>
        <v>0</v>
      </c>
      <c r="BF224" s="49">
        <f t="shared" si="135"/>
        <v>36</v>
      </c>
      <c r="BG224" s="50"/>
      <c r="BH224" s="51">
        <f t="shared" si="136"/>
        <v>0</v>
      </c>
      <c r="BI224" s="51">
        <f t="shared" si="137"/>
        <v>0</v>
      </c>
      <c r="BJ224" s="51">
        <f t="shared" si="138"/>
        <v>0</v>
      </c>
      <c r="BK224" s="52">
        <f t="shared" si="139"/>
        <v>36</v>
      </c>
      <c r="BL224" s="52">
        <f t="shared" si="140"/>
        <v>1</v>
      </c>
      <c r="BM224" s="52">
        <f t="shared" si="141"/>
        <v>0</v>
      </c>
    </row>
    <row r="225" spans="1:65" ht="30" customHeight="1" x14ac:dyDescent="0.25">
      <c r="A225" s="31" t="str">
        <f t="shared" si="107"/>
        <v>Д</v>
      </c>
      <c r="B225" s="31" t="str">
        <f t="shared" si="108"/>
        <v>Б</v>
      </c>
      <c r="C225" s="32" t="s">
        <v>186</v>
      </c>
      <c r="D225" s="33" t="str">
        <f t="shared" si="109"/>
        <v>Факультет физико-математических и естественных наук</v>
      </c>
      <c r="E225" s="34" t="str">
        <f t="shared" si="110"/>
        <v>'02.03.00</v>
      </c>
      <c r="F225" s="35" t="str">
        <f t="shared" si="111"/>
        <v>Компьютерные и информационные науки (УГСН)</v>
      </c>
      <c r="G225" s="36" t="s">
        <v>76</v>
      </c>
      <c r="H225" s="36" t="s">
        <v>183</v>
      </c>
      <c r="I225" s="37"/>
      <c r="J225" s="37"/>
      <c r="K225" s="38" t="s">
        <v>193</v>
      </c>
      <c r="L225" s="39">
        <v>4</v>
      </c>
      <c r="M225" s="39">
        <v>18</v>
      </c>
      <c r="N225" s="40" t="s">
        <v>94</v>
      </c>
      <c r="O225" s="39"/>
      <c r="P225" s="39">
        <v>2</v>
      </c>
      <c r="Q225" s="39"/>
      <c r="R225" s="40"/>
      <c r="S225" s="41"/>
      <c r="T225" s="41"/>
      <c r="U225" s="41"/>
      <c r="V225" s="41"/>
      <c r="W225" s="41"/>
      <c r="X225" s="42" t="str">
        <f t="shared" si="112"/>
        <v>НКАбд</v>
      </c>
      <c r="Y225" s="39" t="s">
        <v>107</v>
      </c>
      <c r="Z225" s="39">
        <v>1</v>
      </c>
      <c r="AA225" s="39">
        <v>1</v>
      </c>
      <c r="AB225" s="42">
        <f t="shared" si="113"/>
        <v>0</v>
      </c>
      <c r="AC225" s="39"/>
      <c r="AD225" s="39"/>
      <c r="AE225" s="44">
        <f t="shared" si="114"/>
        <v>12</v>
      </c>
      <c r="AF225" s="45">
        <f t="shared" si="115"/>
        <v>0</v>
      </c>
      <c r="AG225" s="45">
        <f t="shared" si="116"/>
        <v>0</v>
      </c>
      <c r="AH225" s="46" t="s">
        <v>82</v>
      </c>
      <c r="AI225" s="40" t="s">
        <v>99</v>
      </c>
      <c r="AJ225" s="40" t="s">
        <v>100</v>
      </c>
      <c r="AK225" s="47" t="s">
        <v>195</v>
      </c>
      <c r="AL225" s="40"/>
      <c r="AM225" s="48">
        <f t="shared" si="117"/>
        <v>0</v>
      </c>
      <c r="AN225" s="48">
        <f t="shared" si="118"/>
        <v>0</v>
      </c>
      <c r="AO225" s="48">
        <f t="shared" si="119"/>
        <v>0</v>
      </c>
      <c r="AP225" s="48">
        <f t="shared" si="120"/>
        <v>0</v>
      </c>
      <c r="AQ225" s="48">
        <f t="shared" si="121"/>
        <v>0</v>
      </c>
      <c r="AR225" s="48">
        <f t="shared" si="122"/>
        <v>0</v>
      </c>
      <c r="AS225" s="48">
        <f t="shared" si="123"/>
        <v>0</v>
      </c>
      <c r="AT225" s="48">
        <f t="shared" si="124"/>
        <v>0</v>
      </c>
      <c r="AU225" s="48">
        <f t="shared" si="125"/>
        <v>0</v>
      </c>
      <c r="AV225" s="48">
        <f t="shared" si="126"/>
        <v>0</v>
      </c>
      <c r="AW225" s="48">
        <f>IF(N225="ПП",РПП*AB225*(V225/1.5),IF(N225="ВП",ВПр*AB225*(V225/1.5),IF(N225="РПА",РПА*AB225*(V225/1.5),IF(N225="КПА",кпа*AB225*(V225/1.5),0))))</f>
        <v>0</v>
      </c>
      <c r="AX225" s="48">
        <f t="shared" si="127"/>
        <v>0</v>
      </c>
      <c r="AY225" s="48">
        <f t="shared" si="128"/>
        <v>0</v>
      </c>
      <c r="AZ225" s="48">
        <f t="shared" si="129"/>
        <v>0</v>
      </c>
      <c r="BA225" s="48">
        <f t="shared" si="130"/>
        <v>0</v>
      </c>
      <c r="BB225" s="48">
        <f t="shared" si="131"/>
        <v>0</v>
      </c>
      <c r="BC225" s="48">
        <f t="shared" si="132"/>
        <v>0</v>
      </c>
      <c r="BD225" s="48">
        <f t="shared" si="133"/>
        <v>0</v>
      </c>
      <c r="BE225" s="48">
        <f t="shared" si="134"/>
        <v>0</v>
      </c>
      <c r="BF225" s="49">
        <f t="shared" si="135"/>
        <v>0</v>
      </c>
      <c r="BG225" s="50"/>
      <c r="BH225" s="51">
        <f t="shared" si="136"/>
        <v>0</v>
      </c>
      <c r="BI225" s="51">
        <f t="shared" si="137"/>
        <v>0</v>
      </c>
      <c r="BJ225" s="51">
        <f t="shared" si="138"/>
        <v>0</v>
      </c>
      <c r="BK225" s="52">
        <f t="shared" si="139"/>
        <v>0</v>
      </c>
      <c r="BL225" s="52">
        <f t="shared" si="140"/>
        <v>0</v>
      </c>
      <c r="BM225" s="52">
        <f t="shared" si="141"/>
        <v>0</v>
      </c>
    </row>
    <row r="226" spans="1:65" ht="30" customHeight="1" x14ac:dyDescent="0.25">
      <c r="A226" s="31" t="str">
        <f t="shared" si="107"/>
        <v>Д</v>
      </c>
      <c r="B226" s="31" t="str">
        <f t="shared" si="108"/>
        <v>Б</v>
      </c>
      <c r="C226" s="32" t="s">
        <v>186</v>
      </c>
      <c r="D226" s="33" t="str">
        <f t="shared" si="109"/>
        <v>Факультет физико-математических и естественных наук</v>
      </c>
      <c r="E226" s="34" t="str">
        <f t="shared" si="110"/>
        <v>'02.03.00</v>
      </c>
      <c r="F226" s="35" t="str">
        <f t="shared" si="111"/>
        <v>Компьютерные и информационные науки (УГСН)</v>
      </c>
      <c r="G226" s="36" t="s">
        <v>76</v>
      </c>
      <c r="H226" s="36" t="s">
        <v>183</v>
      </c>
      <c r="I226" s="37"/>
      <c r="J226" s="37"/>
      <c r="K226" s="38" t="s">
        <v>193</v>
      </c>
      <c r="L226" s="39">
        <v>4</v>
      </c>
      <c r="M226" s="39">
        <v>18</v>
      </c>
      <c r="N226" s="40" t="s">
        <v>94</v>
      </c>
      <c r="O226" s="39"/>
      <c r="P226" s="39">
        <v>2</v>
      </c>
      <c r="Q226" s="39"/>
      <c r="R226" s="40"/>
      <c r="S226" s="41"/>
      <c r="T226" s="41"/>
      <c r="U226" s="41"/>
      <c r="V226" s="41"/>
      <c r="W226" s="41"/>
      <c r="X226" s="42" t="str">
        <f t="shared" si="112"/>
        <v>НКАбд</v>
      </c>
      <c r="Y226" s="39" t="s">
        <v>108</v>
      </c>
      <c r="Z226" s="39">
        <v>1</v>
      </c>
      <c r="AA226" s="39">
        <v>1</v>
      </c>
      <c r="AB226" s="42">
        <f t="shared" si="113"/>
        <v>26</v>
      </c>
      <c r="AC226" s="39">
        <v>17</v>
      </c>
      <c r="AD226" s="39">
        <v>9</v>
      </c>
      <c r="AE226" s="44">
        <f t="shared" si="114"/>
        <v>12</v>
      </c>
      <c r="AF226" s="45">
        <f t="shared" si="115"/>
        <v>1</v>
      </c>
      <c r="AG226" s="45">
        <f t="shared" si="116"/>
        <v>2.1666666666666665</v>
      </c>
      <c r="AH226" s="46" t="s">
        <v>82</v>
      </c>
      <c r="AI226" s="40" t="s">
        <v>99</v>
      </c>
      <c r="AJ226" s="40" t="s">
        <v>100</v>
      </c>
      <c r="AK226" s="47" t="s">
        <v>195</v>
      </c>
      <c r="AL226" s="40"/>
      <c r="AM226" s="48">
        <f t="shared" si="117"/>
        <v>0</v>
      </c>
      <c r="AN226" s="48">
        <f t="shared" si="118"/>
        <v>0</v>
      </c>
      <c r="AO226" s="48">
        <f t="shared" si="119"/>
        <v>36</v>
      </c>
      <c r="AP226" s="48">
        <f t="shared" si="120"/>
        <v>0</v>
      </c>
      <c r="AQ226" s="48">
        <f t="shared" si="121"/>
        <v>0</v>
      </c>
      <c r="AR226" s="48">
        <f t="shared" si="122"/>
        <v>0</v>
      </c>
      <c r="AS226" s="48">
        <f t="shared" si="123"/>
        <v>0</v>
      </c>
      <c r="AT226" s="48">
        <f t="shared" si="124"/>
        <v>0</v>
      </c>
      <c r="AU226" s="48">
        <f t="shared" si="125"/>
        <v>0</v>
      </c>
      <c r="AV226" s="48">
        <f t="shared" si="126"/>
        <v>0</v>
      </c>
      <c r="AW226" s="48">
        <f>IF(N226="ПП",РПП*AB226*(V226/1.5),IF(N226="ВП",ВПр*AB226*(V226/1.5),IF(N226="РПА",РПА*AB226*(V226/1.5),IF(N226="КПА",кпа*AB226*(V226/1.5),0))))</f>
        <v>0</v>
      </c>
      <c r="AX226" s="48">
        <f t="shared" si="127"/>
        <v>0</v>
      </c>
      <c r="AY226" s="48">
        <f t="shared" si="128"/>
        <v>0</v>
      </c>
      <c r="AZ226" s="48">
        <f t="shared" si="129"/>
        <v>0</v>
      </c>
      <c r="BA226" s="48">
        <f t="shared" si="130"/>
        <v>0</v>
      </c>
      <c r="BB226" s="48">
        <f t="shared" si="131"/>
        <v>0</v>
      </c>
      <c r="BC226" s="48">
        <f t="shared" si="132"/>
        <v>0</v>
      </c>
      <c r="BD226" s="48">
        <f t="shared" si="133"/>
        <v>0</v>
      </c>
      <c r="BE226" s="48">
        <f t="shared" si="134"/>
        <v>0</v>
      </c>
      <c r="BF226" s="49">
        <f t="shared" si="135"/>
        <v>36</v>
      </c>
      <c r="BG226" s="50"/>
      <c r="BH226" s="51">
        <f t="shared" si="136"/>
        <v>0</v>
      </c>
      <c r="BI226" s="51">
        <f t="shared" si="137"/>
        <v>0</v>
      </c>
      <c r="BJ226" s="51">
        <f t="shared" si="138"/>
        <v>0</v>
      </c>
      <c r="BK226" s="52">
        <f t="shared" si="139"/>
        <v>36</v>
      </c>
      <c r="BL226" s="52">
        <f t="shared" si="140"/>
        <v>1</v>
      </c>
      <c r="BM226" s="52">
        <f t="shared" si="141"/>
        <v>0</v>
      </c>
    </row>
    <row r="227" spans="1:65" ht="30" customHeight="1" x14ac:dyDescent="0.25">
      <c r="A227" s="31" t="str">
        <f t="shared" si="107"/>
        <v>Д</v>
      </c>
      <c r="B227" s="31" t="str">
        <f t="shared" si="108"/>
        <v>Б</v>
      </c>
      <c r="C227" s="32" t="s">
        <v>186</v>
      </c>
      <c r="D227" s="33" t="str">
        <f t="shared" si="109"/>
        <v>Факультет физико-математических и естественных наук</v>
      </c>
      <c r="E227" s="34" t="str">
        <f t="shared" si="110"/>
        <v>'02.03.00</v>
      </c>
      <c r="F227" s="35" t="str">
        <f t="shared" si="111"/>
        <v>Компьютерные и информационные науки (УГСН)</v>
      </c>
      <c r="G227" s="36" t="s">
        <v>76</v>
      </c>
      <c r="H227" s="36" t="s">
        <v>183</v>
      </c>
      <c r="I227" s="37"/>
      <c r="J227" s="37"/>
      <c r="K227" s="38" t="s">
        <v>193</v>
      </c>
      <c r="L227" s="39">
        <v>4</v>
      </c>
      <c r="M227" s="39">
        <v>18</v>
      </c>
      <c r="N227" s="40" t="s">
        <v>94</v>
      </c>
      <c r="O227" s="39"/>
      <c r="P227" s="39">
        <v>2</v>
      </c>
      <c r="Q227" s="39"/>
      <c r="R227" s="40"/>
      <c r="S227" s="41"/>
      <c r="T227" s="41"/>
      <c r="U227" s="41"/>
      <c r="V227" s="41"/>
      <c r="W227" s="41"/>
      <c r="X227" s="42" t="str">
        <f t="shared" si="112"/>
        <v>НКАбд</v>
      </c>
      <c r="Y227" s="39" t="s">
        <v>108</v>
      </c>
      <c r="Z227" s="39">
        <v>1</v>
      </c>
      <c r="AA227" s="39">
        <v>1</v>
      </c>
      <c r="AB227" s="42">
        <f t="shared" si="113"/>
        <v>0</v>
      </c>
      <c r="AC227" s="39"/>
      <c r="AD227" s="39"/>
      <c r="AE227" s="44">
        <f t="shared" si="114"/>
        <v>12</v>
      </c>
      <c r="AF227" s="45">
        <f t="shared" si="115"/>
        <v>0</v>
      </c>
      <c r="AG227" s="45">
        <f t="shared" si="116"/>
        <v>0</v>
      </c>
      <c r="AH227" s="46" t="s">
        <v>82</v>
      </c>
      <c r="AI227" s="40" t="s">
        <v>99</v>
      </c>
      <c r="AJ227" s="40" t="s">
        <v>100</v>
      </c>
      <c r="AK227" s="47" t="s">
        <v>195</v>
      </c>
      <c r="AL227" s="40"/>
      <c r="AM227" s="48">
        <f t="shared" si="117"/>
        <v>0</v>
      </c>
      <c r="AN227" s="48">
        <f t="shared" si="118"/>
        <v>0</v>
      </c>
      <c r="AO227" s="48">
        <f t="shared" si="119"/>
        <v>0</v>
      </c>
      <c r="AP227" s="48">
        <f t="shared" si="120"/>
        <v>0</v>
      </c>
      <c r="AQ227" s="48">
        <f t="shared" si="121"/>
        <v>0</v>
      </c>
      <c r="AR227" s="48">
        <f t="shared" si="122"/>
        <v>0</v>
      </c>
      <c r="AS227" s="48">
        <f t="shared" si="123"/>
        <v>0</v>
      </c>
      <c r="AT227" s="48">
        <f t="shared" si="124"/>
        <v>0</v>
      </c>
      <c r="AU227" s="48">
        <f t="shared" si="125"/>
        <v>0</v>
      </c>
      <c r="AV227" s="48">
        <f t="shared" si="126"/>
        <v>0</v>
      </c>
      <c r="AW227" s="48">
        <f>IF(N227="ПП",РПП*AB227*(V227/1.5),IF(N227="ВП",ВПр*AB227*(V227/1.5),IF(N227="РПА",РПА*AB227*(V227/1.5),IF(N227="КПА",кпа*AB227*(V227/1.5),0))))</f>
        <v>0</v>
      </c>
      <c r="AX227" s="48">
        <f t="shared" si="127"/>
        <v>0</v>
      </c>
      <c r="AY227" s="48">
        <f t="shared" si="128"/>
        <v>0</v>
      </c>
      <c r="AZ227" s="48">
        <f t="shared" si="129"/>
        <v>0</v>
      </c>
      <c r="BA227" s="48">
        <f t="shared" si="130"/>
        <v>0</v>
      </c>
      <c r="BB227" s="48">
        <f t="shared" si="131"/>
        <v>0</v>
      </c>
      <c r="BC227" s="48">
        <f t="shared" si="132"/>
        <v>0</v>
      </c>
      <c r="BD227" s="48">
        <f t="shared" si="133"/>
        <v>0</v>
      </c>
      <c r="BE227" s="48">
        <f t="shared" si="134"/>
        <v>0</v>
      </c>
      <c r="BF227" s="49">
        <f t="shared" si="135"/>
        <v>0</v>
      </c>
      <c r="BG227" s="50"/>
      <c r="BH227" s="51">
        <f t="shared" si="136"/>
        <v>0</v>
      </c>
      <c r="BI227" s="51">
        <f t="shared" si="137"/>
        <v>0</v>
      </c>
      <c r="BJ227" s="51">
        <f t="shared" si="138"/>
        <v>0</v>
      </c>
      <c r="BK227" s="52">
        <f t="shared" si="139"/>
        <v>0</v>
      </c>
      <c r="BL227" s="52">
        <f t="shared" si="140"/>
        <v>0</v>
      </c>
      <c r="BM227" s="52">
        <f t="shared" si="141"/>
        <v>0</v>
      </c>
    </row>
    <row r="228" spans="1:65" ht="30" customHeight="1" x14ac:dyDescent="0.25">
      <c r="A228" s="31" t="str">
        <f t="shared" si="107"/>
        <v>Д</v>
      </c>
      <c r="B228" s="31" t="str">
        <f t="shared" si="108"/>
        <v>Б</v>
      </c>
      <c r="C228" s="32" t="s">
        <v>186</v>
      </c>
      <c r="D228" s="33" t="str">
        <f t="shared" si="109"/>
        <v>Факультет физико-математических и естественных наук</v>
      </c>
      <c r="E228" s="34" t="str">
        <f t="shared" si="110"/>
        <v>'02.03.00</v>
      </c>
      <c r="F228" s="35" t="str">
        <f t="shared" si="111"/>
        <v>Компьютерные и информационные науки (УГСН)</v>
      </c>
      <c r="G228" s="36" t="s">
        <v>76</v>
      </c>
      <c r="H228" s="36" t="s">
        <v>183</v>
      </c>
      <c r="I228" s="37"/>
      <c r="J228" s="37"/>
      <c r="K228" s="38" t="s">
        <v>193</v>
      </c>
      <c r="L228" s="39">
        <v>4</v>
      </c>
      <c r="M228" s="39">
        <v>18</v>
      </c>
      <c r="N228" s="40" t="s">
        <v>94</v>
      </c>
      <c r="O228" s="39"/>
      <c r="P228" s="39">
        <v>2</v>
      </c>
      <c r="Q228" s="39"/>
      <c r="R228" s="40"/>
      <c r="S228" s="41"/>
      <c r="T228" s="41"/>
      <c r="U228" s="41"/>
      <c r="V228" s="41"/>
      <c r="W228" s="41"/>
      <c r="X228" s="42" t="str">
        <f t="shared" si="112"/>
        <v>НКАбд</v>
      </c>
      <c r="Y228" s="39" t="s">
        <v>110</v>
      </c>
      <c r="Z228" s="39">
        <v>1</v>
      </c>
      <c r="AA228" s="39">
        <v>1</v>
      </c>
      <c r="AB228" s="42">
        <f t="shared" si="113"/>
        <v>26</v>
      </c>
      <c r="AC228" s="39">
        <v>16</v>
      </c>
      <c r="AD228" s="39">
        <v>10</v>
      </c>
      <c r="AE228" s="44">
        <f t="shared" si="114"/>
        <v>12</v>
      </c>
      <c r="AF228" s="45">
        <f t="shared" si="115"/>
        <v>1</v>
      </c>
      <c r="AG228" s="45">
        <f t="shared" si="116"/>
        <v>2.1666666666666665</v>
      </c>
      <c r="AH228" s="46" t="s">
        <v>82</v>
      </c>
      <c r="AI228" s="40" t="s">
        <v>99</v>
      </c>
      <c r="AJ228" s="40" t="s">
        <v>100</v>
      </c>
      <c r="AK228" s="47" t="s">
        <v>195</v>
      </c>
      <c r="AL228" s="40"/>
      <c r="AM228" s="48">
        <f t="shared" si="117"/>
        <v>0</v>
      </c>
      <c r="AN228" s="48">
        <f t="shared" si="118"/>
        <v>0</v>
      </c>
      <c r="AO228" s="48">
        <f t="shared" si="119"/>
        <v>36</v>
      </c>
      <c r="AP228" s="48">
        <f t="shared" si="120"/>
        <v>0</v>
      </c>
      <c r="AQ228" s="48">
        <f t="shared" si="121"/>
        <v>0</v>
      </c>
      <c r="AR228" s="48">
        <f t="shared" si="122"/>
        <v>0</v>
      </c>
      <c r="AS228" s="48">
        <f t="shared" si="123"/>
        <v>0</v>
      </c>
      <c r="AT228" s="48">
        <f t="shared" si="124"/>
        <v>0</v>
      </c>
      <c r="AU228" s="48">
        <f t="shared" si="125"/>
        <v>0</v>
      </c>
      <c r="AV228" s="48">
        <f t="shared" si="126"/>
        <v>0</v>
      </c>
      <c r="AW228" s="48">
        <f>IF(N228="ПП",РПП*AB228*(V228/1.5),IF(N228="ВП",ВПр*AB228*(V228/1.5),IF(N228="РПА",РПА*AB228*(V228/1.5),IF(N228="КПА",кпа*AB228*(V228/1.5),0))))</f>
        <v>0</v>
      </c>
      <c r="AX228" s="48">
        <f t="shared" si="127"/>
        <v>0</v>
      </c>
      <c r="AY228" s="48">
        <f t="shared" si="128"/>
        <v>0</v>
      </c>
      <c r="AZ228" s="48">
        <f t="shared" si="129"/>
        <v>0</v>
      </c>
      <c r="BA228" s="48">
        <f t="shared" si="130"/>
        <v>0</v>
      </c>
      <c r="BB228" s="48">
        <f t="shared" si="131"/>
        <v>0</v>
      </c>
      <c r="BC228" s="48">
        <f t="shared" si="132"/>
        <v>0</v>
      </c>
      <c r="BD228" s="48">
        <f t="shared" si="133"/>
        <v>0</v>
      </c>
      <c r="BE228" s="48">
        <f t="shared" si="134"/>
        <v>0</v>
      </c>
      <c r="BF228" s="49">
        <f t="shared" si="135"/>
        <v>36</v>
      </c>
      <c r="BG228" s="50"/>
      <c r="BH228" s="51">
        <f t="shared" si="136"/>
        <v>0</v>
      </c>
      <c r="BI228" s="51">
        <f t="shared" si="137"/>
        <v>0</v>
      </c>
      <c r="BJ228" s="51">
        <f t="shared" si="138"/>
        <v>0</v>
      </c>
      <c r="BK228" s="52">
        <f t="shared" si="139"/>
        <v>36</v>
      </c>
      <c r="BL228" s="52">
        <f t="shared" si="140"/>
        <v>1</v>
      </c>
      <c r="BM228" s="52">
        <f t="shared" si="141"/>
        <v>0</v>
      </c>
    </row>
    <row r="229" spans="1:65" ht="30" customHeight="1" x14ac:dyDescent="0.25">
      <c r="A229" s="31" t="str">
        <f t="shared" si="107"/>
        <v>Д</v>
      </c>
      <c r="B229" s="31" t="str">
        <f t="shared" si="108"/>
        <v>Б</v>
      </c>
      <c r="C229" s="32" t="s">
        <v>186</v>
      </c>
      <c r="D229" s="33" t="str">
        <f t="shared" si="109"/>
        <v>Факультет физико-математических и естественных наук</v>
      </c>
      <c r="E229" s="34" t="str">
        <f t="shared" si="110"/>
        <v>'02.03.00</v>
      </c>
      <c r="F229" s="35" t="str">
        <f t="shared" si="111"/>
        <v>Компьютерные и информационные науки (УГСН)</v>
      </c>
      <c r="G229" s="36" t="s">
        <v>76</v>
      </c>
      <c r="H229" s="36" t="s">
        <v>183</v>
      </c>
      <c r="I229" s="37"/>
      <c r="J229" s="37"/>
      <c r="K229" s="38" t="s">
        <v>193</v>
      </c>
      <c r="L229" s="39">
        <v>4</v>
      </c>
      <c r="M229" s="39">
        <v>18</v>
      </c>
      <c r="N229" s="40" t="s">
        <v>94</v>
      </c>
      <c r="O229" s="39"/>
      <c r="P229" s="39">
        <v>2</v>
      </c>
      <c r="Q229" s="39"/>
      <c r="R229" s="40"/>
      <c r="S229" s="41"/>
      <c r="T229" s="41"/>
      <c r="U229" s="41"/>
      <c r="V229" s="41"/>
      <c r="W229" s="41"/>
      <c r="X229" s="42" t="str">
        <f t="shared" si="112"/>
        <v>НКАбд</v>
      </c>
      <c r="Y229" s="39" t="s">
        <v>110</v>
      </c>
      <c r="Z229" s="39">
        <v>1</v>
      </c>
      <c r="AA229" s="39">
        <v>1</v>
      </c>
      <c r="AB229" s="42">
        <f t="shared" si="113"/>
        <v>0</v>
      </c>
      <c r="AC229" s="39"/>
      <c r="AD229" s="39"/>
      <c r="AE229" s="44">
        <f t="shared" si="114"/>
        <v>12</v>
      </c>
      <c r="AF229" s="45">
        <f t="shared" si="115"/>
        <v>0</v>
      </c>
      <c r="AG229" s="45">
        <f t="shared" si="116"/>
        <v>0</v>
      </c>
      <c r="AH229" s="46" t="s">
        <v>82</v>
      </c>
      <c r="AI229" s="40" t="s">
        <v>99</v>
      </c>
      <c r="AJ229" s="40" t="s">
        <v>100</v>
      </c>
      <c r="AK229" s="47" t="s">
        <v>195</v>
      </c>
      <c r="AL229" s="40"/>
      <c r="AM229" s="48">
        <f t="shared" si="117"/>
        <v>0</v>
      </c>
      <c r="AN229" s="48">
        <f t="shared" si="118"/>
        <v>0</v>
      </c>
      <c r="AO229" s="48">
        <f t="shared" si="119"/>
        <v>0</v>
      </c>
      <c r="AP229" s="48">
        <f t="shared" si="120"/>
        <v>0</v>
      </c>
      <c r="AQ229" s="48">
        <f t="shared" si="121"/>
        <v>0</v>
      </c>
      <c r="AR229" s="48">
        <f t="shared" si="122"/>
        <v>0</v>
      </c>
      <c r="AS229" s="48">
        <f t="shared" si="123"/>
        <v>0</v>
      </c>
      <c r="AT229" s="48">
        <f t="shared" si="124"/>
        <v>0</v>
      </c>
      <c r="AU229" s="48">
        <f t="shared" si="125"/>
        <v>0</v>
      </c>
      <c r="AV229" s="48">
        <f t="shared" si="126"/>
        <v>0</v>
      </c>
      <c r="AW229" s="48">
        <f>IF(N229="ПП",РПП*AB229*(V229/1.5),IF(N229="ВП",ВПр*AB229*(V229/1.5),IF(N229="РПА",РПА*AB229*(V229/1.5),IF(N229="КПА",кпа*AB229*(V229/1.5),0))))</f>
        <v>0</v>
      </c>
      <c r="AX229" s="48">
        <f t="shared" si="127"/>
        <v>0</v>
      </c>
      <c r="AY229" s="48">
        <f t="shared" si="128"/>
        <v>0</v>
      </c>
      <c r="AZ229" s="48">
        <f t="shared" si="129"/>
        <v>0</v>
      </c>
      <c r="BA229" s="48">
        <f t="shared" si="130"/>
        <v>0</v>
      </c>
      <c r="BB229" s="48">
        <f t="shared" si="131"/>
        <v>0</v>
      </c>
      <c r="BC229" s="48">
        <f t="shared" si="132"/>
        <v>0</v>
      </c>
      <c r="BD229" s="48">
        <f t="shared" si="133"/>
        <v>0</v>
      </c>
      <c r="BE229" s="48">
        <f t="shared" si="134"/>
        <v>0</v>
      </c>
      <c r="BF229" s="49">
        <f t="shared" si="135"/>
        <v>0</v>
      </c>
      <c r="BG229" s="50"/>
      <c r="BH229" s="51">
        <f t="shared" si="136"/>
        <v>0</v>
      </c>
      <c r="BI229" s="51">
        <f t="shared" si="137"/>
        <v>0</v>
      </c>
      <c r="BJ229" s="51">
        <f t="shared" si="138"/>
        <v>0</v>
      </c>
      <c r="BK229" s="52">
        <f t="shared" si="139"/>
        <v>0</v>
      </c>
      <c r="BL229" s="52">
        <f t="shared" si="140"/>
        <v>0</v>
      </c>
      <c r="BM229" s="52">
        <f t="shared" si="141"/>
        <v>0</v>
      </c>
    </row>
    <row r="230" spans="1:65" ht="30" customHeight="1" x14ac:dyDescent="0.25">
      <c r="A230" s="31" t="str">
        <f t="shared" si="107"/>
        <v>Д</v>
      </c>
      <c r="B230" s="31" t="str">
        <f t="shared" si="108"/>
        <v>Б</v>
      </c>
      <c r="C230" s="32" t="s">
        <v>186</v>
      </c>
      <c r="D230" s="33" t="str">
        <f t="shared" si="109"/>
        <v>Факультет физико-математических и естественных наук</v>
      </c>
      <c r="E230" s="34" t="str">
        <f t="shared" si="110"/>
        <v>'02.03.00</v>
      </c>
      <c r="F230" s="35" t="str">
        <f t="shared" si="111"/>
        <v>Компьютерные и информационные науки (УГСН)</v>
      </c>
      <c r="G230" s="36" t="s">
        <v>76</v>
      </c>
      <c r="H230" s="36" t="s">
        <v>183</v>
      </c>
      <c r="I230" s="37"/>
      <c r="J230" s="37"/>
      <c r="K230" s="38" t="s">
        <v>193</v>
      </c>
      <c r="L230" s="39">
        <v>4</v>
      </c>
      <c r="M230" s="39">
        <v>18</v>
      </c>
      <c r="N230" s="40" t="s">
        <v>94</v>
      </c>
      <c r="O230" s="39"/>
      <c r="P230" s="39">
        <v>2</v>
      </c>
      <c r="Q230" s="39"/>
      <c r="R230" s="40"/>
      <c r="S230" s="41"/>
      <c r="T230" s="41"/>
      <c r="U230" s="41"/>
      <c r="V230" s="41"/>
      <c r="W230" s="41"/>
      <c r="X230" s="42" t="str">
        <f t="shared" si="112"/>
        <v>НКАбд</v>
      </c>
      <c r="Y230" s="39" t="s">
        <v>196</v>
      </c>
      <c r="Z230" s="39">
        <v>1</v>
      </c>
      <c r="AA230" s="39">
        <v>1</v>
      </c>
      <c r="AB230" s="42">
        <f t="shared" si="113"/>
        <v>26</v>
      </c>
      <c r="AC230" s="39">
        <v>16</v>
      </c>
      <c r="AD230" s="39">
        <v>10</v>
      </c>
      <c r="AE230" s="44">
        <f t="shared" si="114"/>
        <v>12</v>
      </c>
      <c r="AF230" s="45">
        <f t="shared" si="115"/>
        <v>1</v>
      </c>
      <c r="AG230" s="45">
        <f t="shared" si="116"/>
        <v>2.1666666666666665</v>
      </c>
      <c r="AH230" s="46" t="s">
        <v>82</v>
      </c>
      <c r="AI230" s="40" t="s">
        <v>99</v>
      </c>
      <c r="AJ230" s="40" t="s">
        <v>100</v>
      </c>
      <c r="AK230" s="47" t="s">
        <v>195</v>
      </c>
      <c r="AL230" s="40"/>
      <c r="AM230" s="48">
        <f t="shared" si="117"/>
        <v>0</v>
      </c>
      <c r="AN230" s="48">
        <f t="shared" si="118"/>
        <v>0</v>
      </c>
      <c r="AO230" s="48">
        <f t="shared" si="119"/>
        <v>36</v>
      </c>
      <c r="AP230" s="48">
        <f t="shared" si="120"/>
        <v>0</v>
      </c>
      <c r="AQ230" s="48">
        <f t="shared" si="121"/>
        <v>0</v>
      </c>
      <c r="AR230" s="48">
        <f t="shared" si="122"/>
        <v>0</v>
      </c>
      <c r="AS230" s="48">
        <f t="shared" si="123"/>
        <v>0</v>
      </c>
      <c r="AT230" s="48">
        <f t="shared" si="124"/>
        <v>0</v>
      </c>
      <c r="AU230" s="48">
        <f t="shared" si="125"/>
        <v>0</v>
      </c>
      <c r="AV230" s="48">
        <f t="shared" si="126"/>
        <v>0</v>
      </c>
      <c r="AW230" s="48">
        <f>IF(N230="ПП",РПП*AB230*(V230/1.5),IF(N230="ВП",ВПр*AB230*(V230/1.5),IF(N230="РПА",РПА*AB230*(V230/1.5),IF(N230="КПА",кпа*AB230*(V230/1.5),0))))</f>
        <v>0</v>
      </c>
      <c r="AX230" s="48">
        <f t="shared" si="127"/>
        <v>0</v>
      </c>
      <c r="AY230" s="48">
        <f t="shared" si="128"/>
        <v>0</v>
      </c>
      <c r="AZ230" s="48">
        <f t="shared" si="129"/>
        <v>0</v>
      </c>
      <c r="BA230" s="48">
        <f t="shared" si="130"/>
        <v>0</v>
      </c>
      <c r="BB230" s="48">
        <f t="shared" si="131"/>
        <v>0</v>
      </c>
      <c r="BC230" s="48">
        <f t="shared" si="132"/>
        <v>0</v>
      </c>
      <c r="BD230" s="48">
        <f t="shared" si="133"/>
        <v>0</v>
      </c>
      <c r="BE230" s="48">
        <f t="shared" si="134"/>
        <v>0</v>
      </c>
      <c r="BF230" s="49">
        <f t="shared" si="135"/>
        <v>36</v>
      </c>
      <c r="BG230" s="50"/>
      <c r="BH230" s="51">
        <f t="shared" si="136"/>
        <v>0</v>
      </c>
      <c r="BI230" s="51">
        <f t="shared" si="137"/>
        <v>0</v>
      </c>
      <c r="BJ230" s="51">
        <f t="shared" si="138"/>
        <v>0</v>
      </c>
      <c r="BK230" s="52">
        <f t="shared" si="139"/>
        <v>36</v>
      </c>
      <c r="BL230" s="52">
        <f t="shared" si="140"/>
        <v>1</v>
      </c>
      <c r="BM230" s="52">
        <f t="shared" si="141"/>
        <v>0</v>
      </c>
    </row>
    <row r="231" spans="1:65" ht="30" customHeight="1" x14ac:dyDescent="0.25">
      <c r="A231" s="31" t="str">
        <f t="shared" si="107"/>
        <v>Д</v>
      </c>
      <c r="B231" s="31" t="str">
        <f t="shared" si="108"/>
        <v>Б</v>
      </c>
      <c r="C231" s="32" t="s">
        <v>186</v>
      </c>
      <c r="D231" s="33" t="str">
        <f t="shared" si="109"/>
        <v>Факультет физико-математических и естественных наук</v>
      </c>
      <c r="E231" s="34" t="str">
        <f t="shared" si="110"/>
        <v>'02.03.00</v>
      </c>
      <c r="F231" s="35" t="str">
        <f t="shared" si="111"/>
        <v>Компьютерные и информационные науки (УГСН)</v>
      </c>
      <c r="G231" s="36" t="s">
        <v>76</v>
      </c>
      <c r="H231" s="36" t="s">
        <v>183</v>
      </c>
      <c r="I231" s="37"/>
      <c r="J231" s="37"/>
      <c r="K231" s="38" t="s">
        <v>193</v>
      </c>
      <c r="L231" s="39">
        <v>4</v>
      </c>
      <c r="M231" s="39">
        <v>18</v>
      </c>
      <c r="N231" s="40" t="s">
        <v>94</v>
      </c>
      <c r="O231" s="39"/>
      <c r="P231" s="39">
        <v>2</v>
      </c>
      <c r="Q231" s="39"/>
      <c r="R231" s="40"/>
      <c r="S231" s="41"/>
      <c r="T231" s="41"/>
      <c r="U231" s="41"/>
      <c r="V231" s="41"/>
      <c r="W231" s="41"/>
      <c r="X231" s="42" t="str">
        <f t="shared" si="112"/>
        <v>НКАбд</v>
      </c>
      <c r="Y231" s="39" t="s">
        <v>196</v>
      </c>
      <c r="Z231" s="39">
        <v>1</v>
      </c>
      <c r="AA231" s="39">
        <v>1</v>
      </c>
      <c r="AB231" s="42">
        <f t="shared" si="113"/>
        <v>0</v>
      </c>
      <c r="AC231" s="39"/>
      <c r="AD231" s="39"/>
      <c r="AE231" s="44">
        <f t="shared" si="114"/>
        <v>12</v>
      </c>
      <c r="AF231" s="45">
        <f t="shared" si="115"/>
        <v>0</v>
      </c>
      <c r="AG231" s="45">
        <f t="shared" si="116"/>
        <v>0</v>
      </c>
      <c r="AH231" s="46" t="s">
        <v>82</v>
      </c>
      <c r="AI231" s="40" t="s">
        <v>99</v>
      </c>
      <c r="AJ231" s="40" t="s">
        <v>100</v>
      </c>
      <c r="AK231" s="47" t="s">
        <v>195</v>
      </c>
      <c r="AL231" s="40"/>
      <c r="AM231" s="48">
        <f t="shared" si="117"/>
        <v>0</v>
      </c>
      <c r="AN231" s="48">
        <f t="shared" si="118"/>
        <v>0</v>
      </c>
      <c r="AO231" s="48">
        <f t="shared" si="119"/>
        <v>0</v>
      </c>
      <c r="AP231" s="48">
        <f t="shared" si="120"/>
        <v>0</v>
      </c>
      <c r="AQ231" s="48">
        <f t="shared" si="121"/>
        <v>0</v>
      </c>
      <c r="AR231" s="48">
        <f t="shared" si="122"/>
        <v>0</v>
      </c>
      <c r="AS231" s="48">
        <f t="shared" si="123"/>
        <v>0</v>
      </c>
      <c r="AT231" s="48">
        <f t="shared" si="124"/>
        <v>0</v>
      </c>
      <c r="AU231" s="48">
        <f t="shared" si="125"/>
        <v>0</v>
      </c>
      <c r="AV231" s="48">
        <f t="shared" si="126"/>
        <v>0</v>
      </c>
      <c r="AW231" s="48">
        <f>IF(N231="ПП",РПП*AB231*(V231/1.5),IF(N231="ВП",ВПр*AB231*(V231/1.5),IF(N231="РПА",РПА*AB231*(V231/1.5),IF(N231="КПА",кпа*AB231*(V231/1.5),0))))</f>
        <v>0</v>
      </c>
      <c r="AX231" s="48">
        <f t="shared" si="127"/>
        <v>0</v>
      </c>
      <c r="AY231" s="48">
        <f t="shared" si="128"/>
        <v>0</v>
      </c>
      <c r="AZ231" s="48">
        <f t="shared" si="129"/>
        <v>0</v>
      </c>
      <c r="BA231" s="48">
        <f t="shared" si="130"/>
        <v>0</v>
      </c>
      <c r="BB231" s="48">
        <f t="shared" si="131"/>
        <v>0</v>
      </c>
      <c r="BC231" s="48">
        <f t="shared" si="132"/>
        <v>0</v>
      </c>
      <c r="BD231" s="48">
        <f t="shared" si="133"/>
        <v>0</v>
      </c>
      <c r="BE231" s="48">
        <f t="shared" si="134"/>
        <v>0</v>
      </c>
      <c r="BF231" s="49">
        <f t="shared" si="135"/>
        <v>0</v>
      </c>
      <c r="BG231" s="50"/>
      <c r="BH231" s="51">
        <f t="shared" si="136"/>
        <v>0</v>
      </c>
      <c r="BI231" s="51">
        <f t="shared" si="137"/>
        <v>0</v>
      </c>
      <c r="BJ231" s="51">
        <f t="shared" si="138"/>
        <v>0</v>
      </c>
      <c r="BK231" s="52">
        <f t="shared" si="139"/>
        <v>0</v>
      </c>
      <c r="BL231" s="52">
        <f t="shared" si="140"/>
        <v>0</v>
      </c>
      <c r="BM231" s="52">
        <f t="shared" si="141"/>
        <v>0</v>
      </c>
    </row>
    <row r="232" spans="1:65" ht="30" customHeight="1" x14ac:dyDescent="0.25">
      <c r="A232" s="31" t="str">
        <f t="shared" si="107"/>
        <v>Д</v>
      </c>
      <c r="B232" s="31" t="str">
        <f t="shared" si="108"/>
        <v>Б</v>
      </c>
      <c r="C232" s="32" t="s">
        <v>186</v>
      </c>
      <c r="D232" s="33" t="str">
        <f t="shared" si="109"/>
        <v>Факультет физико-математических и естественных наук</v>
      </c>
      <c r="E232" s="34" t="str">
        <f t="shared" si="110"/>
        <v>'02.03.00</v>
      </c>
      <c r="F232" s="35" t="str">
        <f t="shared" si="111"/>
        <v>Компьютерные и информационные науки (УГСН)</v>
      </c>
      <c r="G232" s="36" t="s">
        <v>76</v>
      </c>
      <c r="H232" s="36" t="s">
        <v>183</v>
      </c>
      <c r="I232" s="37"/>
      <c r="J232" s="37"/>
      <c r="K232" s="38" t="s">
        <v>193</v>
      </c>
      <c r="L232" s="39">
        <v>4</v>
      </c>
      <c r="M232" s="39">
        <v>18</v>
      </c>
      <c r="N232" s="40" t="s">
        <v>94</v>
      </c>
      <c r="O232" s="39"/>
      <c r="P232" s="39">
        <v>2</v>
      </c>
      <c r="Q232" s="39"/>
      <c r="R232" s="40"/>
      <c r="S232" s="41"/>
      <c r="T232" s="41"/>
      <c r="U232" s="41"/>
      <c r="V232" s="41"/>
      <c r="W232" s="41"/>
      <c r="X232" s="42" t="str">
        <f t="shared" si="112"/>
        <v>НКАбд</v>
      </c>
      <c r="Y232" s="39" t="s">
        <v>197</v>
      </c>
      <c r="Z232" s="39">
        <v>1</v>
      </c>
      <c r="AA232" s="39">
        <v>1</v>
      </c>
      <c r="AB232" s="42">
        <f t="shared" si="113"/>
        <v>25</v>
      </c>
      <c r="AC232" s="39">
        <v>16</v>
      </c>
      <c r="AD232" s="39">
        <v>9</v>
      </c>
      <c r="AE232" s="44">
        <f t="shared" si="114"/>
        <v>12</v>
      </c>
      <c r="AF232" s="45">
        <f t="shared" si="115"/>
        <v>1</v>
      </c>
      <c r="AG232" s="45">
        <f t="shared" si="116"/>
        <v>2.0833333333333335</v>
      </c>
      <c r="AH232" s="46" t="s">
        <v>82</v>
      </c>
      <c r="AI232" s="40" t="s">
        <v>99</v>
      </c>
      <c r="AJ232" s="40" t="s">
        <v>100</v>
      </c>
      <c r="AK232" s="47" t="s">
        <v>195</v>
      </c>
      <c r="AL232" s="40"/>
      <c r="AM232" s="48">
        <f t="shared" si="117"/>
        <v>0</v>
      </c>
      <c r="AN232" s="48">
        <f t="shared" si="118"/>
        <v>0</v>
      </c>
      <c r="AO232" s="48">
        <f t="shared" si="119"/>
        <v>36</v>
      </c>
      <c r="AP232" s="48">
        <f t="shared" si="120"/>
        <v>0</v>
      </c>
      <c r="AQ232" s="48">
        <f t="shared" si="121"/>
        <v>0</v>
      </c>
      <c r="AR232" s="48">
        <f t="shared" si="122"/>
        <v>0</v>
      </c>
      <c r="AS232" s="48">
        <f t="shared" si="123"/>
        <v>0</v>
      </c>
      <c r="AT232" s="48">
        <f t="shared" si="124"/>
        <v>0</v>
      </c>
      <c r="AU232" s="48">
        <f t="shared" si="125"/>
        <v>0</v>
      </c>
      <c r="AV232" s="48">
        <f t="shared" si="126"/>
        <v>0</v>
      </c>
      <c r="AW232" s="48">
        <f>IF(N232="ПП",РПП*AB232*(V232/1.5),IF(N232="ВП",ВПр*AB232*(V232/1.5),IF(N232="РПА",РПА*AB232*(V232/1.5),IF(N232="КПА",кпа*AB232*(V232/1.5),0))))</f>
        <v>0</v>
      </c>
      <c r="AX232" s="48">
        <f t="shared" si="127"/>
        <v>0</v>
      </c>
      <c r="AY232" s="48">
        <f t="shared" si="128"/>
        <v>0</v>
      </c>
      <c r="AZ232" s="48">
        <f t="shared" si="129"/>
        <v>0</v>
      </c>
      <c r="BA232" s="48">
        <f t="shared" si="130"/>
        <v>0</v>
      </c>
      <c r="BB232" s="48">
        <f t="shared" si="131"/>
        <v>0</v>
      </c>
      <c r="BC232" s="48">
        <f t="shared" si="132"/>
        <v>0</v>
      </c>
      <c r="BD232" s="48">
        <f t="shared" si="133"/>
        <v>0</v>
      </c>
      <c r="BE232" s="48">
        <f t="shared" si="134"/>
        <v>0</v>
      </c>
      <c r="BF232" s="49">
        <f t="shared" si="135"/>
        <v>36</v>
      </c>
      <c r="BG232" s="50"/>
      <c r="BH232" s="51">
        <f t="shared" si="136"/>
        <v>0</v>
      </c>
      <c r="BI232" s="51">
        <f t="shared" si="137"/>
        <v>0</v>
      </c>
      <c r="BJ232" s="51">
        <f t="shared" si="138"/>
        <v>0</v>
      </c>
      <c r="BK232" s="52">
        <f t="shared" si="139"/>
        <v>36</v>
      </c>
      <c r="BL232" s="52">
        <f t="shared" si="140"/>
        <v>1</v>
      </c>
      <c r="BM232" s="52">
        <f t="shared" si="141"/>
        <v>0</v>
      </c>
    </row>
    <row r="233" spans="1:65" ht="30" customHeight="1" x14ac:dyDescent="0.25">
      <c r="A233" s="31" t="str">
        <f t="shared" si="107"/>
        <v>Д</v>
      </c>
      <c r="B233" s="31" t="str">
        <f t="shared" si="108"/>
        <v>Б</v>
      </c>
      <c r="C233" s="32" t="s">
        <v>186</v>
      </c>
      <c r="D233" s="33" t="str">
        <f t="shared" si="109"/>
        <v>Факультет физико-математических и естественных наук</v>
      </c>
      <c r="E233" s="34" t="str">
        <f t="shared" si="110"/>
        <v>'02.03.00</v>
      </c>
      <c r="F233" s="35" t="str">
        <f t="shared" si="111"/>
        <v>Компьютерные и информационные науки (УГСН)</v>
      </c>
      <c r="G233" s="36" t="s">
        <v>76</v>
      </c>
      <c r="H233" s="36" t="s">
        <v>183</v>
      </c>
      <c r="I233" s="37"/>
      <c r="J233" s="37"/>
      <c r="K233" s="38" t="s">
        <v>193</v>
      </c>
      <c r="L233" s="39">
        <v>4</v>
      </c>
      <c r="M233" s="39">
        <v>18</v>
      </c>
      <c r="N233" s="40" t="s">
        <v>94</v>
      </c>
      <c r="O233" s="39"/>
      <c r="P233" s="39">
        <v>2</v>
      </c>
      <c r="Q233" s="39"/>
      <c r="R233" s="40"/>
      <c r="S233" s="41"/>
      <c r="T233" s="41"/>
      <c r="U233" s="41"/>
      <c r="V233" s="41"/>
      <c r="W233" s="41"/>
      <c r="X233" s="42" t="str">
        <f t="shared" si="112"/>
        <v>НКАбд</v>
      </c>
      <c r="Y233" s="39" t="s">
        <v>197</v>
      </c>
      <c r="Z233" s="39">
        <v>1</v>
      </c>
      <c r="AA233" s="39">
        <v>1</v>
      </c>
      <c r="AB233" s="42">
        <f t="shared" si="113"/>
        <v>0</v>
      </c>
      <c r="AC233" s="39"/>
      <c r="AD233" s="39"/>
      <c r="AE233" s="44">
        <f t="shared" si="114"/>
        <v>12</v>
      </c>
      <c r="AF233" s="45">
        <f t="shared" si="115"/>
        <v>0</v>
      </c>
      <c r="AG233" s="45">
        <f t="shared" si="116"/>
        <v>0</v>
      </c>
      <c r="AH233" s="46" t="s">
        <v>82</v>
      </c>
      <c r="AI233" s="40" t="s">
        <v>99</v>
      </c>
      <c r="AJ233" s="40" t="s">
        <v>100</v>
      </c>
      <c r="AK233" s="47" t="s">
        <v>195</v>
      </c>
      <c r="AL233" s="40"/>
      <c r="AM233" s="48">
        <f t="shared" si="117"/>
        <v>0</v>
      </c>
      <c r="AN233" s="48">
        <f t="shared" si="118"/>
        <v>0</v>
      </c>
      <c r="AO233" s="48">
        <f t="shared" si="119"/>
        <v>0</v>
      </c>
      <c r="AP233" s="48">
        <f t="shared" si="120"/>
        <v>0</v>
      </c>
      <c r="AQ233" s="48">
        <f t="shared" si="121"/>
        <v>0</v>
      </c>
      <c r="AR233" s="48">
        <f t="shared" si="122"/>
        <v>0</v>
      </c>
      <c r="AS233" s="48">
        <f t="shared" si="123"/>
        <v>0</v>
      </c>
      <c r="AT233" s="48">
        <f t="shared" si="124"/>
        <v>0</v>
      </c>
      <c r="AU233" s="48">
        <f t="shared" si="125"/>
        <v>0</v>
      </c>
      <c r="AV233" s="48">
        <f t="shared" si="126"/>
        <v>0</v>
      </c>
      <c r="AW233" s="48">
        <f>IF(N233="ПП",РПП*AB233*(V233/1.5),IF(N233="ВП",ВПр*AB233*(V233/1.5),IF(N233="РПА",РПА*AB233*(V233/1.5),IF(N233="КПА",кпа*AB233*(V233/1.5),0))))</f>
        <v>0</v>
      </c>
      <c r="AX233" s="48">
        <f t="shared" si="127"/>
        <v>0</v>
      </c>
      <c r="AY233" s="48">
        <f t="shared" si="128"/>
        <v>0</v>
      </c>
      <c r="AZ233" s="48">
        <f t="shared" si="129"/>
        <v>0</v>
      </c>
      <c r="BA233" s="48">
        <f t="shared" si="130"/>
        <v>0</v>
      </c>
      <c r="BB233" s="48">
        <f t="shared" si="131"/>
        <v>0</v>
      </c>
      <c r="BC233" s="48">
        <f t="shared" si="132"/>
        <v>0</v>
      </c>
      <c r="BD233" s="48">
        <f t="shared" si="133"/>
        <v>0</v>
      </c>
      <c r="BE233" s="48">
        <f t="shared" si="134"/>
        <v>0</v>
      </c>
      <c r="BF233" s="49">
        <f t="shared" si="135"/>
        <v>0</v>
      </c>
      <c r="BG233" s="50"/>
      <c r="BH233" s="51">
        <f t="shared" si="136"/>
        <v>0</v>
      </c>
      <c r="BI233" s="51">
        <f t="shared" si="137"/>
        <v>0</v>
      </c>
      <c r="BJ233" s="51">
        <f t="shared" si="138"/>
        <v>0</v>
      </c>
      <c r="BK233" s="52">
        <f t="shared" si="139"/>
        <v>0</v>
      </c>
      <c r="BL233" s="52">
        <f t="shared" si="140"/>
        <v>0</v>
      </c>
      <c r="BM233" s="52">
        <f t="shared" si="141"/>
        <v>0</v>
      </c>
    </row>
    <row r="234" spans="1:65" ht="30" customHeight="1" x14ac:dyDescent="0.25">
      <c r="A234" s="31" t="str">
        <f t="shared" si="107"/>
        <v>Д</v>
      </c>
      <c r="B234" s="31" t="str">
        <f t="shared" si="108"/>
        <v>Б</v>
      </c>
      <c r="C234" s="32" t="s">
        <v>198</v>
      </c>
      <c r="D234" s="33" t="str">
        <f t="shared" si="109"/>
        <v>Факультет физико-математических и естественных наук</v>
      </c>
      <c r="E234" s="34" t="str">
        <f t="shared" si="110"/>
        <v>'02.03.01</v>
      </c>
      <c r="F234" s="35" t="str">
        <f t="shared" si="111"/>
        <v>Математика и компьютерные науки</v>
      </c>
      <c r="G234" s="36" t="s">
        <v>76</v>
      </c>
      <c r="H234" s="36" t="s">
        <v>183</v>
      </c>
      <c r="I234" s="37"/>
      <c r="J234" s="37"/>
      <c r="K234" s="38" t="s">
        <v>125</v>
      </c>
      <c r="L234" s="39">
        <v>5</v>
      </c>
      <c r="M234" s="39">
        <v>18</v>
      </c>
      <c r="N234" s="40" t="s">
        <v>79</v>
      </c>
      <c r="O234" s="39">
        <v>1</v>
      </c>
      <c r="P234" s="39"/>
      <c r="Q234" s="39"/>
      <c r="R234" s="40" t="s">
        <v>80</v>
      </c>
      <c r="S234" s="41"/>
      <c r="T234" s="41"/>
      <c r="U234" s="41"/>
      <c r="V234" s="41"/>
      <c r="W234" s="41"/>
      <c r="X234" s="42" t="str">
        <f t="shared" si="112"/>
        <v>НКНбд</v>
      </c>
      <c r="Y234" s="43" t="s">
        <v>128</v>
      </c>
      <c r="Z234" s="39">
        <v>2</v>
      </c>
      <c r="AA234" s="39">
        <v>1</v>
      </c>
      <c r="AB234" s="42">
        <f t="shared" si="113"/>
        <v>29</v>
      </c>
      <c r="AC234" s="39">
        <v>19</v>
      </c>
      <c r="AD234" s="39">
        <v>10</v>
      </c>
      <c r="AE234" s="44">
        <f t="shared" si="114"/>
        <v>29</v>
      </c>
      <c r="AF234" s="45">
        <f t="shared" si="115"/>
        <v>1</v>
      </c>
      <c r="AG234" s="45">
        <f t="shared" si="116"/>
        <v>1</v>
      </c>
      <c r="AH234" s="46" t="s">
        <v>82</v>
      </c>
      <c r="AI234" s="40" t="s">
        <v>83</v>
      </c>
      <c r="AJ234" s="40" t="s">
        <v>84</v>
      </c>
      <c r="AK234" s="47" t="s">
        <v>127</v>
      </c>
      <c r="AL234" s="40"/>
      <c r="AM234" s="48">
        <f t="shared" si="117"/>
        <v>18</v>
      </c>
      <c r="AN234" s="48">
        <f t="shared" si="118"/>
        <v>0</v>
      </c>
      <c r="AO234" s="48">
        <f t="shared" si="119"/>
        <v>0</v>
      </c>
      <c r="AP234" s="48">
        <f t="shared" si="120"/>
        <v>9.57</v>
      </c>
      <c r="AQ234" s="48">
        <f t="shared" si="121"/>
        <v>14.5</v>
      </c>
      <c r="AR234" s="48">
        <f t="shared" si="122"/>
        <v>1</v>
      </c>
      <c r="AS234" s="48">
        <f t="shared" si="123"/>
        <v>0.9</v>
      </c>
      <c r="AT234" s="48">
        <f t="shared" si="124"/>
        <v>0</v>
      </c>
      <c r="AU234" s="48">
        <f t="shared" si="125"/>
        <v>0</v>
      </c>
      <c r="AV234" s="48">
        <f t="shared" si="126"/>
        <v>0</v>
      </c>
      <c r="AW234" s="48">
        <f>IF(N234="ПП",РПП*AB234*(V234/1.5),IF(N234="ВП",ВПр*AB234*(V234/1.5),IF(N234="РПА",РПА*AB234*(V234/1.5),IF(N234="КПА",кпа*AB234*(V234/1.5),0))))</f>
        <v>0</v>
      </c>
      <c r="AX234" s="48">
        <f t="shared" si="127"/>
        <v>0</v>
      </c>
      <c r="AY234" s="48">
        <f t="shared" si="128"/>
        <v>0</v>
      </c>
      <c r="AZ234" s="48">
        <f t="shared" si="129"/>
        <v>0</v>
      </c>
      <c r="BA234" s="48">
        <f t="shared" si="130"/>
        <v>0</v>
      </c>
      <c r="BB234" s="48">
        <f t="shared" si="131"/>
        <v>0</v>
      </c>
      <c r="BC234" s="48">
        <f t="shared" si="132"/>
        <v>0</v>
      </c>
      <c r="BD234" s="48">
        <f t="shared" si="133"/>
        <v>0</v>
      </c>
      <c r="BE234" s="48">
        <f t="shared" si="134"/>
        <v>0</v>
      </c>
      <c r="BF234" s="49">
        <f t="shared" si="135"/>
        <v>43.97</v>
      </c>
      <c r="BG234" s="50"/>
      <c r="BH234" s="51">
        <f t="shared" si="136"/>
        <v>18</v>
      </c>
      <c r="BI234" s="51">
        <f t="shared" si="137"/>
        <v>0.5</v>
      </c>
      <c r="BJ234" s="51">
        <f t="shared" si="138"/>
        <v>25.97</v>
      </c>
      <c r="BK234" s="52">
        <f t="shared" si="139"/>
        <v>0</v>
      </c>
      <c r="BL234" s="52">
        <f t="shared" si="140"/>
        <v>0</v>
      </c>
      <c r="BM234" s="52">
        <f t="shared" si="141"/>
        <v>0</v>
      </c>
    </row>
    <row r="235" spans="1:65" ht="30" customHeight="1" x14ac:dyDescent="0.25">
      <c r="A235" s="31" t="str">
        <f t="shared" si="107"/>
        <v>Д</v>
      </c>
      <c r="B235" s="31" t="str">
        <f t="shared" si="108"/>
        <v>Б</v>
      </c>
      <c r="C235" s="32" t="s">
        <v>198</v>
      </c>
      <c r="D235" s="33" t="str">
        <f t="shared" si="109"/>
        <v>Факультет физико-математических и естественных наук</v>
      </c>
      <c r="E235" s="34" t="str">
        <f t="shared" si="110"/>
        <v>'02.03.01</v>
      </c>
      <c r="F235" s="35" t="str">
        <f t="shared" si="111"/>
        <v>Математика и компьютерные науки</v>
      </c>
      <c r="G235" s="36" t="s">
        <v>76</v>
      </c>
      <c r="H235" s="36" t="s">
        <v>183</v>
      </c>
      <c r="I235" s="37"/>
      <c r="J235" s="37"/>
      <c r="K235" s="38" t="s">
        <v>125</v>
      </c>
      <c r="L235" s="39">
        <v>5</v>
      </c>
      <c r="M235" s="39">
        <v>18</v>
      </c>
      <c r="N235" s="40" t="s">
        <v>94</v>
      </c>
      <c r="O235" s="39"/>
      <c r="P235" s="39">
        <v>2</v>
      </c>
      <c r="Q235" s="39"/>
      <c r="R235" s="40"/>
      <c r="S235" s="41"/>
      <c r="T235" s="41"/>
      <c r="U235" s="41"/>
      <c r="V235" s="41"/>
      <c r="W235" s="41"/>
      <c r="X235" s="42" t="str">
        <f t="shared" si="112"/>
        <v>НКНбд</v>
      </c>
      <c r="Y235" s="43" t="s">
        <v>128</v>
      </c>
      <c r="Z235" s="39">
        <v>1</v>
      </c>
      <c r="AA235" s="39">
        <v>1</v>
      </c>
      <c r="AB235" s="42">
        <f t="shared" si="113"/>
        <v>29</v>
      </c>
      <c r="AC235" s="39">
        <v>19</v>
      </c>
      <c r="AD235" s="39">
        <v>10</v>
      </c>
      <c r="AE235" s="44">
        <f t="shared" si="114"/>
        <v>12</v>
      </c>
      <c r="AF235" s="45">
        <f t="shared" si="115"/>
        <v>1</v>
      </c>
      <c r="AG235" s="45">
        <f t="shared" si="116"/>
        <v>2.4166666666666665</v>
      </c>
      <c r="AH235" s="46" t="s">
        <v>82</v>
      </c>
      <c r="AI235" s="40" t="s">
        <v>83</v>
      </c>
      <c r="AJ235" s="40" t="s">
        <v>84</v>
      </c>
      <c r="AK235" s="47" t="s">
        <v>127</v>
      </c>
      <c r="AL235" s="40"/>
      <c r="AM235" s="48">
        <f t="shared" si="117"/>
        <v>0</v>
      </c>
      <c r="AN235" s="48">
        <f t="shared" si="118"/>
        <v>0</v>
      </c>
      <c r="AO235" s="48">
        <f t="shared" si="119"/>
        <v>36</v>
      </c>
      <c r="AP235" s="48">
        <f t="shared" si="120"/>
        <v>0</v>
      </c>
      <c r="AQ235" s="48">
        <f t="shared" si="121"/>
        <v>0</v>
      </c>
      <c r="AR235" s="48">
        <f t="shared" si="122"/>
        <v>0</v>
      </c>
      <c r="AS235" s="48">
        <f t="shared" si="123"/>
        <v>0</v>
      </c>
      <c r="AT235" s="48">
        <f t="shared" si="124"/>
        <v>0</v>
      </c>
      <c r="AU235" s="48">
        <f t="shared" si="125"/>
        <v>0</v>
      </c>
      <c r="AV235" s="48">
        <f t="shared" si="126"/>
        <v>0</v>
      </c>
      <c r="AW235" s="48">
        <f>IF(N235="ПП",РПП*AB235*(V235/1.5),IF(N235="ВП",ВПр*AB235*(V235/1.5),IF(N235="РПА",РПА*AB235*(V235/1.5),IF(N235="КПА",кпа*AB235*(V235/1.5),0))))</f>
        <v>0</v>
      </c>
      <c r="AX235" s="48">
        <f t="shared" si="127"/>
        <v>0</v>
      </c>
      <c r="AY235" s="48">
        <f t="shared" si="128"/>
        <v>0</v>
      </c>
      <c r="AZ235" s="48">
        <f t="shared" si="129"/>
        <v>0</v>
      </c>
      <c r="BA235" s="48">
        <f t="shared" si="130"/>
        <v>0</v>
      </c>
      <c r="BB235" s="48">
        <f t="shared" si="131"/>
        <v>0</v>
      </c>
      <c r="BC235" s="48">
        <f t="shared" si="132"/>
        <v>0</v>
      </c>
      <c r="BD235" s="48">
        <f t="shared" si="133"/>
        <v>0</v>
      </c>
      <c r="BE235" s="48">
        <f t="shared" si="134"/>
        <v>0</v>
      </c>
      <c r="BF235" s="49">
        <f t="shared" si="135"/>
        <v>36</v>
      </c>
      <c r="BG235" s="50"/>
      <c r="BH235" s="51">
        <f t="shared" si="136"/>
        <v>36</v>
      </c>
      <c r="BI235" s="51">
        <f t="shared" si="137"/>
        <v>1</v>
      </c>
      <c r="BJ235" s="51">
        <f t="shared" si="138"/>
        <v>0</v>
      </c>
      <c r="BK235" s="52">
        <f t="shared" si="139"/>
        <v>0</v>
      </c>
      <c r="BL235" s="52">
        <f t="shared" si="140"/>
        <v>0</v>
      </c>
      <c r="BM235" s="52">
        <f t="shared" si="141"/>
        <v>0</v>
      </c>
    </row>
    <row r="236" spans="1:65" ht="30" customHeight="1" x14ac:dyDescent="0.25">
      <c r="A236" s="31" t="str">
        <f t="shared" si="107"/>
        <v>Д</v>
      </c>
      <c r="B236" s="31" t="str">
        <f t="shared" si="108"/>
        <v>Б</v>
      </c>
      <c r="C236" s="32" t="s">
        <v>198</v>
      </c>
      <c r="D236" s="33" t="str">
        <f t="shared" si="109"/>
        <v>Факультет физико-математических и естественных наук</v>
      </c>
      <c r="E236" s="34" t="str">
        <f t="shared" si="110"/>
        <v>'02.03.01</v>
      </c>
      <c r="F236" s="35" t="str">
        <f t="shared" si="111"/>
        <v>Математика и компьютерные науки</v>
      </c>
      <c r="G236" s="36" t="s">
        <v>76</v>
      </c>
      <c r="H236" s="36" t="s">
        <v>183</v>
      </c>
      <c r="I236" s="37"/>
      <c r="J236" s="37"/>
      <c r="K236" s="38" t="s">
        <v>125</v>
      </c>
      <c r="L236" s="39">
        <v>5</v>
      </c>
      <c r="M236" s="39">
        <v>18</v>
      </c>
      <c r="N236" s="40" t="s">
        <v>94</v>
      </c>
      <c r="O236" s="39"/>
      <c r="P236" s="39">
        <v>2</v>
      </c>
      <c r="Q236" s="39"/>
      <c r="R236" s="40"/>
      <c r="S236" s="41"/>
      <c r="T236" s="41"/>
      <c r="U236" s="41"/>
      <c r="V236" s="41"/>
      <c r="W236" s="41"/>
      <c r="X236" s="42" t="str">
        <f t="shared" si="112"/>
        <v>НКНбд</v>
      </c>
      <c r="Y236" s="43" t="s">
        <v>128</v>
      </c>
      <c r="Z236" s="39">
        <v>1</v>
      </c>
      <c r="AA236" s="39">
        <v>1</v>
      </c>
      <c r="AB236" s="42">
        <f t="shared" si="113"/>
        <v>0</v>
      </c>
      <c r="AC236" s="39"/>
      <c r="AD236" s="39"/>
      <c r="AE236" s="44">
        <f t="shared" si="114"/>
        <v>12</v>
      </c>
      <c r="AF236" s="45">
        <f t="shared" si="115"/>
        <v>0</v>
      </c>
      <c r="AG236" s="45">
        <f t="shared" si="116"/>
        <v>0</v>
      </c>
      <c r="AH236" s="46" t="s">
        <v>82</v>
      </c>
      <c r="AI236" s="40" t="s">
        <v>83</v>
      </c>
      <c r="AJ236" s="40" t="s">
        <v>84</v>
      </c>
      <c r="AK236" s="47" t="s">
        <v>127</v>
      </c>
      <c r="AL236" s="40"/>
      <c r="AM236" s="48">
        <f t="shared" si="117"/>
        <v>0</v>
      </c>
      <c r="AN236" s="48">
        <f t="shared" si="118"/>
        <v>0</v>
      </c>
      <c r="AO236" s="48">
        <f t="shared" si="119"/>
        <v>0</v>
      </c>
      <c r="AP236" s="48">
        <f t="shared" si="120"/>
        <v>0</v>
      </c>
      <c r="AQ236" s="48">
        <f t="shared" si="121"/>
        <v>0</v>
      </c>
      <c r="AR236" s="48">
        <f t="shared" si="122"/>
        <v>0</v>
      </c>
      <c r="AS236" s="48">
        <f t="shared" si="123"/>
        <v>0</v>
      </c>
      <c r="AT236" s="48">
        <f t="shared" si="124"/>
        <v>0</v>
      </c>
      <c r="AU236" s="48">
        <f t="shared" si="125"/>
        <v>0</v>
      </c>
      <c r="AV236" s="48">
        <f t="shared" si="126"/>
        <v>0</v>
      </c>
      <c r="AW236" s="48">
        <f>IF(N236="ПП",РПП*AB236*(V236/1.5),IF(N236="ВП",ВПр*AB236*(V236/1.5),IF(N236="РПА",РПА*AB236*(V236/1.5),IF(N236="КПА",кпа*AB236*(V236/1.5),0))))</f>
        <v>0</v>
      </c>
      <c r="AX236" s="48">
        <f t="shared" si="127"/>
        <v>0</v>
      </c>
      <c r="AY236" s="48">
        <f t="shared" si="128"/>
        <v>0</v>
      </c>
      <c r="AZ236" s="48">
        <f t="shared" si="129"/>
        <v>0</v>
      </c>
      <c r="BA236" s="48">
        <f t="shared" si="130"/>
        <v>0</v>
      </c>
      <c r="BB236" s="48">
        <f t="shared" si="131"/>
        <v>0</v>
      </c>
      <c r="BC236" s="48">
        <f t="shared" si="132"/>
        <v>0</v>
      </c>
      <c r="BD236" s="48">
        <f t="shared" si="133"/>
        <v>0</v>
      </c>
      <c r="BE236" s="48">
        <f t="shared" si="134"/>
        <v>0</v>
      </c>
      <c r="BF236" s="49">
        <f t="shared" si="135"/>
        <v>0</v>
      </c>
      <c r="BG236" s="50"/>
      <c r="BH236" s="51">
        <f t="shared" si="136"/>
        <v>0</v>
      </c>
      <c r="BI236" s="51">
        <f t="shared" si="137"/>
        <v>0</v>
      </c>
      <c r="BJ236" s="51">
        <f t="shared" si="138"/>
        <v>0</v>
      </c>
      <c r="BK236" s="52">
        <f t="shared" si="139"/>
        <v>0</v>
      </c>
      <c r="BL236" s="52">
        <f t="shared" si="140"/>
        <v>0</v>
      </c>
      <c r="BM236" s="52">
        <f t="shared" si="141"/>
        <v>0</v>
      </c>
    </row>
    <row r="237" spans="1:65" ht="30" customHeight="1" x14ac:dyDescent="0.25">
      <c r="A237" s="31" t="str">
        <f t="shared" si="107"/>
        <v>Д</v>
      </c>
      <c r="B237" s="31" t="str">
        <f t="shared" si="108"/>
        <v>Б</v>
      </c>
      <c r="C237" s="32" t="s">
        <v>198</v>
      </c>
      <c r="D237" s="33" t="str">
        <f t="shared" si="109"/>
        <v>Факультет физико-математических и естественных наук</v>
      </c>
      <c r="E237" s="34" t="str">
        <f t="shared" si="110"/>
        <v>'02.03.01</v>
      </c>
      <c r="F237" s="35" t="str">
        <f t="shared" si="111"/>
        <v>Математика и компьютерные науки</v>
      </c>
      <c r="G237" s="36" t="s">
        <v>76</v>
      </c>
      <c r="H237" s="36" t="s">
        <v>183</v>
      </c>
      <c r="I237" s="37"/>
      <c r="J237" s="37"/>
      <c r="K237" s="38" t="s">
        <v>132</v>
      </c>
      <c r="L237" s="39">
        <v>5</v>
      </c>
      <c r="M237" s="39">
        <v>18</v>
      </c>
      <c r="N237" s="40" t="s">
        <v>79</v>
      </c>
      <c r="O237" s="39">
        <v>1</v>
      </c>
      <c r="P237" s="39"/>
      <c r="Q237" s="39"/>
      <c r="R237" s="40" t="s">
        <v>80</v>
      </c>
      <c r="S237" s="41"/>
      <c r="T237" s="41"/>
      <c r="U237" s="41"/>
      <c r="V237" s="41"/>
      <c r="W237" s="41"/>
      <c r="X237" s="42" t="str">
        <f t="shared" si="112"/>
        <v>НКНбд</v>
      </c>
      <c r="Y237" s="43" t="s">
        <v>128</v>
      </c>
      <c r="Z237" s="39">
        <v>2</v>
      </c>
      <c r="AA237" s="39">
        <v>1</v>
      </c>
      <c r="AB237" s="42">
        <f t="shared" si="113"/>
        <v>29</v>
      </c>
      <c r="AC237" s="39">
        <v>19</v>
      </c>
      <c r="AD237" s="39">
        <v>10</v>
      </c>
      <c r="AE237" s="44">
        <f t="shared" si="114"/>
        <v>29</v>
      </c>
      <c r="AF237" s="45">
        <f t="shared" si="115"/>
        <v>1</v>
      </c>
      <c r="AG237" s="45">
        <f t="shared" si="116"/>
        <v>1</v>
      </c>
      <c r="AH237" s="46" t="s">
        <v>82</v>
      </c>
      <c r="AI237" s="40" t="s">
        <v>83</v>
      </c>
      <c r="AJ237" s="40" t="s">
        <v>84</v>
      </c>
      <c r="AK237" s="47" t="s">
        <v>104</v>
      </c>
      <c r="AL237" s="40"/>
      <c r="AM237" s="48">
        <f t="shared" si="117"/>
        <v>18</v>
      </c>
      <c r="AN237" s="48">
        <f t="shared" si="118"/>
        <v>0</v>
      </c>
      <c r="AO237" s="48">
        <f t="shared" si="119"/>
        <v>0</v>
      </c>
      <c r="AP237" s="48">
        <f t="shared" si="120"/>
        <v>9.57</v>
      </c>
      <c r="AQ237" s="48">
        <f t="shared" si="121"/>
        <v>14.5</v>
      </c>
      <c r="AR237" s="48">
        <f t="shared" si="122"/>
        <v>1</v>
      </c>
      <c r="AS237" s="48">
        <f t="shared" si="123"/>
        <v>0.9</v>
      </c>
      <c r="AT237" s="48">
        <f t="shared" si="124"/>
        <v>0</v>
      </c>
      <c r="AU237" s="48">
        <f t="shared" si="125"/>
        <v>0</v>
      </c>
      <c r="AV237" s="48">
        <f t="shared" si="126"/>
        <v>0</v>
      </c>
      <c r="AW237" s="48">
        <f>IF(N237="ПП",РПП*AB237*(V237/1.5),IF(N237="ВП",ВПр*AB237*(V237/1.5),IF(N237="РПА",РПА*AB237*(V237/1.5),IF(N237="КПА",кпа*AB237*(V237/1.5),0))))</f>
        <v>0</v>
      </c>
      <c r="AX237" s="48">
        <f t="shared" si="127"/>
        <v>0</v>
      </c>
      <c r="AY237" s="48">
        <f t="shared" si="128"/>
        <v>0</v>
      </c>
      <c r="AZ237" s="48">
        <f t="shared" si="129"/>
        <v>0</v>
      </c>
      <c r="BA237" s="48">
        <f t="shared" si="130"/>
        <v>0</v>
      </c>
      <c r="BB237" s="48">
        <f t="shared" si="131"/>
        <v>0</v>
      </c>
      <c r="BC237" s="48">
        <f t="shared" si="132"/>
        <v>0</v>
      </c>
      <c r="BD237" s="48">
        <f t="shared" si="133"/>
        <v>0</v>
      </c>
      <c r="BE237" s="48">
        <f t="shared" si="134"/>
        <v>0</v>
      </c>
      <c r="BF237" s="49">
        <f t="shared" si="135"/>
        <v>43.97</v>
      </c>
      <c r="BG237" s="50"/>
      <c r="BH237" s="51">
        <f t="shared" si="136"/>
        <v>18</v>
      </c>
      <c r="BI237" s="51">
        <f t="shared" si="137"/>
        <v>0.5</v>
      </c>
      <c r="BJ237" s="51">
        <f t="shared" si="138"/>
        <v>25.97</v>
      </c>
      <c r="BK237" s="52">
        <f t="shared" si="139"/>
        <v>0</v>
      </c>
      <c r="BL237" s="52">
        <f t="shared" si="140"/>
        <v>0</v>
      </c>
      <c r="BM237" s="52">
        <f t="shared" si="141"/>
        <v>0</v>
      </c>
    </row>
    <row r="238" spans="1:65" ht="30" customHeight="1" x14ac:dyDescent="0.25">
      <c r="A238" s="31" t="str">
        <f t="shared" si="107"/>
        <v>Д</v>
      </c>
      <c r="B238" s="31" t="str">
        <f t="shared" si="108"/>
        <v>Б</v>
      </c>
      <c r="C238" s="32" t="s">
        <v>198</v>
      </c>
      <c r="D238" s="33" t="str">
        <f t="shared" si="109"/>
        <v>Факультет физико-математических и естественных наук</v>
      </c>
      <c r="E238" s="34" t="str">
        <f t="shared" si="110"/>
        <v>'02.03.01</v>
      </c>
      <c r="F238" s="35" t="str">
        <f t="shared" si="111"/>
        <v>Математика и компьютерные науки</v>
      </c>
      <c r="G238" s="36" t="s">
        <v>76</v>
      </c>
      <c r="H238" s="36" t="s">
        <v>183</v>
      </c>
      <c r="I238" s="37"/>
      <c r="J238" s="37"/>
      <c r="K238" s="38" t="s">
        <v>132</v>
      </c>
      <c r="L238" s="39">
        <v>5</v>
      </c>
      <c r="M238" s="39">
        <v>18</v>
      </c>
      <c r="N238" s="40" t="s">
        <v>94</v>
      </c>
      <c r="O238" s="39"/>
      <c r="P238" s="39">
        <v>2</v>
      </c>
      <c r="Q238" s="39"/>
      <c r="R238" s="40"/>
      <c r="S238" s="41"/>
      <c r="T238" s="41"/>
      <c r="U238" s="41"/>
      <c r="V238" s="41"/>
      <c r="W238" s="41"/>
      <c r="X238" s="42" t="str">
        <f t="shared" si="112"/>
        <v>НКНбд</v>
      </c>
      <c r="Y238" s="43" t="s">
        <v>128</v>
      </c>
      <c r="Z238" s="39">
        <v>1</v>
      </c>
      <c r="AA238" s="39">
        <v>1</v>
      </c>
      <c r="AB238" s="42">
        <f t="shared" si="113"/>
        <v>29</v>
      </c>
      <c r="AC238" s="39">
        <v>19</v>
      </c>
      <c r="AD238" s="39">
        <v>10</v>
      </c>
      <c r="AE238" s="44">
        <f t="shared" si="114"/>
        <v>12</v>
      </c>
      <c r="AF238" s="45">
        <f t="shared" si="115"/>
        <v>1</v>
      </c>
      <c r="AG238" s="45">
        <f t="shared" si="116"/>
        <v>2.4166666666666665</v>
      </c>
      <c r="AH238" s="46" t="s">
        <v>82</v>
      </c>
      <c r="AI238" s="40" t="s">
        <v>83</v>
      </c>
      <c r="AJ238" s="40" t="s">
        <v>84</v>
      </c>
      <c r="AK238" s="47" t="s">
        <v>104</v>
      </c>
      <c r="AL238" s="40"/>
      <c r="AM238" s="48">
        <f t="shared" si="117"/>
        <v>0</v>
      </c>
      <c r="AN238" s="48">
        <f t="shared" si="118"/>
        <v>0</v>
      </c>
      <c r="AO238" s="48">
        <f t="shared" si="119"/>
        <v>36</v>
      </c>
      <c r="AP238" s="48">
        <f t="shared" si="120"/>
        <v>0</v>
      </c>
      <c r="AQ238" s="48">
        <f t="shared" si="121"/>
        <v>0</v>
      </c>
      <c r="AR238" s="48">
        <f t="shared" si="122"/>
        <v>0</v>
      </c>
      <c r="AS238" s="48">
        <f t="shared" si="123"/>
        <v>0</v>
      </c>
      <c r="AT238" s="48">
        <f t="shared" si="124"/>
        <v>0</v>
      </c>
      <c r="AU238" s="48">
        <f t="shared" si="125"/>
        <v>0</v>
      </c>
      <c r="AV238" s="48">
        <f t="shared" si="126"/>
        <v>0</v>
      </c>
      <c r="AW238" s="48">
        <f>IF(N238="ПП",РПП*AB238*(V238/1.5),IF(N238="ВП",ВПр*AB238*(V238/1.5),IF(N238="РПА",РПА*AB238*(V238/1.5),IF(N238="КПА",кпа*AB238*(V238/1.5),0))))</f>
        <v>0</v>
      </c>
      <c r="AX238" s="48">
        <f t="shared" si="127"/>
        <v>0</v>
      </c>
      <c r="AY238" s="48">
        <f t="shared" si="128"/>
        <v>0</v>
      </c>
      <c r="AZ238" s="48">
        <f t="shared" si="129"/>
        <v>0</v>
      </c>
      <c r="BA238" s="48">
        <f t="shared" si="130"/>
        <v>0</v>
      </c>
      <c r="BB238" s="48">
        <f t="shared" si="131"/>
        <v>0</v>
      </c>
      <c r="BC238" s="48">
        <f t="shared" si="132"/>
        <v>0</v>
      </c>
      <c r="BD238" s="48">
        <f t="shared" si="133"/>
        <v>0</v>
      </c>
      <c r="BE238" s="48">
        <f t="shared" si="134"/>
        <v>0</v>
      </c>
      <c r="BF238" s="49">
        <f t="shared" si="135"/>
        <v>36</v>
      </c>
      <c r="BG238" s="50"/>
      <c r="BH238" s="51">
        <f t="shared" si="136"/>
        <v>36</v>
      </c>
      <c r="BI238" s="51">
        <f t="shared" si="137"/>
        <v>1</v>
      </c>
      <c r="BJ238" s="51">
        <f t="shared" si="138"/>
        <v>0</v>
      </c>
      <c r="BK238" s="52">
        <f t="shared" si="139"/>
        <v>0</v>
      </c>
      <c r="BL238" s="52">
        <f t="shared" si="140"/>
        <v>0</v>
      </c>
      <c r="BM238" s="52">
        <f t="shared" si="141"/>
        <v>0</v>
      </c>
    </row>
    <row r="239" spans="1:65" ht="30" customHeight="1" x14ac:dyDescent="0.25">
      <c r="A239" s="31" t="str">
        <f t="shared" si="107"/>
        <v>Д</v>
      </c>
      <c r="B239" s="31" t="str">
        <f t="shared" si="108"/>
        <v>Б</v>
      </c>
      <c r="C239" s="32" t="s">
        <v>198</v>
      </c>
      <c r="D239" s="33" t="str">
        <f t="shared" si="109"/>
        <v>Факультет физико-математических и естественных наук</v>
      </c>
      <c r="E239" s="34" t="str">
        <f t="shared" si="110"/>
        <v>'02.03.01</v>
      </c>
      <c r="F239" s="35" t="str">
        <f t="shared" si="111"/>
        <v>Математика и компьютерные науки</v>
      </c>
      <c r="G239" s="36" t="s">
        <v>76</v>
      </c>
      <c r="H239" s="36" t="s">
        <v>183</v>
      </c>
      <c r="I239" s="37"/>
      <c r="J239" s="37"/>
      <c r="K239" s="38" t="s">
        <v>132</v>
      </c>
      <c r="L239" s="39">
        <v>5</v>
      </c>
      <c r="M239" s="39">
        <v>18</v>
      </c>
      <c r="N239" s="40" t="s">
        <v>94</v>
      </c>
      <c r="O239" s="39"/>
      <c r="P239" s="39">
        <v>2</v>
      </c>
      <c r="Q239" s="39"/>
      <c r="R239" s="40"/>
      <c r="S239" s="41"/>
      <c r="T239" s="41"/>
      <c r="U239" s="41"/>
      <c r="V239" s="41"/>
      <c r="W239" s="41"/>
      <c r="X239" s="42" t="str">
        <f t="shared" si="112"/>
        <v>НКНбд</v>
      </c>
      <c r="Y239" s="43" t="s">
        <v>128</v>
      </c>
      <c r="Z239" s="39">
        <v>1</v>
      </c>
      <c r="AA239" s="39">
        <v>1</v>
      </c>
      <c r="AB239" s="42">
        <f t="shared" si="113"/>
        <v>0</v>
      </c>
      <c r="AC239" s="39"/>
      <c r="AD239" s="39"/>
      <c r="AE239" s="44">
        <f t="shared" si="114"/>
        <v>12</v>
      </c>
      <c r="AF239" s="45">
        <f t="shared" si="115"/>
        <v>0</v>
      </c>
      <c r="AG239" s="45">
        <f t="shared" si="116"/>
        <v>0</v>
      </c>
      <c r="AH239" s="46" t="s">
        <v>82</v>
      </c>
      <c r="AI239" s="40" t="s">
        <v>83</v>
      </c>
      <c r="AJ239" s="40" t="s">
        <v>84</v>
      </c>
      <c r="AK239" s="47" t="s">
        <v>104</v>
      </c>
      <c r="AL239" s="40"/>
      <c r="AM239" s="48">
        <f t="shared" si="117"/>
        <v>0</v>
      </c>
      <c r="AN239" s="48">
        <f t="shared" si="118"/>
        <v>0</v>
      </c>
      <c r="AO239" s="48">
        <f t="shared" si="119"/>
        <v>0</v>
      </c>
      <c r="AP239" s="48">
        <f t="shared" si="120"/>
        <v>0</v>
      </c>
      <c r="AQ239" s="48">
        <f t="shared" si="121"/>
        <v>0</v>
      </c>
      <c r="AR239" s="48">
        <f t="shared" si="122"/>
        <v>0</v>
      </c>
      <c r="AS239" s="48">
        <f t="shared" si="123"/>
        <v>0</v>
      </c>
      <c r="AT239" s="48">
        <f t="shared" si="124"/>
        <v>0</v>
      </c>
      <c r="AU239" s="48">
        <f t="shared" si="125"/>
        <v>0</v>
      </c>
      <c r="AV239" s="48">
        <f t="shared" si="126"/>
        <v>0</v>
      </c>
      <c r="AW239" s="48">
        <f>IF(N239="ПП",РПП*AB239*(V239/1.5),IF(N239="ВП",ВПр*AB239*(V239/1.5),IF(N239="РПА",РПА*AB239*(V239/1.5),IF(N239="КПА",кпа*AB239*(V239/1.5),0))))</f>
        <v>0</v>
      </c>
      <c r="AX239" s="48">
        <f t="shared" si="127"/>
        <v>0</v>
      </c>
      <c r="AY239" s="48">
        <f t="shared" si="128"/>
        <v>0</v>
      </c>
      <c r="AZ239" s="48">
        <f t="shared" si="129"/>
        <v>0</v>
      </c>
      <c r="BA239" s="48">
        <f t="shared" si="130"/>
        <v>0</v>
      </c>
      <c r="BB239" s="48">
        <f t="shared" si="131"/>
        <v>0</v>
      </c>
      <c r="BC239" s="48">
        <f t="shared" si="132"/>
        <v>0</v>
      </c>
      <c r="BD239" s="48">
        <f t="shared" si="133"/>
        <v>0</v>
      </c>
      <c r="BE239" s="48">
        <f t="shared" si="134"/>
        <v>0</v>
      </c>
      <c r="BF239" s="49">
        <f t="shared" si="135"/>
        <v>0</v>
      </c>
      <c r="BG239" s="50"/>
      <c r="BH239" s="51">
        <f t="shared" si="136"/>
        <v>0</v>
      </c>
      <c r="BI239" s="51">
        <f t="shared" si="137"/>
        <v>0</v>
      </c>
      <c r="BJ239" s="51">
        <f t="shared" si="138"/>
        <v>0</v>
      </c>
      <c r="BK239" s="52">
        <f t="shared" si="139"/>
        <v>0</v>
      </c>
      <c r="BL239" s="52">
        <f t="shared" si="140"/>
        <v>0</v>
      </c>
      <c r="BM239" s="52">
        <f t="shared" si="141"/>
        <v>0</v>
      </c>
    </row>
    <row r="240" spans="1:65" ht="30" customHeight="1" x14ac:dyDescent="0.25">
      <c r="A240" s="31" t="str">
        <f t="shared" si="107"/>
        <v>Д</v>
      </c>
      <c r="B240" s="31" t="str">
        <f t="shared" si="108"/>
        <v>Б</v>
      </c>
      <c r="C240" s="32" t="s">
        <v>198</v>
      </c>
      <c r="D240" s="33" t="str">
        <f t="shared" si="109"/>
        <v>Факультет физико-математических и естественных наук</v>
      </c>
      <c r="E240" s="34" t="str">
        <f t="shared" si="110"/>
        <v>'02.03.01</v>
      </c>
      <c r="F240" s="35" t="str">
        <f t="shared" si="111"/>
        <v>Математика и компьютерные науки</v>
      </c>
      <c r="G240" s="36" t="s">
        <v>76</v>
      </c>
      <c r="H240" s="36" t="s">
        <v>183</v>
      </c>
      <c r="I240" s="37"/>
      <c r="J240" s="37"/>
      <c r="K240" s="38" t="s">
        <v>199</v>
      </c>
      <c r="L240" s="39">
        <v>5</v>
      </c>
      <c r="M240" s="39">
        <v>18</v>
      </c>
      <c r="N240" s="40" t="s">
        <v>79</v>
      </c>
      <c r="O240" s="39">
        <v>1</v>
      </c>
      <c r="P240" s="39"/>
      <c r="Q240" s="39"/>
      <c r="R240" s="40" t="s">
        <v>80</v>
      </c>
      <c r="S240" s="41"/>
      <c r="T240" s="41"/>
      <c r="U240" s="41"/>
      <c r="V240" s="41"/>
      <c r="W240" s="41"/>
      <c r="X240" s="42" t="str">
        <f t="shared" si="112"/>
        <v>НКНбд</v>
      </c>
      <c r="Y240" s="43" t="s">
        <v>128</v>
      </c>
      <c r="Z240" s="39">
        <v>2</v>
      </c>
      <c r="AA240" s="39">
        <v>1</v>
      </c>
      <c r="AB240" s="42">
        <f t="shared" si="113"/>
        <v>29</v>
      </c>
      <c r="AC240" s="39">
        <v>19</v>
      </c>
      <c r="AD240" s="39">
        <v>10</v>
      </c>
      <c r="AE240" s="44">
        <f t="shared" si="114"/>
        <v>29</v>
      </c>
      <c r="AF240" s="45">
        <f t="shared" si="115"/>
        <v>1</v>
      </c>
      <c r="AG240" s="45">
        <f t="shared" si="116"/>
        <v>1</v>
      </c>
      <c r="AH240" s="46" t="s">
        <v>82</v>
      </c>
      <c r="AI240" s="40" t="s">
        <v>83</v>
      </c>
      <c r="AJ240" s="40" t="s">
        <v>84</v>
      </c>
      <c r="AK240" s="47" t="s">
        <v>200</v>
      </c>
      <c r="AL240" s="40"/>
      <c r="AM240" s="48">
        <f t="shared" si="117"/>
        <v>18</v>
      </c>
      <c r="AN240" s="48">
        <f t="shared" si="118"/>
        <v>0</v>
      </c>
      <c r="AO240" s="48">
        <f t="shared" si="119"/>
        <v>0</v>
      </c>
      <c r="AP240" s="48">
        <f t="shared" si="120"/>
        <v>9.57</v>
      </c>
      <c r="AQ240" s="48">
        <f t="shared" si="121"/>
        <v>14.5</v>
      </c>
      <c r="AR240" s="48">
        <f t="shared" si="122"/>
        <v>1</v>
      </c>
      <c r="AS240" s="48">
        <f t="shared" si="123"/>
        <v>0.9</v>
      </c>
      <c r="AT240" s="48">
        <f t="shared" si="124"/>
        <v>0</v>
      </c>
      <c r="AU240" s="48">
        <f t="shared" si="125"/>
        <v>0</v>
      </c>
      <c r="AV240" s="48">
        <f t="shared" si="126"/>
        <v>0</v>
      </c>
      <c r="AW240" s="48">
        <f>IF(N240="ПП",РПП*AB240*(V240/1.5),IF(N240="ВП",ВПр*AB240*(V240/1.5),IF(N240="РПА",РПА*AB240*(V240/1.5),IF(N240="КПА",кпа*AB240*(V240/1.5),0))))</f>
        <v>0</v>
      </c>
      <c r="AX240" s="48">
        <f t="shared" si="127"/>
        <v>0</v>
      </c>
      <c r="AY240" s="48">
        <f t="shared" si="128"/>
        <v>0</v>
      </c>
      <c r="AZ240" s="48">
        <f t="shared" si="129"/>
        <v>0</v>
      </c>
      <c r="BA240" s="48">
        <f t="shared" si="130"/>
        <v>0</v>
      </c>
      <c r="BB240" s="48">
        <f t="shared" si="131"/>
        <v>0</v>
      </c>
      <c r="BC240" s="48">
        <f t="shared" si="132"/>
        <v>0</v>
      </c>
      <c r="BD240" s="48">
        <f t="shared" si="133"/>
        <v>0</v>
      </c>
      <c r="BE240" s="48">
        <f t="shared" si="134"/>
        <v>0</v>
      </c>
      <c r="BF240" s="49">
        <f t="shared" si="135"/>
        <v>43.97</v>
      </c>
      <c r="BG240" s="50"/>
      <c r="BH240" s="51">
        <f t="shared" si="136"/>
        <v>18</v>
      </c>
      <c r="BI240" s="51">
        <f t="shared" si="137"/>
        <v>0.5</v>
      </c>
      <c r="BJ240" s="51">
        <f t="shared" si="138"/>
        <v>25.97</v>
      </c>
      <c r="BK240" s="52">
        <f t="shared" si="139"/>
        <v>0</v>
      </c>
      <c r="BL240" s="52">
        <f t="shared" si="140"/>
        <v>0</v>
      </c>
      <c r="BM240" s="52">
        <f t="shared" si="141"/>
        <v>0</v>
      </c>
    </row>
    <row r="241" spans="1:65" ht="30" customHeight="1" x14ac:dyDescent="0.25">
      <c r="A241" s="31" t="str">
        <f t="shared" si="107"/>
        <v>Д</v>
      </c>
      <c r="B241" s="31" t="str">
        <f t="shared" si="108"/>
        <v>Б</v>
      </c>
      <c r="C241" s="32" t="s">
        <v>198</v>
      </c>
      <c r="D241" s="33" t="str">
        <f t="shared" si="109"/>
        <v>Факультет физико-математических и естественных наук</v>
      </c>
      <c r="E241" s="34" t="str">
        <f t="shared" si="110"/>
        <v>'02.03.01</v>
      </c>
      <c r="F241" s="35" t="str">
        <f t="shared" si="111"/>
        <v>Математика и компьютерные науки</v>
      </c>
      <c r="G241" s="36" t="s">
        <v>76</v>
      </c>
      <c r="H241" s="36" t="s">
        <v>183</v>
      </c>
      <c r="I241" s="37"/>
      <c r="J241" s="37"/>
      <c r="K241" s="38" t="s">
        <v>199</v>
      </c>
      <c r="L241" s="39">
        <v>5</v>
      </c>
      <c r="M241" s="39">
        <v>18</v>
      </c>
      <c r="N241" s="40" t="s">
        <v>94</v>
      </c>
      <c r="O241" s="39"/>
      <c r="P241" s="39">
        <v>2</v>
      </c>
      <c r="Q241" s="39"/>
      <c r="R241" s="40"/>
      <c r="S241" s="41"/>
      <c r="T241" s="41"/>
      <c r="U241" s="41"/>
      <c r="V241" s="41"/>
      <c r="W241" s="41"/>
      <c r="X241" s="42" t="str">
        <f t="shared" si="112"/>
        <v>НКНбд</v>
      </c>
      <c r="Y241" s="43" t="s">
        <v>128</v>
      </c>
      <c r="Z241" s="39">
        <v>1</v>
      </c>
      <c r="AA241" s="39">
        <v>1</v>
      </c>
      <c r="AB241" s="42">
        <f t="shared" si="113"/>
        <v>29</v>
      </c>
      <c r="AC241" s="39">
        <v>19</v>
      </c>
      <c r="AD241" s="39">
        <v>10</v>
      </c>
      <c r="AE241" s="44">
        <f t="shared" si="114"/>
        <v>12</v>
      </c>
      <c r="AF241" s="45">
        <f t="shared" si="115"/>
        <v>1</v>
      </c>
      <c r="AG241" s="45">
        <f t="shared" si="116"/>
        <v>2.4166666666666665</v>
      </c>
      <c r="AH241" s="46" t="s">
        <v>82</v>
      </c>
      <c r="AI241" s="40" t="s">
        <v>83</v>
      </c>
      <c r="AJ241" s="40" t="s">
        <v>84</v>
      </c>
      <c r="AK241" s="47" t="s">
        <v>200</v>
      </c>
      <c r="AL241" s="40"/>
      <c r="AM241" s="48">
        <f t="shared" si="117"/>
        <v>0</v>
      </c>
      <c r="AN241" s="48">
        <f t="shared" si="118"/>
        <v>0</v>
      </c>
      <c r="AO241" s="48">
        <f t="shared" si="119"/>
        <v>36</v>
      </c>
      <c r="AP241" s="48">
        <f t="shared" si="120"/>
        <v>0</v>
      </c>
      <c r="AQ241" s="48">
        <f t="shared" si="121"/>
        <v>0</v>
      </c>
      <c r="AR241" s="48">
        <f t="shared" si="122"/>
        <v>0</v>
      </c>
      <c r="AS241" s="48">
        <f t="shared" si="123"/>
        <v>0</v>
      </c>
      <c r="AT241" s="48">
        <f t="shared" si="124"/>
        <v>0</v>
      </c>
      <c r="AU241" s="48">
        <f t="shared" si="125"/>
        <v>0</v>
      </c>
      <c r="AV241" s="48">
        <f t="shared" si="126"/>
        <v>0</v>
      </c>
      <c r="AW241" s="48">
        <f>IF(N241="ПП",РПП*AB241*(V241/1.5),IF(N241="ВП",ВПр*AB241*(V241/1.5),IF(N241="РПА",РПА*AB241*(V241/1.5),IF(N241="КПА",кпа*AB241*(V241/1.5),0))))</f>
        <v>0</v>
      </c>
      <c r="AX241" s="48">
        <f t="shared" si="127"/>
        <v>0</v>
      </c>
      <c r="AY241" s="48">
        <f t="shared" si="128"/>
        <v>0</v>
      </c>
      <c r="AZ241" s="48">
        <f t="shared" si="129"/>
        <v>0</v>
      </c>
      <c r="BA241" s="48">
        <f t="shared" si="130"/>
        <v>0</v>
      </c>
      <c r="BB241" s="48">
        <f t="shared" si="131"/>
        <v>0</v>
      </c>
      <c r="BC241" s="48">
        <f t="shared" si="132"/>
        <v>0</v>
      </c>
      <c r="BD241" s="48">
        <f t="shared" si="133"/>
        <v>0</v>
      </c>
      <c r="BE241" s="48">
        <f t="shared" si="134"/>
        <v>0</v>
      </c>
      <c r="BF241" s="49">
        <f t="shared" si="135"/>
        <v>36</v>
      </c>
      <c r="BG241" s="50"/>
      <c r="BH241" s="51">
        <f t="shared" si="136"/>
        <v>36</v>
      </c>
      <c r="BI241" s="51">
        <f t="shared" si="137"/>
        <v>1</v>
      </c>
      <c r="BJ241" s="51">
        <f t="shared" si="138"/>
        <v>0</v>
      </c>
      <c r="BK241" s="52">
        <f t="shared" si="139"/>
        <v>0</v>
      </c>
      <c r="BL241" s="52">
        <f t="shared" si="140"/>
        <v>0</v>
      </c>
      <c r="BM241" s="52">
        <f t="shared" si="141"/>
        <v>0</v>
      </c>
    </row>
    <row r="242" spans="1:65" ht="30" customHeight="1" x14ac:dyDescent="0.25">
      <c r="A242" s="31" t="str">
        <f t="shared" si="107"/>
        <v>Д</v>
      </c>
      <c r="B242" s="31" t="str">
        <f t="shared" si="108"/>
        <v>Б</v>
      </c>
      <c r="C242" s="32" t="s">
        <v>198</v>
      </c>
      <c r="D242" s="33" t="str">
        <f t="shared" si="109"/>
        <v>Факультет физико-математических и естественных наук</v>
      </c>
      <c r="E242" s="34" t="str">
        <f t="shared" si="110"/>
        <v>'02.03.01</v>
      </c>
      <c r="F242" s="35" t="str">
        <f t="shared" si="111"/>
        <v>Математика и компьютерные науки</v>
      </c>
      <c r="G242" s="36" t="s">
        <v>76</v>
      </c>
      <c r="H242" s="36" t="s">
        <v>183</v>
      </c>
      <c r="I242" s="37"/>
      <c r="J242" s="37"/>
      <c r="K242" s="38" t="s">
        <v>199</v>
      </c>
      <c r="L242" s="39">
        <v>5</v>
      </c>
      <c r="M242" s="39">
        <v>18</v>
      </c>
      <c r="N242" s="40" t="s">
        <v>94</v>
      </c>
      <c r="O242" s="39"/>
      <c r="P242" s="39">
        <v>2</v>
      </c>
      <c r="Q242" s="39"/>
      <c r="R242" s="40"/>
      <c r="S242" s="41"/>
      <c r="T242" s="41"/>
      <c r="U242" s="41"/>
      <c r="V242" s="41"/>
      <c r="W242" s="41"/>
      <c r="X242" s="42" t="str">
        <f t="shared" si="112"/>
        <v>НКНбд</v>
      </c>
      <c r="Y242" s="43" t="s">
        <v>128</v>
      </c>
      <c r="Z242" s="39">
        <v>1</v>
      </c>
      <c r="AA242" s="39">
        <v>1</v>
      </c>
      <c r="AB242" s="42">
        <f t="shared" si="113"/>
        <v>0</v>
      </c>
      <c r="AC242" s="39"/>
      <c r="AD242" s="39"/>
      <c r="AE242" s="44">
        <f t="shared" si="114"/>
        <v>12</v>
      </c>
      <c r="AF242" s="45">
        <f t="shared" si="115"/>
        <v>0</v>
      </c>
      <c r="AG242" s="45">
        <f t="shared" si="116"/>
        <v>0</v>
      </c>
      <c r="AH242" s="46" t="s">
        <v>82</v>
      </c>
      <c r="AI242" s="40" t="s">
        <v>83</v>
      </c>
      <c r="AJ242" s="40" t="s">
        <v>84</v>
      </c>
      <c r="AK242" s="47" t="s">
        <v>200</v>
      </c>
      <c r="AL242" s="40"/>
      <c r="AM242" s="48">
        <f t="shared" si="117"/>
        <v>0</v>
      </c>
      <c r="AN242" s="48">
        <f t="shared" si="118"/>
        <v>0</v>
      </c>
      <c r="AO242" s="48">
        <f t="shared" si="119"/>
        <v>0</v>
      </c>
      <c r="AP242" s="48">
        <f t="shared" si="120"/>
        <v>0</v>
      </c>
      <c r="AQ242" s="48">
        <f t="shared" si="121"/>
        <v>0</v>
      </c>
      <c r="AR242" s="48">
        <f t="shared" si="122"/>
        <v>0</v>
      </c>
      <c r="AS242" s="48">
        <f t="shared" si="123"/>
        <v>0</v>
      </c>
      <c r="AT242" s="48">
        <f t="shared" si="124"/>
        <v>0</v>
      </c>
      <c r="AU242" s="48">
        <f t="shared" si="125"/>
        <v>0</v>
      </c>
      <c r="AV242" s="48">
        <f t="shared" si="126"/>
        <v>0</v>
      </c>
      <c r="AW242" s="48">
        <f>IF(N242="ПП",РПП*AB242*(V242/1.5),IF(N242="ВП",ВПр*AB242*(V242/1.5),IF(N242="РПА",РПА*AB242*(V242/1.5),IF(N242="КПА",кпа*AB242*(V242/1.5),0))))</f>
        <v>0</v>
      </c>
      <c r="AX242" s="48">
        <f t="shared" si="127"/>
        <v>0</v>
      </c>
      <c r="AY242" s="48">
        <f t="shared" si="128"/>
        <v>0</v>
      </c>
      <c r="AZ242" s="48">
        <f t="shared" si="129"/>
        <v>0</v>
      </c>
      <c r="BA242" s="48">
        <f t="shared" si="130"/>
        <v>0</v>
      </c>
      <c r="BB242" s="48">
        <f t="shared" si="131"/>
        <v>0</v>
      </c>
      <c r="BC242" s="48">
        <f t="shared" si="132"/>
        <v>0</v>
      </c>
      <c r="BD242" s="48">
        <f t="shared" si="133"/>
        <v>0</v>
      </c>
      <c r="BE242" s="48">
        <f t="shared" si="134"/>
        <v>0</v>
      </c>
      <c r="BF242" s="49">
        <f t="shared" si="135"/>
        <v>0</v>
      </c>
      <c r="BG242" s="50"/>
      <c r="BH242" s="51">
        <f t="shared" si="136"/>
        <v>0</v>
      </c>
      <c r="BI242" s="51">
        <f t="shared" si="137"/>
        <v>0</v>
      </c>
      <c r="BJ242" s="51">
        <f t="shared" si="138"/>
        <v>0</v>
      </c>
      <c r="BK242" s="52">
        <f t="shared" si="139"/>
        <v>0</v>
      </c>
      <c r="BL242" s="52">
        <f t="shared" si="140"/>
        <v>0</v>
      </c>
      <c r="BM242" s="52">
        <f t="shared" si="141"/>
        <v>0</v>
      </c>
    </row>
    <row r="243" spans="1:65" ht="30" customHeight="1" x14ac:dyDescent="0.25">
      <c r="A243" s="31" t="str">
        <f t="shared" si="107"/>
        <v>Д</v>
      </c>
      <c r="B243" s="31" t="str">
        <f t="shared" si="108"/>
        <v>Б</v>
      </c>
      <c r="C243" s="32" t="s">
        <v>198</v>
      </c>
      <c r="D243" s="33" t="str">
        <f t="shared" si="109"/>
        <v>Факультет физико-математических и естественных наук</v>
      </c>
      <c r="E243" s="34" t="str">
        <f t="shared" si="110"/>
        <v>'02.03.01</v>
      </c>
      <c r="F243" s="35" t="str">
        <f t="shared" si="111"/>
        <v>Математика и компьютерные науки</v>
      </c>
      <c r="G243" s="36" t="s">
        <v>76</v>
      </c>
      <c r="H243" s="36" t="s">
        <v>135</v>
      </c>
      <c r="I243" s="37"/>
      <c r="J243" s="37" t="s">
        <v>201</v>
      </c>
      <c r="K243" s="38" t="s">
        <v>202</v>
      </c>
      <c r="L243" s="39">
        <v>5</v>
      </c>
      <c r="M243" s="39">
        <v>18</v>
      </c>
      <c r="N243" s="40" t="s">
        <v>79</v>
      </c>
      <c r="O243" s="39">
        <v>1</v>
      </c>
      <c r="P243" s="39"/>
      <c r="Q243" s="39"/>
      <c r="R243" s="40"/>
      <c r="S243" s="41"/>
      <c r="T243" s="41"/>
      <c r="U243" s="41"/>
      <c r="V243" s="41"/>
      <c r="W243" s="41"/>
      <c r="X243" s="42" t="str">
        <f t="shared" si="112"/>
        <v>НКНбд</v>
      </c>
      <c r="Y243" s="43" t="s">
        <v>128</v>
      </c>
      <c r="Z243" s="39">
        <v>2</v>
      </c>
      <c r="AA243" s="39">
        <v>1</v>
      </c>
      <c r="AB243" s="42">
        <f t="shared" si="113"/>
        <v>0</v>
      </c>
      <c r="AC243" s="39"/>
      <c r="AD243" s="39">
        <v>0</v>
      </c>
      <c r="AE243" s="44">
        <f t="shared" si="114"/>
        <v>0</v>
      </c>
      <c r="AF243" s="45" t="e">
        <f t="shared" si="115"/>
        <v>#DIV/0!</v>
      </c>
      <c r="AG243" s="45" t="e">
        <f t="shared" si="116"/>
        <v>#DIV/0!</v>
      </c>
      <c r="AH243" s="46" t="s">
        <v>82</v>
      </c>
      <c r="AI243" s="40" t="s">
        <v>83</v>
      </c>
      <c r="AJ243" s="40" t="s">
        <v>84</v>
      </c>
      <c r="AK243" s="47" t="s">
        <v>203</v>
      </c>
      <c r="AL243" s="40"/>
      <c r="AM243" s="48">
        <f t="shared" si="117"/>
        <v>0</v>
      </c>
      <c r="AN243" s="48">
        <f t="shared" si="118"/>
        <v>0</v>
      </c>
      <c r="AO243" s="48">
        <f t="shared" si="119"/>
        <v>0</v>
      </c>
      <c r="AP243" s="48">
        <f t="shared" si="120"/>
        <v>0</v>
      </c>
      <c r="AQ243" s="48">
        <f t="shared" si="121"/>
        <v>0</v>
      </c>
      <c r="AR243" s="48">
        <f t="shared" si="122"/>
        <v>0</v>
      </c>
      <c r="AS243" s="48">
        <f t="shared" si="123"/>
        <v>0</v>
      </c>
      <c r="AT243" s="48">
        <f t="shared" si="124"/>
        <v>0</v>
      </c>
      <c r="AU243" s="48">
        <f t="shared" si="125"/>
        <v>0</v>
      </c>
      <c r="AV243" s="48">
        <f t="shared" si="126"/>
        <v>0</v>
      </c>
      <c r="AW243" s="48">
        <f>IF(N243="ПП",РПП*AB243*(V243/1.5),IF(N243="ВП",ВПр*AB243*(V243/1.5),IF(N243="РПА",РПА*AB243*(V243/1.5),IF(N243="КПА",кпа*AB243*(V243/1.5),0))))</f>
        <v>0</v>
      </c>
      <c r="AX243" s="48">
        <f t="shared" si="127"/>
        <v>0</v>
      </c>
      <c r="AY243" s="48">
        <f t="shared" si="128"/>
        <v>0</v>
      </c>
      <c r="AZ243" s="48">
        <f t="shared" si="129"/>
        <v>0</v>
      </c>
      <c r="BA243" s="48">
        <f t="shared" si="130"/>
        <v>0</v>
      </c>
      <c r="BB243" s="48">
        <f t="shared" si="131"/>
        <v>0</v>
      </c>
      <c r="BC243" s="48">
        <f t="shared" si="132"/>
        <v>0</v>
      </c>
      <c r="BD243" s="48">
        <f t="shared" si="133"/>
        <v>0</v>
      </c>
      <c r="BE243" s="48">
        <f t="shared" si="134"/>
        <v>0</v>
      </c>
      <c r="BF243" s="49">
        <f t="shared" si="135"/>
        <v>0</v>
      </c>
      <c r="BG243" s="50"/>
      <c r="BH243" s="51">
        <f t="shared" si="136"/>
        <v>0</v>
      </c>
      <c r="BI243" s="51">
        <f t="shared" si="137"/>
        <v>0</v>
      </c>
      <c r="BJ243" s="51">
        <f t="shared" si="138"/>
        <v>0</v>
      </c>
      <c r="BK243" s="52">
        <f t="shared" si="139"/>
        <v>0</v>
      </c>
      <c r="BL243" s="52">
        <f t="shared" si="140"/>
        <v>0</v>
      </c>
      <c r="BM243" s="52">
        <f t="shared" si="141"/>
        <v>0</v>
      </c>
    </row>
    <row r="244" spans="1:65" ht="30" customHeight="1" x14ac:dyDescent="0.25">
      <c r="A244" s="31" t="str">
        <f t="shared" si="107"/>
        <v>Д</v>
      </c>
      <c r="B244" s="31" t="str">
        <f t="shared" si="108"/>
        <v>Б</v>
      </c>
      <c r="C244" s="32" t="s">
        <v>198</v>
      </c>
      <c r="D244" s="33" t="str">
        <f t="shared" si="109"/>
        <v>Факультет физико-математических и естественных наук</v>
      </c>
      <c r="E244" s="34" t="str">
        <f t="shared" si="110"/>
        <v>'02.03.01</v>
      </c>
      <c r="F244" s="35" t="str">
        <f t="shared" si="111"/>
        <v>Математика и компьютерные науки</v>
      </c>
      <c r="G244" s="36" t="s">
        <v>76</v>
      </c>
      <c r="H244" s="36" t="s">
        <v>135</v>
      </c>
      <c r="I244" s="37"/>
      <c r="J244" s="37" t="s">
        <v>201</v>
      </c>
      <c r="K244" s="38" t="s">
        <v>202</v>
      </c>
      <c r="L244" s="39">
        <v>5</v>
      </c>
      <c r="M244" s="39">
        <v>18</v>
      </c>
      <c r="N244" s="40" t="s">
        <v>86</v>
      </c>
      <c r="O244" s="39"/>
      <c r="P244" s="39"/>
      <c r="Q244" s="39">
        <v>1</v>
      </c>
      <c r="R244" s="40" t="s">
        <v>95</v>
      </c>
      <c r="S244" s="41"/>
      <c r="T244" s="41"/>
      <c r="U244" s="41"/>
      <c r="V244" s="41"/>
      <c r="W244" s="41"/>
      <c r="X244" s="42" t="str">
        <f t="shared" si="112"/>
        <v>НКНбд</v>
      </c>
      <c r="Y244" s="43" t="s">
        <v>128</v>
      </c>
      <c r="Z244" s="39">
        <v>2</v>
      </c>
      <c r="AA244" s="39">
        <v>1</v>
      </c>
      <c r="AB244" s="42">
        <f t="shared" si="113"/>
        <v>0</v>
      </c>
      <c r="AC244" s="39"/>
      <c r="AD244" s="39"/>
      <c r="AE244" s="44">
        <f t="shared" si="114"/>
        <v>24</v>
      </c>
      <c r="AF244" s="45">
        <f t="shared" si="115"/>
        <v>0</v>
      </c>
      <c r="AG244" s="45">
        <f t="shared" si="116"/>
        <v>0</v>
      </c>
      <c r="AH244" s="46" t="s">
        <v>82</v>
      </c>
      <c r="AI244" s="40" t="s">
        <v>83</v>
      </c>
      <c r="AJ244" s="40" t="s">
        <v>84</v>
      </c>
      <c r="AK244" s="47" t="s">
        <v>203</v>
      </c>
      <c r="AL244" s="40"/>
      <c r="AM244" s="48">
        <f t="shared" si="117"/>
        <v>0</v>
      </c>
      <c r="AN244" s="48">
        <f t="shared" si="118"/>
        <v>0</v>
      </c>
      <c r="AO244" s="48">
        <f t="shared" si="119"/>
        <v>0</v>
      </c>
      <c r="AP244" s="48">
        <f t="shared" si="120"/>
        <v>0</v>
      </c>
      <c r="AQ244" s="48">
        <f t="shared" si="121"/>
        <v>0</v>
      </c>
      <c r="AR244" s="48">
        <f t="shared" si="122"/>
        <v>0</v>
      </c>
      <c r="AS244" s="48">
        <f t="shared" si="123"/>
        <v>0</v>
      </c>
      <c r="AT244" s="48">
        <f t="shared" si="124"/>
        <v>0</v>
      </c>
      <c r="AU244" s="48">
        <f t="shared" si="125"/>
        <v>0</v>
      </c>
      <c r="AV244" s="48">
        <f t="shared" si="126"/>
        <v>0</v>
      </c>
      <c r="AW244" s="48">
        <f>IF(N244="ПП",РПП*AB244*(V244/1.5),IF(N244="ВП",ВПр*AB244*(V244/1.5),IF(N244="РПА",РПА*AB244*(V244/1.5),IF(N244="КПА",кпа*AB244*(V244/1.5),0))))</f>
        <v>0</v>
      </c>
      <c r="AX244" s="48">
        <f t="shared" si="127"/>
        <v>0</v>
      </c>
      <c r="AY244" s="48">
        <f t="shared" si="128"/>
        <v>0</v>
      </c>
      <c r="AZ244" s="48">
        <f t="shared" si="129"/>
        <v>0</v>
      </c>
      <c r="BA244" s="48">
        <f t="shared" si="130"/>
        <v>0</v>
      </c>
      <c r="BB244" s="48">
        <f t="shared" si="131"/>
        <v>0</v>
      </c>
      <c r="BC244" s="48">
        <f t="shared" si="132"/>
        <v>0</v>
      </c>
      <c r="BD244" s="48">
        <f t="shared" si="133"/>
        <v>0</v>
      </c>
      <c r="BE244" s="48">
        <f t="shared" si="134"/>
        <v>0</v>
      </c>
      <c r="BF244" s="49">
        <f t="shared" si="135"/>
        <v>0</v>
      </c>
      <c r="BG244" s="50"/>
      <c r="BH244" s="51">
        <f t="shared" si="136"/>
        <v>0</v>
      </c>
      <c r="BI244" s="51">
        <f t="shared" si="137"/>
        <v>0</v>
      </c>
      <c r="BJ244" s="51">
        <f t="shared" si="138"/>
        <v>0</v>
      </c>
      <c r="BK244" s="52">
        <f t="shared" si="139"/>
        <v>0</v>
      </c>
      <c r="BL244" s="52">
        <f t="shared" si="140"/>
        <v>0</v>
      </c>
      <c r="BM244" s="52">
        <f t="shared" si="141"/>
        <v>0</v>
      </c>
    </row>
    <row r="245" spans="1:65" ht="30" customHeight="1" x14ac:dyDescent="0.25">
      <c r="A245" s="31" t="str">
        <f t="shared" si="107"/>
        <v>Д</v>
      </c>
      <c r="B245" s="31" t="str">
        <f t="shared" si="108"/>
        <v>Б</v>
      </c>
      <c r="C245" s="32" t="s">
        <v>198</v>
      </c>
      <c r="D245" s="33" t="str">
        <f t="shared" si="109"/>
        <v>Факультет физико-математических и естественных наук</v>
      </c>
      <c r="E245" s="34" t="str">
        <f t="shared" si="110"/>
        <v>'02.03.01</v>
      </c>
      <c r="F245" s="35" t="str">
        <f t="shared" si="111"/>
        <v>Математика и компьютерные науки</v>
      </c>
      <c r="G245" s="36" t="s">
        <v>76</v>
      </c>
      <c r="H245" s="36" t="s">
        <v>135</v>
      </c>
      <c r="I245" s="37"/>
      <c r="J245" s="37" t="s">
        <v>201</v>
      </c>
      <c r="K245" s="38" t="s">
        <v>139</v>
      </c>
      <c r="L245" s="39">
        <v>5</v>
      </c>
      <c r="M245" s="39">
        <v>18</v>
      </c>
      <c r="N245" s="40" t="s">
        <v>79</v>
      </c>
      <c r="O245" s="39">
        <v>1</v>
      </c>
      <c r="P245" s="39"/>
      <c r="Q245" s="39"/>
      <c r="R245" s="40" t="s">
        <v>80</v>
      </c>
      <c r="S245" s="41"/>
      <c r="T245" s="41"/>
      <c r="U245" s="41"/>
      <c r="V245" s="41"/>
      <c r="W245" s="41"/>
      <c r="X245" s="42" t="str">
        <f t="shared" si="112"/>
        <v>НКНбд</v>
      </c>
      <c r="Y245" s="43" t="s">
        <v>128</v>
      </c>
      <c r="Z245" s="39">
        <v>2</v>
      </c>
      <c r="AA245" s="39">
        <v>1</v>
      </c>
      <c r="AB245" s="42">
        <f t="shared" si="113"/>
        <v>0</v>
      </c>
      <c r="AC245" s="39"/>
      <c r="AD245" s="39"/>
      <c r="AE245" s="44">
        <f t="shared" si="114"/>
        <v>0</v>
      </c>
      <c r="AF245" s="45" t="e">
        <f t="shared" si="115"/>
        <v>#DIV/0!</v>
      </c>
      <c r="AG245" s="45" t="e">
        <f t="shared" si="116"/>
        <v>#DIV/0!</v>
      </c>
      <c r="AH245" s="46" t="s">
        <v>82</v>
      </c>
      <c r="AI245" s="40" t="s">
        <v>83</v>
      </c>
      <c r="AJ245" s="40" t="s">
        <v>84</v>
      </c>
      <c r="AK245" s="47" t="s">
        <v>93</v>
      </c>
      <c r="AL245" s="40"/>
      <c r="AM245" s="48">
        <f t="shared" si="117"/>
        <v>0</v>
      </c>
      <c r="AN245" s="48">
        <f t="shared" si="118"/>
        <v>0</v>
      </c>
      <c r="AO245" s="48">
        <f t="shared" si="119"/>
        <v>0</v>
      </c>
      <c r="AP245" s="48">
        <f t="shared" si="120"/>
        <v>0</v>
      </c>
      <c r="AQ245" s="48">
        <f t="shared" si="121"/>
        <v>0</v>
      </c>
      <c r="AR245" s="48">
        <f t="shared" si="122"/>
        <v>0</v>
      </c>
      <c r="AS245" s="48">
        <f t="shared" si="123"/>
        <v>0</v>
      </c>
      <c r="AT245" s="48">
        <f t="shared" si="124"/>
        <v>0</v>
      </c>
      <c r="AU245" s="48">
        <f t="shared" si="125"/>
        <v>0</v>
      </c>
      <c r="AV245" s="48">
        <f t="shared" si="126"/>
        <v>0</v>
      </c>
      <c r="AW245" s="48">
        <f>IF(N245="ПП",РПП*AB245*(V245/1.5),IF(N245="ВП",ВПр*AB245*(V245/1.5),IF(N245="РПА",РПА*AB245*(V245/1.5),IF(N245="КПА",кпа*AB245*(V245/1.5),0))))</f>
        <v>0</v>
      </c>
      <c r="AX245" s="48">
        <f t="shared" si="127"/>
        <v>0</v>
      </c>
      <c r="AY245" s="48">
        <f t="shared" si="128"/>
        <v>0</v>
      </c>
      <c r="AZ245" s="48">
        <f t="shared" si="129"/>
        <v>0</v>
      </c>
      <c r="BA245" s="48">
        <f t="shared" si="130"/>
        <v>0</v>
      </c>
      <c r="BB245" s="48">
        <f t="shared" si="131"/>
        <v>0</v>
      </c>
      <c r="BC245" s="48">
        <f t="shared" si="132"/>
        <v>0</v>
      </c>
      <c r="BD245" s="48">
        <f t="shared" si="133"/>
        <v>0</v>
      </c>
      <c r="BE245" s="48">
        <f t="shared" si="134"/>
        <v>0</v>
      </c>
      <c r="BF245" s="49">
        <f t="shared" si="135"/>
        <v>0</v>
      </c>
      <c r="BG245" s="50"/>
      <c r="BH245" s="51">
        <f t="shared" si="136"/>
        <v>0</v>
      </c>
      <c r="BI245" s="51">
        <f t="shared" si="137"/>
        <v>0</v>
      </c>
      <c r="BJ245" s="51">
        <f t="shared" si="138"/>
        <v>0</v>
      </c>
      <c r="BK245" s="52">
        <f t="shared" si="139"/>
        <v>0</v>
      </c>
      <c r="BL245" s="52">
        <f t="shared" si="140"/>
        <v>0</v>
      </c>
      <c r="BM245" s="52">
        <f t="shared" si="141"/>
        <v>0</v>
      </c>
    </row>
    <row r="246" spans="1:65" ht="30" customHeight="1" x14ac:dyDescent="0.25">
      <c r="A246" s="31" t="str">
        <f t="shared" si="107"/>
        <v>Д</v>
      </c>
      <c r="B246" s="31" t="str">
        <f t="shared" si="108"/>
        <v>Б</v>
      </c>
      <c r="C246" s="32" t="s">
        <v>198</v>
      </c>
      <c r="D246" s="33" t="str">
        <f t="shared" si="109"/>
        <v>Факультет физико-математических и естественных наук</v>
      </c>
      <c r="E246" s="34" t="str">
        <f t="shared" si="110"/>
        <v>'02.03.01</v>
      </c>
      <c r="F246" s="35" t="str">
        <f t="shared" si="111"/>
        <v>Математика и компьютерные науки</v>
      </c>
      <c r="G246" s="36" t="s">
        <v>76</v>
      </c>
      <c r="H246" s="36" t="s">
        <v>135</v>
      </c>
      <c r="I246" s="37"/>
      <c r="J246" s="37" t="s">
        <v>201</v>
      </c>
      <c r="K246" s="38" t="s">
        <v>139</v>
      </c>
      <c r="L246" s="39">
        <v>5</v>
      </c>
      <c r="M246" s="39">
        <v>18</v>
      </c>
      <c r="N246" s="40" t="s">
        <v>86</v>
      </c>
      <c r="O246" s="39"/>
      <c r="P246" s="39"/>
      <c r="Q246" s="39">
        <v>2</v>
      </c>
      <c r="R246" s="40"/>
      <c r="S246" s="41"/>
      <c r="T246" s="41"/>
      <c r="U246" s="41"/>
      <c r="V246" s="41"/>
      <c r="W246" s="41"/>
      <c r="X246" s="42" t="str">
        <f t="shared" si="112"/>
        <v>НКНбд</v>
      </c>
      <c r="Y246" s="43" t="s">
        <v>128</v>
      </c>
      <c r="Z246" s="39">
        <v>2</v>
      </c>
      <c r="AA246" s="39">
        <v>1</v>
      </c>
      <c r="AB246" s="42">
        <f t="shared" si="113"/>
        <v>0</v>
      </c>
      <c r="AC246" s="39"/>
      <c r="AD246" s="39"/>
      <c r="AE246" s="44">
        <f t="shared" si="114"/>
        <v>24</v>
      </c>
      <c r="AF246" s="45">
        <f t="shared" si="115"/>
        <v>0</v>
      </c>
      <c r="AG246" s="45">
        <f t="shared" si="116"/>
        <v>0</v>
      </c>
      <c r="AH246" s="46" t="s">
        <v>82</v>
      </c>
      <c r="AI246" s="40" t="s">
        <v>83</v>
      </c>
      <c r="AJ246" s="40" t="s">
        <v>84</v>
      </c>
      <c r="AK246" s="47" t="s">
        <v>93</v>
      </c>
      <c r="AL246" s="40"/>
      <c r="AM246" s="48">
        <f t="shared" si="117"/>
        <v>0</v>
      </c>
      <c r="AN246" s="48">
        <f t="shared" si="118"/>
        <v>0</v>
      </c>
      <c r="AO246" s="48">
        <f t="shared" si="119"/>
        <v>0</v>
      </c>
      <c r="AP246" s="48">
        <f t="shared" si="120"/>
        <v>0</v>
      </c>
      <c r="AQ246" s="48">
        <f t="shared" si="121"/>
        <v>0</v>
      </c>
      <c r="AR246" s="48">
        <f t="shared" si="122"/>
        <v>0</v>
      </c>
      <c r="AS246" s="48">
        <f t="shared" si="123"/>
        <v>0</v>
      </c>
      <c r="AT246" s="48">
        <f t="shared" si="124"/>
        <v>0</v>
      </c>
      <c r="AU246" s="48">
        <f t="shared" si="125"/>
        <v>0</v>
      </c>
      <c r="AV246" s="48">
        <f t="shared" si="126"/>
        <v>0</v>
      </c>
      <c r="AW246" s="48">
        <f>IF(N246="ПП",РПП*AB246*(V246/1.5),IF(N246="ВП",ВПр*AB246*(V246/1.5),IF(N246="РПА",РПА*AB246*(V246/1.5),IF(N246="КПА",кпа*AB246*(V246/1.5),0))))</f>
        <v>0</v>
      </c>
      <c r="AX246" s="48">
        <f t="shared" si="127"/>
        <v>0</v>
      </c>
      <c r="AY246" s="48">
        <f t="shared" si="128"/>
        <v>0</v>
      </c>
      <c r="AZ246" s="48">
        <f t="shared" si="129"/>
        <v>0</v>
      </c>
      <c r="BA246" s="48">
        <f t="shared" si="130"/>
        <v>0</v>
      </c>
      <c r="BB246" s="48">
        <f t="shared" si="131"/>
        <v>0</v>
      </c>
      <c r="BC246" s="48">
        <f t="shared" si="132"/>
        <v>0</v>
      </c>
      <c r="BD246" s="48">
        <f t="shared" si="133"/>
        <v>0</v>
      </c>
      <c r="BE246" s="48">
        <f t="shared" si="134"/>
        <v>0</v>
      </c>
      <c r="BF246" s="49">
        <f t="shared" si="135"/>
        <v>0</v>
      </c>
      <c r="BG246" s="50"/>
      <c r="BH246" s="51">
        <f t="shared" si="136"/>
        <v>0</v>
      </c>
      <c r="BI246" s="51">
        <f t="shared" si="137"/>
        <v>0</v>
      </c>
      <c r="BJ246" s="51">
        <f t="shared" si="138"/>
        <v>0</v>
      </c>
      <c r="BK246" s="52">
        <f t="shared" si="139"/>
        <v>0</v>
      </c>
      <c r="BL246" s="52">
        <f t="shared" si="140"/>
        <v>0</v>
      </c>
      <c r="BM246" s="52">
        <f t="shared" si="141"/>
        <v>0</v>
      </c>
    </row>
    <row r="247" spans="1:65" ht="30" customHeight="1" x14ac:dyDescent="0.25">
      <c r="A247" s="31" t="str">
        <f t="shared" ref="A247:A303" si="142">IF(C247&gt;0, VLOOKUP(C247,Код_ООП,11,FALSE()),0)</f>
        <v>Д</v>
      </c>
      <c r="B247" s="31" t="str">
        <f t="shared" ref="B247:B303" si="143">IF(C247&gt;0, VLOOKUP(C247,Код_ООП,12,FALSE()),0)</f>
        <v>Б</v>
      </c>
      <c r="C247" s="32" t="s">
        <v>198</v>
      </c>
      <c r="D247" s="33" t="str">
        <f t="shared" ref="D247:D303" si="144">IF(C247&gt;0,VLOOKUP(LEFT(C247,1),ОУП,2,FALSE()),0)</f>
        <v>Факультет физико-математических и естественных наук</v>
      </c>
      <c r="E247" s="34" t="str">
        <f t="shared" ref="E247:E303" si="145">IF(C247&gt;0, VLOOKUP(C247,Код_ООП,2,FALSE()),0)</f>
        <v>'02.03.01</v>
      </c>
      <c r="F247" s="35" t="str">
        <f t="shared" ref="F247:F303" si="146">IF(C247&gt;0, VLOOKUP(C247,Код_ООП,13,FALSE()),0)</f>
        <v>Математика и компьютерные науки</v>
      </c>
      <c r="G247" s="36" t="s">
        <v>76</v>
      </c>
      <c r="H247" s="36" t="s">
        <v>135</v>
      </c>
      <c r="I247" s="37"/>
      <c r="J247" s="37" t="s">
        <v>201</v>
      </c>
      <c r="K247" s="38" t="s">
        <v>140</v>
      </c>
      <c r="L247" s="39">
        <v>5</v>
      </c>
      <c r="M247" s="39">
        <v>18</v>
      </c>
      <c r="N247" s="40" t="s">
        <v>79</v>
      </c>
      <c r="O247" s="39">
        <v>1</v>
      </c>
      <c r="P247" s="39"/>
      <c r="Q247" s="39"/>
      <c r="R247" s="40"/>
      <c r="S247" s="41"/>
      <c r="T247" s="41"/>
      <c r="U247" s="41"/>
      <c r="V247" s="41"/>
      <c r="W247" s="41"/>
      <c r="X247" s="42" t="str">
        <f t="shared" ref="X247:X303" si="147">MID(C247,1,5)</f>
        <v>НКНбд</v>
      </c>
      <c r="Y247" s="43" t="s">
        <v>128</v>
      </c>
      <c r="Z247" s="39">
        <v>2</v>
      </c>
      <c r="AA247" s="39">
        <v>1</v>
      </c>
      <c r="AB247" s="42">
        <f t="shared" ref="AB247:AB303" si="148">AC247+AD247</f>
        <v>16</v>
      </c>
      <c r="AC247" s="39">
        <v>10</v>
      </c>
      <c r="AD247" s="39">
        <v>6</v>
      </c>
      <c r="AE247" s="44">
        <f t="shared" ref="AE247:AE303" si="149">IF(N247="сп",6,IF(N247="клн",8,IF(OR(N247="лаб",N247="ия"),12,IF(OR(N247="пр",N247="ТЕСТ"),IF(OR(B247="Б",B247="С"),24,12),IF(N247="лек",AB247,1)))))</f>
        <v>16</v>
      </c>
      <c r="AF247" s="45">
        <f t="shared" ref="AF247:AF303" si="150">IF(AG247&gt;1,1,AG247)</f>
        <v>1</v>
      </c>
      <c r="AG247" s="45">
        <f t="shared" ref="AG247:AG303" si="151">AB247/AE247</f>
        <v>1</v>
      </c>
      <c r="AH247" s="46" t="s">
        <v>82</v>
      </c>
      <c r="AI247" s="40" t="s">
        <v>83</v>
      </c>
      <c r="AJ247" s="40" t="s">
        <v>84</v>
      </c>
      <c r="AK247" s="47" t="s">
        <v>204</v>
      </c>
      <c r="AL247" s="40"/>
      <c r="AM247" s="48">
        <f t="shared" ref="AM247:AM303" si="152">IF(AB247&gt;0,IF(OR(N247="лек",N247="ТУИС"),O247*M247,0),0)</f>
        <v>18</v>
      </c>
      <c r="AN247" s="48">
        <f t="shared" ref="AN247:AN303" si="153">IF(OR(N247="пр",N247="ия",N247="сп"),Q247*AF247*M247,0)</f>
        <v>0</v>
      </c>
      <c r="AO247" s="48">
        <f t="shared" ref="AO247:AO303" si="154">IF(OR(N247="лаб",N247="клн"),P247*AF247*M247,0)</f>
        <v>0</v>
      </c>
      <c r="AP247" s="48">
        <f t="shared" ref="AP247:AP303" si="155">(IF((AND(OR(L247=1,L247=2,L247=3,L247=4,L247=5,L247=6,L247=7,L247=8,L247=9,L247=10,L247=11,L247=12),OR(R247="Зач",R247="Экз"))),ТКиРА*AB247,0)+IF(SUM(O247:Q247)&lt;&gt;0,IF(R247="ТК",ТКиРА*AB247,0),0))*(IF(G247="ФТД",0,1))</f>
        <v>0</v>
      </c>
      <c r="AQ247" s="48">
        <f t="shared" ref="AQ247:AQ303" si="156">IF(SUM(P247:Q247)&lt;&gt;0,IF(R247="Зач",ПАБРС*AB247,0),0)+IF(O247&lt;&gt;0,IF(R247="Экз",ПАБРС*AB247,0),0)</f>
        <v>0</v>
      </c>
      <c r="AR247" s="48">
        <f t="shared" ref="AR247:AR303" si="157">(IF(AQ247&lt;&gt;0,ОфВед*(IF(OR(N247="лек",N247="лаб"),AA247,AF247)),0))*(IF(G247="ФТД",0,1))</f>
        <v>0</v>
      </c>
      <c r="AS247" s="48">
        <f t="shared" ref="AS247:AS303" si="158">(IF(A247="Д",ТКЛД,IF(A247="В",ТКЛВ,IF(A247="З",ТКЛЗ,0))))*(IF(G247="ФТД",0,IF(B247="ЦМ",O247*M247,AM247)))*AA247</f>
        <v>0.9</v>
      </c>
      <c r="AT247" s="48">
        <f t="shared" ref="AT247:AT303" si="159">IF(S247="К",AB247*ВПКР,IF(S247="М",AB247*ВПИБ,0))</f>
        <v>0</v>
      </c>
      <c r="AU247" s="48">
        <f t="shared" ref="AU247:AU303" si="160">IF(OR(N247="лаб",N247="пр"),IF(T247="К",AB247*ВПКП,0),0)</f>
        <v>0</v>
      </c>
      <c r="AV247" s="48">
        <f t="shared" ref="AV247:AV303" si="161">IF(N247="УП",U247/1.5*AB247*РУП,IF(N247="УПМ",U247/1.5*AB247*РУПЛеч,0))</f>
        <v>0</v>
      </c>
      <c r="AW247" s="48">
        <f>IF(N247="ПП",РПП*AB247*(V247/1.5),IF(N247="ВП",ВПр*AB247*(V247/1.5),IF(N247="РПА",РПА*AB247*(V247/1.5),IF(N247="КПА",кпа*AB247*(V247/1.5),0))))</f>
        <v>0</v>
      </c>
      <c r="AX247" s="48">
        <f t="shared" ref="AX247:AX303" si="162">IF(N247="НР",(AC247*НИРМ+AD247*НИРМИн)*(W247/1.5),IF(N247="НИ",(AC247*НИРА+AD247*НИРАИ)*(W247/1.5),0))</f>
        <v>0</v>
      </c>
      <c r="AY247" s="48">
        <f t="shared" ref="AY247:AY303" si="163">IF(AND(N247="ЦП",B247="ЦМ"),AB247*ЦП,0)</f>
        <v>0</v>
      </c>
      <c r="AZ247" s="48">
        <f t="shared" ref="AZ247:AZ303" si="164">IF(B247="А",IF(N247="РР",AB247*РефАсп,IF(N247="РРФ",AB247*РефФил,0)),0)</f>
        <v>0</v>
      </c>
      <c r="BA247" s="48">
        <f t="shared" ref="BA247:BA303" si="165">IF(AND(R247="КЭ",N247="ЧК"),AB247*КдЭк,0)</f>
        <v>0</v>
      </c>
      <c r="BB247" s="48">
        <f t="shared" ref="BB247:BB303" si="166">IF(AND(N247="НКД",B247="Д"),AB247*НКД,0)+IF(AND(N247="РПЛ",B247="А"),AB247*РукПЛ,0)+IF(AND(N247="РСтж",B247="А"),AC247*РукСт+AD247*РукИСт,0)+IF(N247="ФГТ",AC247*РукРФа+AD247*РукИна,0)</f>
        <v>0</v>
      </c>
      <c r="BC247" s="48">
        <f t="shared" ref="BC247:BC303" si="167">IF(N247="РК",IF(OR(B247="С",B247="М",B247="ЦМ"),(AC247*РСМ+AD247*РСМИ),0),0)+IF(N247="РК",IF(B247="Б",(AC247*РБ+AD247*РБИ),0),0)+IF(N247="РК",IF(B247="А",(AC247*РНКР+AD247*РНКРИн),0),0)+IF(AND(R247="ПАкр"),AB247*0.3)</f>
        <v>0</v>
      </c>
      <c r="BD247" s="48">
        <f t="shared" ref="BD247:BD303" si="168">IF(N247="РДП",IF(B247="А",AB247*РРА,IF(OR(B247="С",B247="М",B247="ЦМ"),AB247*РРСМ,IF(B247="Б",AB247*РРБ,0))),IF(N247="РДИ",AB247*РДП,0))</f>
        <v>0</v>
      </c>
      <c r="BE247" s="48">
        <f t="shared" ref="BE247:BE303" si="169">IF(N247="ЧГ",AB247*ЧГ,IF(N247="ПГ",AB247*ПГ,IF(N247="ТЕСТ",ТГИЭ*AF247,IF(N247="СГ",AB247*СГ,0))))</f>
        <v>0</v>
      </c>
      <c r="BF247" s="49">
        <f t="shared" ref="BF247:BF303" si="170">SUM(AM247:BE247)</f>
        <v>18.899999999999999</v>
      </c>
      <c r="BG247" s="50"/>
      <c r="BH247" s="51">
        <f t="shared" ref="BH247:BH303" si="171">IF(OR(L247="1;1",L247="1;2",L247=1,L247="3;1",L247="3;2",L247=3,L247="5;1",L247="5;2",L247=5,L247="7;1",L247="7;2",L247=7,L247="9;1",L247="9;2",L247=9,L247=11),SUM(AM247:AO247),0)</f>
        <v>18</v>
      </c>
      <c r="BI247" s="51">
        <f t="shared" ref="BI247:BI303" si="172">IF(BH247&lt;&gt;0,SUM(O247:Q247)/2,0)</f>
        <v>0.5</v>
      </c>
      <c r="BJ247" s="51">
        <f t="shared" ref="BJ247:BJ303" si="173">IF(OR(L247="1;1",L247="1;2",L247=1,L247="3;1",L247="3;2",L247=3,L247="5;1",L247="5;2",L247=5,L247="7;1",L247="7;2",L247=7,L247="9;1",L247="9;2",L247=9,L247=11),SUM(AP247:BE247),0)</f>
        <v>0.9</v>
      </c>
      <c r="BK247" s="52">
        <f t="shared" ref="BK247:BK303" si="174">IF(OR(L247="2;3",L247="2;4",L247=2,L247="4;3",L247="4;4",L247=4,L247="6;3",L247="6;4",L247=6,L247="8;3",L247="8;4",L247=8,L247="10;3",L247="10;4",L247=10,L247=12),SUM(AM247:AO247),0)</f>
        <v>0</v>
      </c>
      <c r="BL247" s="52">
        <f t="shared" ref="BL247:BL303" si="175">IF(BK247&lt;&gt;0,SUM(O247:Q247)/2,0)</f>
        <v>0</v>
      </c>
      <c r="BM247" s="52">
        <f t="shared" ref="BM247:BM303" si="176">IF(OR(L247="2;3",L247="2;4",L247=2,L247="4;3",L247="4;4",L247=4,L247="6;3",L247="6;4",L247=6,L247="8;3",L247="8;4",L247=8,L247="10;3",L247="10;4",L247=10,L247=12),SUM(AP247:BE247),0)</f>
        <v>0</v>
      </c>
    </row>
    <row r="248" spans="1:65" ht="30" customHeight="1" x14ac:dyDescent="0.25">
      <c r="A248" s="31" t="str">
        <f t="shared" si="142"/>
        <v>Д</v>
      </c>
      <c r="B248" s="31" t="str">
        <f t="shared" si="143"/>
        <v>Б</v>
      </c>
      <c r="C248" s="32" t="s">
        <v>198</v>
      </c>
      <c r="D248" s="33" t="str">
        <f t="shared" si="144"/>
        <v>Факультет физико-математических и естественных наук</v>
      </c>
      <c r="E248" s="34" t="str">
        <f t="shared" si="145"/>
        <v>'02.03.01</v>
      </c>
      <c r="F248" s="35" t="str">
        <f t="shared" si="146"/>
        <v>Математика и компьютерные науки</v>
      </c>
      <c r="G248" s="36" t="s">
        <v>76</v>
      </c>
      <c r="H248" s="36" t="s">
        <v>135</v>
      </c>
      <c r="I248" s="37"/>
      <c r="J248" s="37" t="s">
        <v>201</v>
      </c>
      <c r="K248" s="38" t="s">
        <v>140</v>
      </c>
      <c r="L248" s="39">
        <v>5</v>
      </c>
      <c r="M248" s="39">
        <v>18</v>
      </c>
      <c r="N248" s="40" t="s">
        <v>86</v>
      </c>
      <c r="O248" s="39"/>
      <c r="P248" s="39"/>
      <c r="Q248" s="39">
        <v>1</v>
      </c>
      <c r="R248" s="40" t="s">
        <v>95</v>
      </c>
      <c r="S248" s="41"/>
      <c r="T248" s="41"/>
      <c r="U248" s="41"/>
      <c r="V248" s="41"/>
      <c r="W248" s="41"/>
      <c r="X248" s="42" t="str">
        <f t="shared" si="147"/>
        <v>НКНбд</v>
      </c>
      <c r="Y248" s="43" t="s">
        <v>128</v>
      </c>
      <c r="Z248" s="39">
        <v>2</v>
      </c>
      <c r="AA248" s="39">
        <v>1</v>
      </c>
      <c r="AB248" s="42">
        <f t="shared" si="148"/>
        <v>16</v>
      </c>
      <c r="AC248" s="39">
        <v>10</v>
      </c>
      <c r="AD248" s="39">
        <v>6</v>
      </c>
      <c r="AE248" s="44">
        <f t="shared" si="149"/>
        <v>24</v>
      </c>
      <c r="AF248" s="45">
        <f t="shared" si="150"/>
        <v>0.66666666666666663</v>
      </c>
      <c r="AG248" s="45">
        <f t="shared" si="151"/>
        <v>0.66666666666666663</v>
      </c>
      <c r="AH248" s="46" t="s">
        <v>82</v>
      </c>
      <c r="AI248" s="40" t="s">
        <v>83</v>
      </c>
      <c r="AJ248" s="40" t="s">
        <v>84</v>
      </c>
      <c r="AK248" s="47" t="s">
        <v>204</v>
      </c>
      <c r="AL248" s="40"/>
      <c r="AM248" s="48">
        <f t="shared" si="152"/>
        <v>0</v>
      </c>
      <c r="AN248" s="48">
        <f t="shared" si="153"/>
        <v>12</v>
      </c>
      <c r="AO248" s="48">
        <f t="shared" si="154"/>
        <v>0</v>
      </c>
      <c r="AP248" s="48">
        <f t="shared" si="155"/>
        <v>5.28</v>
      </c>
      <c r="AQ248" s="48">
        <f t="shared" si="156"/>
        <v>8</v>
      </c>
      <c r="AR248" s="48">
        <f t="shared" si="157"/>
        <v>0.66666666666666663</v>
      </c>
      <c r="AS248" s="48">
        <f t="shared" si="158"/>
        <v>0</v>
      </c>
      <c r="AT248" s="48">
        <f t="shared" si="159"/>
        <v>0</v>
      </c>
      <c r="AU248" s="48">
        <f t="shared" si="160"/>
        <v>0</v>
      </c>
      <c r="AV248" s="48">
        <f t="shared" si="161"/>
        <v>0</v>
      </c>
      <c r="AW248" s="48">
        <f>IF(N248="ПП",РПП*AB248*(V248/1.5),IF(N248="ВП",ВПр*AB248*(V248/1.5),IF(N248="РПА",РПА*AB248*(V248/1.5),IF(N248="КПА",кпа*AB248*(V248/1.5),0))))</f>
        <v>0</v>
      </c>
      <c r="AX248" s="48">
        <f t="shared" si="162"/>
        <v>0</v>
      </c>
      <c r="AY248" s="48">
        <f t="shared" si="163"/>
        <v>0</v>
      </c>
      <c r="AZ248" s="48">
        <f t="shared" si="164"/>
        <v>0</v>
      </c>
      <c r="BA248" s="48">
        <f t="shared" si="165"/>
        <v>0</v>
      </c>
      <c r="BB248" s="48">
        <f t="shared" si="166"/>
        <v>0</v>
      </c>
      <c r="BC248" s="48">
        <f t="shared" si="167"/>
        <v>0</v>
      </c>
      <c r="BD248" s="48">
        <f t="shared" si="168"/>
        <v>0</v>
      </c>
      <c r="BE248" s="48">
        <f t="shared" si="169"/>
        <v>0</v>
      </c>
      <c r="BF248" s="49">
        <f t="shared" si="170"/>
        <v>25.946666666666669</v>
      </c>
      <c r="BG248" s="50"/>
      <c r="BH248" s="51">
        <f t="shared" si="171"/>
        <v>12</v>
      </c>
      <c r="BI248" s="51">
        <f t="shared" si="172"/>
        <v>0.5</v>
      </c>
      <c r="BJ248" s="51">
        <f t="shared" si="173"/>
        <v>13.946666666666667</v>
      </c>
      <c r="BK248" s="52">
        <f t="shared" si="174"/>
        <v>0</v>
      </c>
      <c r="BL248" s="52">
        <f t="shared" si="175"/>
        <v>0</v>
      </c>
      <c r="BM248" s="52">
        <f t="shared" si="176"/>
        <v>0</v>
      </c>
    </row>
    <row r="249" spans="1:65" ht="30" customHeight="1" x14ac:dyDescent="0.25">
      <c r="A249" s="31" t="str">
        <f t="shared" si="142"/>
        <v>Д</v>
      </c>
      <c r="B249" s="31" t="str">
        <f t="shared" si="143"/>
        <v>Б</v>
      </c>
      <c r="C249" s="32" t="s">
        <v>198</v>
      </c>
      <c r="D249" s="33" t="str">
        <f t="shared" si="144"/>
        <v>Факультет физико-математических и естественных наук</v>
      </c>
      <c r="E249" s="34" t="str">
        <f t="shared" si="145"/>
        <v>'02.03.01</v>
      </c>
      <c r="F249" s="35" t="str">
        <f t="shared" si="146"/>
        <v>Математика и компьютерные науки</v>
      </c>
      <c r="G249" s="36" t="s">
        <v>76</v>
      </c>
      <c r="H249" s="36" t="s">
        <v>135</v>
      </c>
      <c r="I249" s="37"/>
      <c r="J249" s="37" t="s">
        <v>201</v>
      </c>
      <c r="K249" s="38" t="s">
        <v>142</v>
      </c>
      <c r="L249" s="39">
        <v>5</v>
      </c>
      <c r="M249" s="39">
        <v>18</v>
      </c>
      <c r="N249" s="40" t="s">
        <v>79</v>
      </c>
      <c r="O249" s="39">
        <v>1</v>
      </c>
      <c r="P249" s="39"/>
      <c r="Q249" s="39"/>
      <c r="R249" s="40"/>
      <c r="S249" s="41"/>
      <c r="T249" s="41"/>
      <c r="U249" s="41"/>
      <c r="V249" s="41"/>
      <c r="W249" s="41"/>
      <c r="X249" s="42" t="str">
        <f t="shared" si="147"/>
        <v>НКНбд</v>
      </c>
      <c r="Y249" s="43" t="s">
        <v>128</v>
      </c>
      <c r="Z249" s="39">
        <v>2</v>
      </c>
      <c r="AA249" s="39">
        <v>1</v>
      </c>
      <c r="AB249" s="42">
        <f t="shared" si="148"/>
        <v>16</v>
      </c>
      <c r="AC249" s="39">
        <v>10</v>
      </c>
      <c r="AD249" s="39">
        <v>6</v>
      </c>
      <c r="AE249" s="44">
        <f t="shared" si="149"/>
        <v>16</v>
      </c>
      <c r="AF249" s="45">
        <f t="shared" si="150"/>
        <v>1</v>
      </c>
      <c r="AG249" s="45">
        <f t="shared" si="151"/>
        <v>1</v>
      </c>
      <c r="AH249" s="46" t="s">
        <v>82</v>
      </c>
      <c r="AI249" s="40" t="s">
        <v>83</v>
      </c>
      <c r="AJ249" s="40" t="s">
        <v>116</v>
      </c>
      <c r="AK249" s="47" t="s">
        <v>146</v>
      </c>
      <c r="AL249" s="40"/>
      <c r="AM249" s="48">
        <f t="shared" si="152"/>
        <v>18</v>
      </c>
      <c r="AN249" s="48">
        <f t="shared" si="153"/>
        <v>0</v>
      </c>
      <c r="AO249" s="48">
        <f t="shared" si="154"/>
        <v>0</v>
      </c>
      <c r="AP249" s="48">
        <f t="shared" si="155"/>
        <v>0</v>
      </c>
      <c r="AQ249" s="48">
        <f t="shared" si="156"/>
        <v>0</v>
      </c>
      <c r="AR249" s="48">
        <f t="shared" si="157"/>
        <v>0</v>
      </c>
      <c r="AS249" s="48">
        <f t="shared" si="158"/>
        <v>0.9</v>
      </c>
      <c r="AT249" s="48">
        <f t="shared" si="159"/>
        <v>0</v>
      </c>
      <c r="AU249" s="48">
        <f t="shared" si="160"/>
        <v>0</v>
      </c>
      <c r="AV249" s="48">
        <f t="shared" si="161"/>
        <v>0</v>
      </c>
      <c r="AW249" s="48">
        <f>IF(N249="ПП",РПП*AB249*(V249/1.5),IF(N249="ВП",ВПр*AB249*(V249/1.5),IF(N249="РПА",РПА*AB249*(V249/1.5),IF(N249="КПА",кпа*AB249*(V249/1.5),0))))</f>
        <v>0</v>
      </c>
      <c r="AX249" s="48">
        <f t="shared" si="162"/>
        <v>0</v>
      </c>
      <c r="AY249" s="48">
        <f t="shared" si="163"/>
        <v>0</v>
      </c>
      <c r="AZ249" s="48">
        <f t="shared" si="164"/>
        <v>0</v>
      </c>
      <c r="BA249" s="48">
        <f t="shared" si="165"/>
        <v>0</v>
      </c>
      <c r="BB249" s="48">
        <f t="shared" si="166"/>
        <v>0</v>
      </c>
      <c r="BC249" s="48">
        <f t="shared" si="167"/>
        <v>0</v>
      </c>
      <c r="BD249" s="48">
        <f t="shared" si="168"/>
        <v>0</v>
      </c>
      <c r="BE249" s="48">
        <f t="shared" si="169"/>
        <v>0</v>
      </c>
      <c r="BF249" s="49">
        <f t="shared" si="170"/>
        <v>18.899999999999999</v>
      </c>
      <c r="BG249" s="50"/>
      <c r="BH249" s="51">
        <f t="shared" si="171"/>
        <v>18</v>
      </c>
      <c r="BI249" s="51">
        <f t="shared" si="172"/>
        <v>0.5</v>
      </c>
      <c r="BJ249" s="51">
        <f t="shared" si="173"/>
        <v>0.9</v>
      </c>
      <c r="BK249" s="52">
        <f t="shared" si="174"/>
        <v>0</v>
      </c>
      <c r="BL249" s="52">
        <f t="shared" si="175"/>
        <v>0</v>
      </c>
      <c r="BM249" s="52">
        <f t="shared" si="176"/>
        <v>0</v>
      </c>
    </row>
    <row r="250" spans="1:65" ht="30" customHeight="1" x14ac:dyDescent="0.25">
      <c r="A250" s="31" t="str">
        <f t="shared" si="142"/>
        <v>Д</v>
      </c>
      <c r="B250" s="31" t="str">
        <f t="shared" si="143"/>
        <v>Б</v>
      </c>
      <c r="C250" s="32" t="s">
        <v>198</v>
      </c>
      <c r="D250" s="33" t="str">
        <f t="shared" si="144"/>
        <v>Факультет физико-математических и естественных наук</v>
      </c>
      <c r="E250" s="34" t="str">
        <f t="shared" si="145"/>
        <v>'02.03.01</v>
      </c>
      <c r="F250" s="35" t="str">
        <f t="shared" si="146"/>
        <v>Математика и компьютерные науки</v>
      </c>
      <c r="G250" s="36" t="s">
        <v>76</v>
      </c>
      <c r="H250" s="36" t="s">
        <v>135</v>
      </c>
      <c r="I250" s="37"/>
      <c r="J250" s="37" t="s">
        <v>201</v>
      </c>
      <c r="K250" s="38" t="s">
        <v>142</v>
      </c>
      <c r="L250" s="39">
        <v>5</v>
      </c>
      <c r="M250" s="39">
        <v>18</v>
      </c>
      <c r="N250" s="40" t="s">
        <v>86</v>
      </c>
      <c r="O250" s="39"/>
      <c r="P250" s="39"/>
      <c r="Q250" s="39">
        <v>2</v>
      </c>
      <c r="R250" s="40" t="s">
        <v>95</v>
      </c>
      <c r="S250" s="41"/>
      <c r="T250" s="41"/>
      <c r="U250" s="41"/>
      <c r="V250" s="41"/>
      <c r="W250" s="41"/>
      <c r="X250" s="42" t="str">
        <f t="shared" si="147"/>
        <v>НКНбд</v>
      </c>
      <c r="Y250" s="43" t="s">
        <v>128</v>
      </c>
      <c r="Z250" s="39">
        <v>2</v>
      </c>
      <c r="AA250" s="39">
        <v>1</v>
      </c>
      <c r="AB250" s="42">
        <f t="shared" si="148"/>
        <v>16</v>
      </c>
      <c r="AC250" s="39">
        <v>10</v>
      </c>
      <c r="AD250" s="39">
        <v>6</v>
      </c>
      <c r="AE250" s="44">
        <f t="shared" si="149"/>
        <v>24</v>
      </c>
      <c r="AF250" s="45">
        <f t="shared" si="150"/>
        <v>0.66666666666666663</v>
      </c>
      <c r="AG250" s="45">
        <f t="shared" si="151"/>
        <v>0.66666666666666663</v>
      </c>
      <c r="AH250" s="46" t="s">
        <v>82</v>
      </c>
      <c r="AI250" s="40" t="s">
        <v>83</v>
      </c>
      <c r="AJ250" s="40" t="s">
        <v>116</v>
      </c>
      <c r="AK250" s="47" t="s">
        <v>146</v>
      </c>
      <c r="AL250" s="40"/>
      <c r="AM250" s="48">
        <f t="shared" si="152"/>
        <v>0</v>
      </c>
      <c r="AN250" s="48">
        <f t="shared" si="153"/>
        <v>24</v>
      </c>
      <c r="AO250" s="48">
        <f t="shared" si="154"/>
        <v>0</v>
      </c>
      <c r="AP250" s="48">
        <f t="shared" si="155"/>
        <v>5.28</v>
      </c>
      <c r="AQ250" s="48">
        <f t="shared" si="156"/>
        <v>8</v>
      </c>
      <c r="AR250" s="48">
        <f t="shared" si="157"/>
        <v>0.66666666666666663</v>
      </c>
      <c r="AS250" s="48">
        <f t="shared" si="158"/>
        <v>0</v>
      </c>
      <c r="AT250" s="48">
        <f t="shared" si="159"/>
        <v>0</v>
      </c>
      <c r="AU250" s="48">
        <f t="shared" si="160"/>
        <v>0</v>
      </c>
      <c r="AV250" s="48">
        <f t="shared" si="161"/>
        <v>0</v>
      </c>
      <c r="AW250" s="48">
        <f>IF(N250="ПП",РПП*AB250*(V250/1.5),IF(N250="ВП",ВПр*AB250*(V250/1.5),IF(N250="РПА",РПА*AB250*(V250/1.5),IF(N250="КПА",кпа*AB250*(V250/1.5),0))))</f>
        <v>0</v>
      </c>
      <c r="AX250" s="48">
        <f t="shared" si="162"/>
        <v>0</v>
      </c>
      <c r="AY250" s="48">
        <f t="shared" si="163"/>
        <v>0</v>
      </c>
      <c r="AZ250" s="48">
        <f t="shared" si="164"/>
        <v>0</v>
      </c>
      <c r="BA250" s="48">
        <f t="shared" si="165"/>
        <v>0</v>
      </c>
      <c r="BB250" s="48">
        <f t="shared" si="166"/>
        <v>0</v>
      </c>
      <c r="BC250" s="48">
        <f t="shared" si="167"/>
        <v>0</v>
      </c>
      <c r="BD250" s="48">
        <f t="shared" si="168"/>
        <v>0</v>
      </c>
      <c r="BE250" s="48">
        <f t="shared" si="169"/>
        <v>0</v>
      </c>
      <c r="BF250" s="49">
        <f t="shared" si="170"/>
        <v>37.946666666666665</v>
      </c>
      <c r="BG250" s="50"/>
      <c r="BH250" s="51">
        <f t="shared" si="171"/>
        <v>24</v>
      </c>
      <c r="BI250" s="51">
        <f t="shared" si="172"/>
        <v>1</v>
      </c>
      <c r="BJ250" s="51">
        <f t="shared" si="173"/>
        <v>13.946666666666667</v>
      </c>
      <c r="BK250" s="52">
        <f t="shared" si="174"/>
        <v>0</v>
      </c>
      <c r="BL250" s="52">
        <f t="shared" si="175"/>
        <v>0</v>
      </c>
      <c r="BM250" s="52">
        <f t="shared" si="176"/>
        <v>0</v>
      </c>
    </row>
    <row r="251" spans="1:65" ht="30" customHeight="1" x14ac:dyDescent="0.25">
      <c r="A251" s="31" t="str">
        <f t="shared" si="142"/>
        <v>Д</v>
      </c>
      <c r="B251" s="31" t="str">
        <f t="shared" si="143"/>
        <v>Б</v>
      </c>
      <c r="C251" s="32" t="s">
        <v>198</v>
      </c>
      <c r="D251" s="33" t="str">
        <f t="shared" si="144"/>
        <v>Факультет физико-математических и естественных наук</v>
      </c>
      <c r="E251" s="34" t="str">
        <f t="shared" si="145"/>
        <v>'02.03.01</v>
      </c>
      <c r="F251" s="35" t="str">
        <f t="shared" si="146"/>
        <v>Математика и компьютерные науки</v>
      </c>
      <c r="G251" s="36" t="s">
        <v>76</v>
      </c>
      <c r="H251" s="36" t="s">
        <v>135</v>
      </c>
      <c r="I251" s="37"/>
      <c r="J251" s="37" t="s">
        <v>154</v>
      </c>
      <c r="K251" s="38" t="s">
        <v>133</v>
      </c>
      <c r="L251" s="39">
        <v>5</v>
      </c>
      <c r="M251" s="39">
        <v>18</v>
      </c>
      <c r="N251" s="40" t="s">
        <v>79</v>
      </c>
      <c r="O251" s="39">
        <v>1</v>
      </c>
      <c r="P251" s="39"/>
      <c r="Q251" s="39"/>
      <c r="R251" s="40"/>
      <c r="S251" s="41"/>
      <c r="T251" s="41"/>
      <c r="U251" s="41"/>
      <c r="V251" s="41"/>
      <c r="W251" s="41"/>
      <c r="X251" s="42" t="str">
        <f t="shared" si="147"/>
        <v>НКНбд</v>
      </c>
      <c r="Y251" s="43" t="s">
        <v>128</v>
      </c>
      <c r="Z251" s="39">
        <v>2</v>
      </c>
      <c r="AA251" s="39">
        <v>1</v>
      </c>
      <c r="AB251" s="42">
        <f t="shared" si="148"/>
        <v>10</v>
      </c>
      <c r="AC251" s="39">
        <v>5</v>
      </c>
      <c r="AD251" s="39">
        <v>5</v>
      </c>
      <c r="AE251" s="44">
        <f t="shared" si="149"/>
        <v>10</v>
      </c>
      <c r="AF251" s="45">
        <f t="shared" si="150"/>
        <v>1</v>
      </c>
      <c r="AG251" s="45">
        <f t="shared" si="151"/>
        <v>1</v>
      </c>
      <c r="AH251" s="46" t="s">
        <v>82</v>
      </c>
      <c r="AI251" s="40" t="s">
        <v>99</v>
      </c>
      <c r="AJ251" s="40" t="s">
        <v>84</v>
      </c>
      <c r="AK251" s="47" t="s">
        <v>134</v>
      </c>
      <c r="AL251" s="40"/>
      <c r="AM251" s="48">
        <f t="shared" si="152"/>
        <v>18</v>
      </c>
      <c r="AN251" s="48">
        <f t="shared" si="153"/>
        <v>0</v>
      </c>
      <c r="AO251" s="48">
        <f t="shared" si="154"/>
        <v>0</v>
      </c>
      <c r="AP251" s="48">
        <f t="shared" si="155"/>
        <v>0</v>
      </c>
      <c r="AQ251" s="48">
        <f t="shared" si="156"/>
        <v>0</v>
      </c>
      <c r="AR251" s="48">
        <f t="shared" si="157"/>
        <v>0</v>
      </c>
      <c r="AS251" s="48">
        <f t="shared" si="158"/>
        <v>0.9</v>
      </c>
      <c r="AT251" s="48">
        <f t="shared" si="159"/>
        <v>0</v>
      </c>
      <c r="AU251" s="48">
        <f t="shared" si="160"/>
        <v>0</v>
      </c>
      <c r="AV251" s="48">
        <f t="shared" si="161"/>
        <v>0</v>
      </c>
      <c r="AW251" s="48">
        <f>IF(N251="ПП",РПП*AB251*(V251/1.5),IF(N251="ВП",ВПр*AB251*(V251/1.5),IF(N251="РПА",РПА*AB251*(V251/1.5),IF(N251="КПА",кпа*AB251*(V251/1.5),0))))</f>
        <v>0</v>
      </c>
      <c r="AX251" s="48">
        <f t="shared" si="162"/>
        <v>0</v>
      </c>
      <c r="AY251" s="48">
        <f t="shared" si="163"/>
        <v>0</v>
      </c>
      <c r="AZ251" s="48">
        <f t="shared" si="164"/>
        <v>0</v>
      </c>
      <c r="BA251" s="48">
        <f t="shared" si="165"/>
        <v>0</v>
      </c>
      <c r="BB251" s="48">
        <f t="shared" si="166"/>
        <v>0</v>
      </c>
      <c r="BC251" s="48">
        <f t="shared" si="167"/>
        <v>0</v>
      </c>
      <c r="BD251" s="48">
        <f t="shared" si="168"/>
        <v>0</v>
      </c>
      <c r="BE251" s="48">
        <f t="shared" si="169"/>
        <v>0</v>
      </c>
      <c r="BF251" s="49">
        <f t="shared" si="170"/>
        <v>18.899999999999999</v>
      </c>
      <c r="BG251" s="50"/>
      <c r="BH251" s="51">
        <f t="shared" si="171"/>
        <v>18</v>
      </c>
      <c r="BI251" s="51">
        <f t="shared" si="172"/>
        <v>0.5</v>
      </c>
      <c r="BJ251" s="51">
        <f t="shared" si="173"/>
        <v>0.9</v>
      </c>
      <c r="BK251" s="52">
        <f t="shared" si="174"/>
        <v>0</v>
      </c>
      <c r="BL251" s="52">
        <f t="shared" si="175"/>
        <v>0</v>
      </c>
      <c r="BM251" s="52">
        <f t="shared" si="176"/>
        <v>0</v>
      </c>
    </row>
    <row r="252" spans="1:65" ht="30" customHeight="1" x14ac:dyDescent="0.25">
      <c r="A252" s="31" t="str">
        <f t="shared" si="142"/>
        <v>Д</v>
      </c>
      <c r="B252" s="31" t="str">
        <f t="shared" si="143"/>
        <v>Б</v>
      </c>
      <c r="C252" s="32" t="s">
        <v>198</v>
      </c>
      <c r="D252" s="33" t="str">
        <f t="shared" si="144"/>
        <v>Факультет физико-математических и естественных наук</v>
      </c>
      <c r="E252" s="34" t="str">
        <f t="shared" si="145"/>
        <v>'02.03.01</v>
      </c>
      <c r="F252" s="35" t="str">
        <f t="shared" si="146"/>
        <v>Математика и компьютерные науки</v>
      </c>
      <c r="G252" s="36" t="s">
        <v>76</v>
      </c>
      <c r="H252" s="36" t="s">
        <v>135</v>
      </c>
      <c r="I252" s="37"/>
      <c r="J252" s="37" t="s">
        <v>154</v>
      </c>
      <c r="K252" s="38" t="s">
        <v>133</v>
      </c>
      <c r="L252" s="39">
        <v>5</v>
      </c>
      <c r="M252" s="39">
        <v>18</v>
      </c>
      <c r="N252" s="40" t="s">
        <v>86</v>
      </c>
      <c r="O252" s="39"/>
      <c r="P252" s="39"/>
      <c r="Q252" s="39">
        <v>1</v>
      </c>
      <c r="R252" s="40" t="s">
        <v>95</v>
      </c>
      <c r="S252" s="41"/>
      <c r="T252" s="41"/>
      <c r="U252" s="41"/>
      <c r="V252" s="41"/>
      <c r="W252" s="41"/>
      <c r="X252" s="42" t="str">
        <f t="shared" si="147"/>
        <v>НКНбд</v>
      </c>
      <c r="Y252" s="43" t="s">
        <v>128</v>
      </c>
      <c r="Z252" s="39">
        <v>2</v>
      </c>
      <c r="AA252" s="39">
        <v>1</v>
      </c>
      <c r="AB252" s="42">
        <f t="shared" si="148"/>
        <v>10</v>
      </c>
      <c r="AC252" s="39">
        <v>5</v>
      </c>
      <c r="AD252" s="39">
        <v>5</v>
      </c>
      <c r="AE252" s="44">
        <f t="shared" si="149"/>
        <v>24</v>
      </c>
      <c r="AF252" s="45">
        <f t="shared" si="150"/>
        <v>0.41666666666666669</v>
      </c>
      <c r="AG252" s="45">
        <f t="shared" si="151"/>
        <v>0.41666666666666669</v>
      </c>
      <c r="AH252" s="46" t="s">
        <v>82</v>
      </c>
      <c r="AI252" s="40" t="s">
        <v>99</v>
      </c>
      <c r="AJ252" s="40" t="s">
        <v>84</v>
      </c>
      <c r="AK252" s="47" t="s">
        <v>134</v>
      </c>
      <c r="AL252" s="40"/>
      <c r="AM252" s="48">
        <f t="shared" si="152"/>
        <v>0</v>
      </c>
      <c r="AN252" s="48">
        <f t="shared" si="153"/>
        <v>7.5</v>
      </c>
      <c r="AO252" s="48">
        <f t="shared" si="154"/>
        <v>0</v>
      </c>
      <c r="AP252" s="48">
        <f t="shared" si="155"/>
        <v>3.3000000000000003</v>
      </c>
      <c r="AQ252" s="48">
        <f t="shared" si="156"/>
        <v>5</v>
      </c>
      <c r="AR252" s="48">
        <f t="shared" si="157"/>
        <v>0.41666666666666669</v>
      </c>
      <c r="AS252" s="48">
        <f t="shared" si="158"/>
        <v>0</v>
      </c>
      <c r="AT252" s="48">
        <f t="shared" si="159"/>
        <v>0</v>
      </c>
      <c r="AU252" s="48">
        <f t="shared" si="160"/>
        <v>0</v>
      </c>
      <c r="AV252" s="48">
        <f t="shared" si="161"/>
        <v>0</v>
      </c>
      <c r="AW252" s="48">
        <f>IF(N252="ПП",РПП*AB252*(V252/1.5),IF(N252="ВП",ВПр*AB252*(V252/1.5),IF(N252="РПА",РПА*AB252*(V252/1.5),IF(N252="КПА",кпа*AB252*(V252/1.5),0))))</f>
        <v>0</v>
      </c>
      <c r="AX252" s="48">
        <f t="shared" si="162"/>
        <v>0</v>
      </c>
      <c r="AY252" s="48">
        <f t="shared" si="163"/>
        <v>0</v>
      </c>
      <c r="AZ252" s="48">
        <f t="shared" si="164"/>
        <v>0</v>
      </c>
      <c r="BA252" s="48">
        <f t="shared" si="165"/>
        <v>0</v>
      </c>
      <c r="BB252" s="48">
        <f t="shared" si="166"/>
        <v>0</v>
      </c>
      <c r="BC252" s="48">
        <f t="shared" si="167"/>
        <v>0</v>
      </c>
      <c r="BD252" s="48">
        <f t="shared" si="168"/>
        <v>0</v>
      </c>
      <c r="BE252" s="48">
        <f t="shared" si="169"/>
        <v>0</v>
      </c>
      <c r="BF252" s="49">
        <f t="shared" si="170"/>
        <v>16.216666666666669</v>
      </c>
      <c r="BG252" s="50"/>
      <c r="BH252" s="51">
        <f t="shared" si="171"/>
        <v>7.5</v>
      </c>
      <c r="BI252" s="51">
        <f t="shared" si="172"/>
        <v>0.5</v>
      </c>
      <c r="BJ252" s="51">
        <f t="shared" si="173"/>
        <v>8.7166666666666668</v>
      </c>
      <c r="BK252" s="52">
        <f t="shared" si="174"/>
        <v>0</v>
      </c>
      <c r="BL252" s="52">
        <f t="shared" si="175"/>
        <v>0</v>
      </c>
      <c r="BM252" s="52">
        <f t="shared" si="176"/>
        <v>0</v>
      </c>
    </row>
    <row r="253" spans="1:65" ht="30" customHeight="1" x14ac:dyDescent="0.25">
      <c r="A253" s="31" t="str">
        <f t="shared" si="142"/>
        <v>Д</v>
      </c>
      <c r="B253" s="31" t="str">
        <f t="shared" si="143"/>
        <v>Б</v>
      </c>
      <c r="C253" s="32" t="s">
        <v>198</v>
      </c>
      <c r="D253" s="33" t="str">
        <f t="shared" si="144"/>
        <v>Факультет физико-математических и естественных наук</v>
      </c>
      <c r="E253" s="34" t="str">
        <f t="shared" si="145"/>
        <v>'02.03.01</v>
      </c>
      <c r="F253" s="35" t="str">
        <f t="shared" si="146"/>
        <v>Математика и компьютерные науки</v>
      </c>
      <c r="G253" s="36" t="s">
        <v>76</v>
      </c>
      <c r="H253" s="36" t="s">
        <v>135</v>
      </c>
      <c r="I253" s="37"/>
      <c r="J253" s="37" t="s">
        <v>201</v>
      </c>
      <c r="K253" s="38" t="s">
        <v>205</v>
      </c>
      <c r="L253" s="39">
        <v>6</v>
      </c>
      <c r="M253" s="39">
        <v>18</v>
      </c>
      <c r="N253" s="40" t="s">
        <v>79</v>
      </c>
      <c r="O253" s="39">
        <v>1</v>
      </c>
      <c r="P253" s="39"/>
      <c r="Q253" s="39"/>
      <c r="R253" s="40"/>
      <c r="S253" s="41"/>
      <c r="T253" s="41"/>
      <c r="U253" s="41"/>
      <c r="V253" s="41"/>
      <c r="W253" s="41"/>
      <c r="X253" s="42" t="str">
        <f t="shared" si="147"/>
        <v>НКНбд</v>
      </c>
      <c r="Y253" s="43" t="s">
        <v>128</v>
      </c>
      <c r="Z253" s="39">
        <v>2</v>
      </c>
      <c r="AA253" s="39">
        <v>1</v>
      </c>
      <c r="AB253" s="42">
        <f t="shared" si="148"/>
        <v>0</v>
      </c>
      <c r="AC253" s="39"/>
      <c r="AD253" s="39"/>
      <c r="AE253" s="44">
        <f t="shared" si="149"/>
        <v>0</v>
      </c>
      <c r="AF253" s="45" t="e">
        <f t="shared" si="150"/>
        <v>#DIV/0!</v>
      </c>
      <c r="AG253" s="45" t="e">
        <f t="shared" si="151"/>
        <v>#DIV/0!</v>
      </c>
      <c r="AH253" s="46" t="s">
        <v>82</v>
      </c>
      <c r="AI253" s="40" t="s">
        <v>83</v>
      </c>
      <c r="AJ253" s="40" t="s">
        <v>84</v>
      </c>
      <c r="AK253" s="47" t="s">
        <v>97</v>
      </c>
      <c r="AL253" s="40"/>
      <c r="AM253" s="48">
        <f t="shared" si="152"/>
        <v>0</v>
      </c>
      <c r="AN253" s="48">
        <f t="shared" si="153"/>
        <v>0</v>
      </c>
      <c r="AO253" s="48">
        <f t="shared" si="154"/>
        <v>0</v>
      </c>
      <c r="AP253" s="48">
        <f t="shared" si="155"/>
        <v>0</v>
      </c>
      <c r="AQ253" s="48">
        <f t="shared" si="156"/>
        <v>0</v>
      </c>
      <c r="AR253" s="48">
        <f t="shared" si="157"/>
        <v>0</v>
      </c>
      <c r="AS253" s="48">
        <f t="shared" si="158"/>
        <v>0</v>
      </c>
      <c r="AT253" s="48">
        <f t="shared" si="159"/>
        <v>0</v>
      </c>
      <c r="AU253" s="48">
        <f t="shared" si="160"/>
        <v>0</v>
      </c>
      <c r="AV253" s="48">
        <f t="shared" si="161"/>
        <v>0</v>
      </c>
      <c r="AW253" s="48">
        <f>IF(N253="ПП",РПП*AB253*(V253/1.5),IF(N253="ВП",ВПр*AB253*(V253/1.5),IF(N253="РПА",РПА*AB253*(V253/1.5),IF(N253="КПА",кпа*AB253*(V253/1.5),0))))</f>
        <v>0</v>
      </c>
      <c r="AX253" s="48">
        <f t="shared" si="162"/>
        <v>0</v>
      </c>
      <c r="AY253" s="48">
        <f t="shared" si="163"/>
        <v>0</v>
      </c>
      <c r="AZ253" s="48">
        <f t="shared" si="164"/>
        <v>0</v>
      </c>
      <c r="BA253" s="48">
        <f t="shared" si="165"/>
        <v>0</v>
      </c>
      <c r="BB253" s="48">
        <f t="shared" si="166"/>
        <v>0</v>
      </c>
      <c r="BC253" s="48">
        <f t="shared" si="167"/>
        <v>0</v>
      </c>
      <c r="BD253" s="48">
        <f t="shared" si="168"/>
        <v>0</v>
      </c>
      <c r="BE253" s="48">
        <f t="shared" si="169"/>
        <v>0</v>
      </c>
      <c r="BF253" s="49">
        <f t="shared" si="170"/>
        <v>0</v>
      </c>
      <c r="BG253" s="50"/>
      <c r="BH253" s="51">
        <f t="shared" si="171"/>
        <v>0</v>
      </c>
      <c r="BI253" s="51">
        <f t="shared" si="172"/>
        <v>0</v>
      </c>
      <c r="BJ253" s="51">
        <f t="shared" si="173"/>
        <v>0</v>
      </c>
      <c r="BK253" s="52">
        <f t="shared" si="174"/>
        <v>0</v>
      </c>
      <c r="BL253" s="52">
        <f t="shared" si="175"/>
        <v>0</v>
      </c>
      <c r="BM253" s="52">
        <f t="shared" si="176"/>
        <v>0</v>
      </c>
    </row>
    <row r="254" spans="1:65" ht="30" customHeight="1" x14ac:dyDescent="0.25">
      <c r="A254" s="31" t="str">
        <f t="shared" si="142"/>
        <v>Д</v>
      </c>
      <c r="B254" s="31" t="str">
        <f t="shared" si="143"/>
        <v>Б</v>
      </c>
      <c r="C254" s="32" t="s">
        <v>198</v>
      </c>
      <c r="D254" s="33" t="str">
        <f t="shared" si="144"/>
        <v>Факультет физико-математических и естественных наук</v>
      </c>
      <c r="E254" s="34" t="str">
        <f t="shared" si="145"/>
        <v>'02.03.01</v>
      </c>
      <c r="F254" s="35" t="str">
        <f t="shared" si="146"/>
        <v>Математика и компьютерные науки</v>
      </c>
      <c r="G254" s="36" t="s">
        <v>76</v>
      </c>
      <c r="H254" s="36" t="s">
        <v>135</v>
      </c>
      <c r="I254" s="37"/>
      <c r="J254" s="37" t="s">
        <v>201</v>
      </c>
      <c r="K254" s="38" t="s">
        <v>205</v>
      </c>
      <c r="L254" s="39">
        <v>6</v>
      </c>
      <c r="M254" s="39">
        <v>18</v>
      </c>
      <c r="N254" s="40" t="s">
        <v>86</v>
      </c>
      <c r="O254" s="39"/>
      <c r="P254" s="39"/>
      <c r="Q254" s="39">
        <v>2</v>
      </c>
      <c r="R254" s="40" t="s">
        <v>95</v>
      </c>
      <c r="S254" s="41"/>
      <c r="T254" s="41"/>
      <c r="U254" s="41"/>
      <c r="V254" s="41"/>
      <c r="W254" s="41"/>
      <c r="X254" s="42" t="str">
        <f t="shared" si="147"/>
        <v>НКНбд</v>
      </c>
      <c r="Y254" s="43" t="s">
        <v>128</v>
      </c>
      <c r="Z254" s="39">
        <v>2</v>
      </c>
      <c r="AA254" s="39">
        <v>1</v>
      </c>
      <c r="AB254" s="42">
        <f t="shared" si="148"/>
        <v>0</v>
      </c>
      <c r="AC254" s="39"/>
      <c r="AD254" s="39"/>
      <c r="AE254" s="44">
        <f t="shared" si="149"/>
        <v>24</v>
      </c>
      <c r="AF254" s="45">
        <f t="shared" si="150"/>
        <v>0</v>
      </c>
      <c r="AG254" s="45">
        <f t="shared" si="151"/>
        <v>0</v>
      </c>
      <c r="AH254" s="46" t="s">
        <v>82</v>
      </c>
      <c r="AI254" s="40" t="s">
        <v>83</v>
      </c>
      <c r="AJ254" s="40" t="s">
        <v>84</v>
      </c>
      <c r="AK254" s="47" t="s">
        <v>97</v>
      </c>
      <c r="AL254" s="40"/>
      <c r="AM254" s="48">
        <f t="shared" si="152"/>
        <v>0</v>
      </c>
      <c r="AN254" s="48">
        <f t="shared" si="153"/>
        <v>0</v>
      </c>
      <c r="AO254" s="48">
        <f t="shared" si="154"/>
        <v>0</v>
      </c>
      <c r="AP254" s="48">
        <f t="shared" si="155"/>
        <v>0</v>
      </c>
      <c r="AQ254" s="48">
        <f t="shared" si="156"/>
        <v>0</v>
      </c>
      <c r="AR254" s="48">
        <f t="shared" si="157"/>
        <v>0</v>
      </c>
      <c r="AS254" s="48">
        <f t="shared" si="158"/>
        <v>0</v>
      </c>
      <c r="AT254" s="48">
        <f t="shared" si="159"/>
        <v>0</v>
      </c>
      <c r="AU254" s="48">
        <f t="shared" si="160"/>
        <v>0</v>
      </c>
      <c r="AV254" s="48">
        <f t="shared" si="161"/>
        <v>0</v>
      </c>
      <c r="AW254" s="48">
        <f>IF(N254="ПП",РПП*AB254*(V254/1.5),IF(N254="ВП",ВПр*AB254*(V254/1.5),IF(N254="РПА",РПА*AB254*(V254/1.5),IF(N254="КПА",кпа*AB254*(V254/1.5),0))))</f>
        <v>0</v>
      </c>
      <c r="AX254" s="48">
        <f t="shared" si="162"/>
        <v>0</v>
      </c>
      <c r="AY254" s="48">
        <f t="shared" si="163"/>
        <v>0</v>
      </c>
      <c r="AZ254" s="48">
        <f t="shared" si="164"/>
        <v>0</v>
      </c>
      <c r="BA254" s="48">
        <f t="shared" si="165"/>
        <v>0</v>
      </c>
      <c r="BB254" s="48">
        <f t="shared" si="166"/>
        <v>0</v>
      </c>
      <c r="BC254" s="48">
        <f t="shared" si="167"/>
        <v>0</v>
      </c>
      <c r="BD254" s="48">
        <f t="shared" si="168"/>
        <v>0</v>
      </c>
      <c r="BE254" s="48">
        <f t="shared" si="169"/>
        <v>0</v>
      </c>
      <c r="BF254" s="49">
        <f t="shared" si="170"/>
        <v>0</v>
      </c>
      <c r="BG254" s="50"/>
      <c r="BH254" s="51">
        <f t="shared" si="171"/>
        <v>0</v>
      </c>
      <c r="BI254" s="51">
        <f t="shared" si="172"/>
        <v>0</v>
      </c>
      <c r="BJ254" s="51">
        <f t="shared" si="173"/>
        <v>0</v>
      </c>
      <c r="BK254" s="52">
        <f t="shared" si="174"/>
        <v>0</v>
      </c>
      <c r="BL254" s="52">
        <f t="shared" si="175"/>
        <v>0</v>
      </c>
      <c r="BM254" s="52">
        <f t="shared" si="176"/>
        <v>0</v>
      </c>
    </row>
    <row r="255" spans="1:65" ht="30" customHeight="1" x14ac:dyDescent="0.25">
      <c r="A255" s="31" t="str">
        <f t="shared" si="142"/>
        <v>Д</v>
      </c>
      <c r="B255" s="31" t="str">
        <f t="shared" si="143"/>
        <v>Б</v>
      </c>
      <c r="C255" s="32" t="s">
        <v>198</v>
      </c>
      <c r="D255" s="33" t="str">
        <f t="shared" si="144"/>
        <v>Факультет физико-математических и естественных наук</v>
      </c>
      <c r="E255" s="34" t="str">
        <f t="shared" si="145"/>
        <v>'02.03.01</v>
      </c>
      <c r="F255" s="35" t="str">
        <f t="shared" si="146"/>
        <v>Математика и компьютерные науки</v>
      </c>
      <c r="G255" s="36" t="s">
        <v>76</v>
      </c>
      <c r="H255" s="36" t="s">
        <v>135</v>
      </c>
      <c r="I255" s="37"/>
      <c r="J255" s="37" t="s">
        <v>201</v>
      </c>
      <c r="K255" s="38" t="s">
        <v>151</v>
      </c>
      <c r="L255" s="39">
        <v>6</v>
      </c>
      <c r="M255" s="39">
        <v>18</v>
      </c>
      <c r="N255" s="40" t="s">
        <v>79</v>
      </c>
      <c r="O255" s="39">
        <v>1</v>
      </c>
      <c r="P255" s="39"/>
      <c r="Q255" s="39"/>
      <c r="R255" s="40"/>
      <c r="S255" s="41"/>
      <c r="T255" s="41"/>
      <c r="U255" s="41"/>
      <c r="V255" s="41"/>
      <c r="W255" s="41"/>
      <c r="X255" s="42" t="str">
        <f t="shared" si="147"/>
        <v>НКНбд</v>
      </c>
      <c r="Y255" s="43" t="s">
        <v>128</v>
      </c>
      <c r="Z255" s="39">
        <v>2</v>
      </c>
      <c r="AA255" s="39">
        <v>1</v>
      </c>
      <c r="AB255" s="42">
        <f t="shared" si="148"/>
        <v>16</v>
      </c>
      <c r="AC255" s="39">
        <v>10</v>
      </c>
      <c r="AD255" s="39">
        <v>6</v>
      </c>
      <c r="AE255" s="44">
        <f t="shared" si="149"/>
        <v>16</v>
      </c>
      <c r="AF255" s="45">
        <f t="shared" si="150"/>
        <v>1</v>
      </c>
      <c r="AG255" s="45">
        <f t="shared" si="151"/>
        <v>1</v>
      </c>
      <c r="AH255" s="46" t="s">
        <v>82</v>
      </c>
      <c r="AI255" s="40" t="s">
        <v>83</v>
      </c>
      <c r="AJ255" s="40" t="s">
        <v>84</v>
      </c>
      <c r="AK255" s="47" t="s">
        <v>144</v>
      </c>
      <c r="AL255" s="40"/>
      <c r="AM255" s="48">
        <f t="shared" si="152"/>
        <v>18</v>
      </c>
      <c r="AN255" s="48">
        <f t="shared" si="153"/>
        <v>0</v>
      </c>
      <c r="AO255" s="48">
        <f t="shared" si="154"/>
        <v>0</v>
      </c>
      <c r="AP255" s="48">
        <f t="shared" si="155"/>
        <v>0</v>
      </c>
      <c r="AQ255" s="48">
        <f t="shared" si="156"/>
        <v>0</v>
      </c>
      <c r="AR255" s="48">
        <f t="shared" si="157"/>
        <v>0</v>
      </c>
      <c r="AS255" s="48">
        <f t="shared" si="158"/>
        <v>0.9</v>
      </c>
      <c r="AT255" s="48">
        <f t="shared" si="159"/>
        <v>0</v>
      </c>
      <c r="AU255" s="48">
        <f t="shared" si="160"/>
        <v>0</v>
      </c>
      <c r="AV255" s="48">
        <f t="shared" si="161"/>
        <v>0</v>
      </c>
      <c r="AW255" s="48">
        <f>IF(N255="ПП",РПП*AB255*(V255/1.5),IF(N255="ВП",ВПр*AB255*(V255/1.5),IF(N255="РПА",РПА*AB255*(V255/1.5),IF(N255="КПА",кпа*AB255*(V255/1.5),0))))</f>
        <v>0</v>
      </c>
      <c r="AX255" s="48">
        <f t="shared" si="162"/>
        <v>0</v>
      </c>
      <c r="AY255" s="48">
        <f t="shared" si="163"/>
        <v>0</v>
      </c>
      <c r="AZ255" s="48">
        <f t="shared" si="164"/>
        <v>0</v>
      </c>
      <c r="BA255" s="48">
        <f t="shared" si="165"/>
        <v>0</v>
      </c>
      <c r="BB255" s="48">
        <f t="shared" si="166"/>
        <v>0</v>
      </c>
      <c r="BC255" s="48">
        <f t="shared" si="167"/>
        <v>0</v>
      </c>
      <c r="BD255" s="48">
        <f t="shared" si="168"/>
        <v>0</v>
      </c>
      <c r="BE255" s="48">
        <f t="shared" si="169"/>
        <v>0</v>
      </c>
      <c r="BF255" s="49">
        <f t="shared" si="170"/>
        <v>18.899999999999999</v>
      </c>
      <c r="BG255" s="50"/>
      <c r="BH255" s="51">
        <f t="shared" si="171"/>
        <v>0</v>
      </c>
      <c r="BI255" s="51">
        <f t="shared" si="172"/>
        <v>0</v>
      </c>
      <c r="BJ255" s="51">
        <f t="shared" si="173"/>
        <v>0</v>
      </c>
      <c r="BK255" s="52">
        <f t="shared" si="174"/>
        <v>18</v>
      </c>
      <c r="BL255" s="52">
        <f t="shared" si="175"/>
        <v>0.5</v>
      </c>
      <c r="BM255" s="52">
        <f t="shared" si="176"/>
        <v>0.9</v>
      </c>
    </row>
    <row r="256" spans="1:65" ht="30" customHeight="1" x14ac:dyDescent="0.25">
      <c r="A256" s="31" t="str">
        <f t="shared" si="142"/>
        <v>Д</v>
      </c>
      <c r="B256" s="31" t="str">
        <f t="shared" si="143"/>
        <v>Б</v>
      </c>
      <c r="C256" s="32" t="s">
        <v>198</v>
      </c>
      <c r="D256" s="33" t="str">
        <f t="shared" si="144"/>
        <v>Факультет физико-математических и естественных наук</v>
      </c>
      <c r="E256" s="34" t="str">
        <f t="shared" si="145"/>
        <v>'02.03.01</v>
      </c>
      <c r="F256" s="35" t="str">
        <f t="shared" si="146"/>
        <v>Математика и компьютерные науки</v>
      </c>
      <c r="G256" s="36" t="s">
        <v>76</v>
      </c>
      <c r="H256" s="36" t="s">
        <v>135</v>
      </c>
      <c r="I256" s="37"/>
      <c r="J256" s="37" t="s">
        <v>201</v>
      </c>
      <c r="K256" s="38" t="s">
        <v>151</v>
      </c>
      <c r="L256" s="39">
        <v>6</v>
      </c>
      <c r="M256" s="39">
        <v>18</v>
      </c>
      <c r="N256" s="40" t="s">
        <v>86</v>
      </c>
      <c r="O256" s="39"/>
      <c r="P256" s="39"/>
      <c r="Q256" s="39">
        <v>2</v>
      </c>
      <c r="R256" s="40" t="s">
        <v>95</v>
      </c>
      <c r="S256" s="41"/>
      <c r="T256" s="41"/>
      <c r="U256" s="41"/>
      <c r="V256" s="41"/>
      <c r="W256" s="41"/>
      <c r="X256" s="42" t="str">
        <f t="shared" si="147"/>
        <v>НКНбд</v>
      </c>
      <c r="Y256" s="43" t="s">
        <v>128</v>
      </c>
      <c r="Z256" s="39">
        <v>2</v>
      </c>
      <c r="AA256" s="39">
        <v>1</v>
      </c>
      <c r="AB256" s="42">
        <f t="shared" si="148"/>
        <v>16</v>
      </c>
      <c r="AC256" s="39">
        <v>10</v>
      </c>
      <c r="AD256" s="39">
        <v>6</v>
      </c>
      <c r="AE256" s="44">
        <f t="shared" si="149"/>
        <v>24</v>
      </c>
      <c r="AF256" s="45">
        <f t="shared" si="150"/>
        <v>0.66666666666666663</v>
      </c>
      <c r="AG256" s="45">
        <f t="shared" si="151"/>
        <v>0.66666666666666663</v>
      </c>
      <c r="AH256" s="46" t="s">
        <v>82</v>
      </c>
      <c r="AI256" s="40" t="s">
        <v>83</v>
      </c>
      <c r="AJ256" s="40" t="s">
        <v>84</v>
      </c>
      <c r="AK256" s="47" t="s">
        <v>144</v>
      </c>
      <c r="AL256" s="40"/>
      <c r="AM256" s="48">
        <f t="shared" si="152"/>
        <v>0</v>
      </c>
      <c r="AN256" s="48">
        <f t="shared" si="153"/>
        <v>24</v>
      </c>
      <c r="AO256" s="48">
        <f t="shared" si="154"/>
        <v>0</v>
      </c>
      <c r="AP256" s="48">
        <f t="shared" si="155"/>
        <v>5.28</v>
      </c>
      <c r="AQ256" s="48">
        <f t="shared" si="156"/>
        <v>8</v>
      </c>
      <c r="AR256" s="48">
        <f t="shared" si="157"/>
        <v>0.66666666666666663</v>
      </c>
      <c r="AS256" s="48">
        <f t="shared" si="158"/>
        <v>0</v>
      </c>
      <c r="AT256" s="48">
        <f t="shared" si="159"/>
        <v>0</v>
      </c>
      <c r="AU256" s="48">
        <f t="shared" si="160"/>
        <v>0</v>
      </c>
      <c r="AV256" s="48">
        <f t="shared" si="161"/>
        <v>0</v>
      </c>
      <c r="AW256" s="48">
        <f>IF(N256="ПП",РПП*AB256*(V256/1.5),IF(N256="ВП",ВПр*AB256*(V256/1.5),IF(N256="РПА",РПА*AB256*(V256/1.5),IF(N256="КПА",кпа*AB256*(V256/1.5),0))))</f>
        <v>0</v>
      </c>
      <c r="AX256" s="48">
        <f t="shared" si="162"/>
        <v>0</v>
      </c>
      <c r="AY256" s="48">
        <f t="shared" si="163"/>
        <v>0</v>
      </c>
      <c r="AZ256" s="48">
        <f t="shared" si="164"/>
        <v>0</v>
      </c>
      <c r="BA256" s="48">
        <f t="shared" si="165"/>
        <v>0</v>
      </c>
      <c r="BB256" s="48">
        <f t="shared" si="166"/>
        <v>0</v>
      </c>
      <c r="BC256" s="48">
        <f t="shared" si="167"/>
        <v>0</v>
      </c>
      <c r="BD256" s="48">
        <f t="shared" si="168"/>
        <v>0</v>
      </c>
      <c r="BE256" s="48">
        <f t="shared" si="169"/>
        <v>0</v>
      </c>
      <c r="BF256" s="49">
        <f t="shared" si="170"/>
        <v>37.946666666666665</v>
      </c>
      <c r="BG256" s="50"/>
      <c r="BH256" s="51">
        <f t="shared" si="171"/>
        <v>0</v>
      </c>
      <c r="BI256" s="51">
        <f t="shared" si="172"/>
        <v>0</v>
      </c>
      <c r="BJ256" s="51">
        <f t="shared" si="173"/>
        <v>0</v>
      </c>
      <c r="BK256" s="52">
        <f t="shared" si="174"/>
        <v>24</v>
      </c>
      <c r="BL256" s="52">
        <f t="shared" si="175"/>
        <v>1</v>
      </c>
      <c r="BM256" s="52">
        <f t="shared" si="176"/>
        <v>13.946666666666667</v>
      </c>
    </row>
    <row r="257" spans="1:65" ht="30" customHeight="1" x14ac:dyDescent="0.25">
      <c r="A257" s="31" t="str">
        <f t="shared" si="142"/>
        <v>Д</v>
      </c>
      <c r="B257" s="31" t="str">
        <f t="shared" si="143"/>
        <v>Б</v>
      </c>
      <c r="C257" s="32" t="s">
        <v>198</v>
      </c>
      <c r="D257" s="33" t="str">
        <f t="shared" si="144"/>
        <v>Факультет физико-математических и естественных наук</v>
      </c>
      <c r="E257" s="34" t="str">
        <f t="shared" si="145"/>
        <v>'02.03.01</v>
      </c>
      <c r="F257" s="35" t="str">
        <f t="shared" si="146"/>
        <v>Математика и компьютерные науки</v>
      </c>
      <c r="G257" s="36" t="s">
        <v>76</v>
      </c>
      <c r="H257" s="36" t="s">
        <v>135</v>
      </c>
      <c r="I257" s="37"/>
      <c r="J257" s="37" t="s">
        <v>154</v>
      </c>
      <c r="K257" s="38" t="s">
        <v>150</v>
      </c>
      <c r="L257" s="39">
        <v>6</v>
      </c>
      <c r="M257" s="39">
        <v>18</v>
      </c>
      <c r="N257" s="40" t="s">
        <v>79</v>
      </c>
      <c r="O257" s="39">
        <v>1</v>
      </c>
      <c r="P257" s="39"/>
      <c r="Q257" s="39"/>
      <c r="R257" s="40"/>
      <c r="S257" s="41"/>
      <c r="T257" s="41"/>
      <c r="U257" s="41"/>
      <c r="V257" s="41"/>
      <c r="W257" s="41"/>
      <c r="X257" s="42" t="str">
        <f t="shared" si="147"/>
        <v>НКНбд</v>
      </c>
      <c r="Y257" s="43" t="s">
        <v>128</v>
      </c>
      <c r="Z257" s="39">
        <v>2</v>
      </c>
      <c r="AA257" s="39">
        <v>1</v>
      </c>
      <c r="AB257" s="42">
        <f t="shared" si="148"/>
        <v>10</v>
      </c>
      <c r="AC257" s="39">
        <v>5</v>
      </c>
      <c r="AD257" s="39">
        <v>5</v>
      </c>
      <c r="AE257" s="44">
        <f t="shared" si="149"/>
        <v>10</v>
      </c>
      <c r="AF257" s="45">
        <f t="shared" si="150"/>
        <v>1</v>
      </c>
      <c r="AG257" s="45">
        <f t="shared" si="151"/>
        <v>1</v>
      </c>
      <c r="AH257" s="46" t="s">
        <v>82</v>
      </c>
      <c r="AI257" s="40" t="s">
        <v>99</v>
      </c>
      <c r="AJ257" s="40" t="s">
        <v>116</v>
      </c>
      <c r="AK257" s="47" t="s">
        <v>141</v>
      </c>
      <c r="AL257" s="40"/>
      <c r="AM257" s="48">
        <f t="shared" si="152"/>
        <v>18</v>
      </c>
      <c r="AN257" s="48">
        <f t="shared" si="153"/>
        <v>0</v>
      </c>
      <c r="AO257" s="48">
        <f t="shared" si="154"/>
        <v>0</v>
      </c>
      <c r="AP257" s="48">
        <f t="shared" si="155"/>
        <v>0</v>
      </c>
      <c r="AQ257" s="48">
        <f t="shared" si="156"/>
        <v>0</v>
      </c>
      <c r="AR257" s="48">
        <f t="shared" si="157"/>
        <v>0</v>
      </c>
      <c r="AS257" s="48">
        <f t="shared" si="158"/>
        <v>0.9</v>
      </c>
      <c r="AT257" s="48">
        <f t="shared" si="159"/>
        <v>0</v>
      </c>
      <c r="AU257" s="48">
        <f t="shared" si="160"/>
        <v>0</v>
      </c>
      <c r="AV257" s="48">
        <f t="shared" si="161"/>
        <v>0</v>
      </c>
      <c r="AW257" s="48">
        <f>IF(N257="ПП",РПП*AB257*(V257/1.5),IF(N257="ВП",ВПр*AB257*(V257/1.5),IF(N257="РПА",РПА*AB257*(V257/1.5),IF(N257="КПА",кпа*AB257*(V257/1.5),0))))</f>
        <v>0</v>
      </c>
      <c r="AX257" s="48">
        <f t="shared" si="162"/>
        <v>0</v>
      </c>
      <c r="AY257" s="48">
        <f t="shared" si="163"/>
        <v>0</v>
      </c>
      <c r="AZ257" s="48">
        <f t="shared" si="164"/>
        <v>0</v>
      </c>
      <c r="BA257" s="48">
        <f t="shared" si="165"/>
        <v>0</v>
      </c>
      <c r="BB257" s="48">
        <f t="shared" si="166"/>
        <v>0</v>
      </c>
      <c r="BC257" s="48">
        <f t="shared" si="167"/>
        <v>0</v>
      </c>
      <c r="BD257" s="48">
        <f t="shared" si="168"/>
        <v>0</v>
      </c>
      <c r="BE257" s="48">
        <f t="shared" si="169"/>
        <v>0</v>
      </c>
      <c r="BF257" s="49">
        <f t="shared" si="170"/>
        <v>18.899999999999999</v>
      </c>
      <c r="BG257" s="50"/>
      <c r="BH257" s="51">
        <f t="shared" si="171"/>
        <v>0</v>
      </c>
      <c r="BI257" s="51">
        <f t="shared" si="172"/>
        <v>0</v>
      </c>
      <c r="BJ257" s="51">
        <f t="shared" si="173"/>
        <v>0</v>
      </c>
      <c r="BK257" s="52">
        <f t="shared" si="174"/>
        <v>18</v>
      </c>
      <c r="BL257" s="52">
        <f t="shared" si="175"/>
        <v>0.5</v>
      </c>
      <c r="BM257" s="52">
        <f t="shared" si="176"/>
        <v>0.9</v>
      </c>
    </row>
    <row r="258" spans="1:65" ht="30" customHeight="1" x14ac:dyDescent="0.25">
      <c r="A258" s="31" t="str">
        <f t="shared" si="142"/>
        <v>Д</v>
      </c>
      <c r="B258" s="31" t="str">
        <f t="shared" si="143"/>
        <v>Б</v>
      </c>
      <c r="C258" s="32" t="s">
        <v>198</v>
      </c>
      <c r="D258" s="33" t="str">
        <f t="shared" si="144"/>
        <v>Факультет физико-математических и естественных наук</v>
      </c>
      <c r="E258" s="34" t="str">
        <f t="shared" si="145"/>
        <v>'02.03.01</v>
      </c>
      <c r="F258" s="35" t="str">
        <f t="shared" si="146"/>
        <v>Математика и компьютерные науки</v>
      </c>
      <c r="G258" s="36" t="s">
        <v>76</v>
      </c>
      <c r="H258" s="36" t="s">
        <v>135</v>
      </c>
      <c r="I258" s="37"/>
      <c r="J258" s="37" t="s">
        <v>154</v>
      </c>
      <c r="K258" s="38" t="s">
        <v>150</v>
      </c>
      <c r="L258" s="39">
        <v>6</v>
      </c>
      <c r="M258" s="39">
        <v>18</v>
      </c>
      <c r="N258" s="40" t="s">
        <v>86</v>
      </c>
      <c r="O258" s="39"/>
      <c r="P258" s="39"/>
      <c r="Q258" s="39">
        <v>2</v>
      </c>
      <c r="R258" s="40" t="s">
        <v>95</v>
      </c>
      <c r="S258" s="41"/>
      <c r="T258" s="41"/>
      <c r="U258" s="41"/>
      <c r="V258" s="41"/>
      <c r="W258" s="41"/>
      <c r="X258" s="42" t="str">
        <f t="shared" si="147"/>
        <v>НКНбд</v>
      </c>
      <c r="Y258" s="43" t="s">
        <v>128</v>
      </c>
      <c r="Z258" s="39">
        <v>2</v>
      </c>
      <c r="AA258" s="39">
        <v>1</v>
      </c>
      <c r="AB258" s="42">
        <f t="shared" si="148"/>
        <v>10</v>
      </c>
      <c r="AC258" s="39">
        <v>5</v>
      </c>
      <c r="AD258" s="39">
        <v>5</v>
      </c>
      <c r="AE258" s="44">
        <f t="shared" si="149"/>
        <v>24</v>
      </c>
      <c r="AF258" s="45">
        <f t="shared" si="150"/>
        <v>0.41666666666666669</v>
      </c>
      <c r="AG258" s="45">
        <f t="shared" si="151"/>
        <v>0.41666666666666669</v>
      </c>
      <c r="AH258" s="46" t="s">
        <v>82</v>
      </c>
      <c r="AI258" s="40" t="s">
        <v>99</v>
      </c>
      <c r="AJ258" s="40" t="s">
        <v>116</v>
      </c>
      <c r="AK258" s="47" t="s">
        <v>141</v>
      </c>
      <c r="AL258" s="40"/>
      <c r="AM258" s="48">
        <f t="shared" si="152"/>
        <v>0</v>
      </c>
      <c r="AN258" s="48">
        <f t="shared" si="153"/>
        <v>15</v>
      </c>
      <c r="AO258" s="48">
        <f t="shared" si="154"/>
        <v>0</v>
      </c>
      <c r="AP258" s="48">
        <f t="shared" si="155"/>
        <v>3.3000000000000003</v>
      </c>
      <c r="AQ258" s="48">
        <f t="shared" si="156"/>
        <v>5</v>
      </c>
      <c r="AR258" s="48">
        <f t="shared" si="157"/>
        <v>0.41666666666666669</v>
      </c>
      <c r="AS258" s="48">
        <f t="shared" si="158"/>
        <v>0</v>
      </c>
      <c r="AT258" s="48">
        <f t="shared" si="159"/>
        <v>0</v>
      </c>
      <c r="AU258" s="48">
        <f t="shared" si="160"/>
        <v>0</v>
      </c>
      <c r="AV258" s="48">
        <f t="shared" si="161"/>
        <v>0</v>
      </c>
      <c r="AW258" s="48">
        <f>IF(N258="ПП",РПП*AB258*(V258/1.5),IF(N258="ВП",ВПр*AB258*(V258/1.5),IF(N258="РПА",РПА*AB258*(V258/1.5),IF(N258="КПА",кпа*AB258*(V258/1.5),0))))</f>
        <v>0</v>
      </c>
      <c r="AX258" s="48">
        <f t="shared" si="162"/>
        <v>0</v>
      </c>
      <c r="AY258" s="48">
        <f t="shared" si="163"/>
        <v>0</v>
      </c>
      <c r="AZ258" s="48">
        <f t="shared" si="164"/>
        <v>0</v>
      </c>
      <c r="BA258" s="48">
        <f t="shared" si="165"/>
        <v>0</v>
      </c>
      <c r="BB258" s="48">
        <f t="shared" si="166"/>
        <v>0</v>
      </c>
      <c r="BC258" s="48">
        <f t="shared" si="167"/>
        <v>0</v>
      </c>
      <c r="BD258" s="48">
        <f t="shared" si="168"/>
        <v>0</v>
      </c>
      <c r="BE258" s="48">
        <f t="shared" si="169"/>
        <v>0</v>
      </c>
      <c r="BF258" s="49">
        <f t="shared" si="170"/>
        <v>23.716666666666669</v>
      </c>
      <c r="BG258" s="50"/>
      <c r="BH258" s="51">
        <f t="shared" si="171"/>
        <v>0</v>
      </c>
      <c r="BI258" s="51">
        <f t="shared" si="172"/>
        <v>0</v>
      </c>
      <c r="BJ258" s="51">
        <f t="shared" si="173"/>
        <v>0</v>
      </c>
      <c r="BK258" s="52">
        <f t="shared" si="174"/>
        <v>15</v>
      </c>
      <c r="BL258" s="52">
        <f t="shared" si="175"/>
        <v>1</v>
      </c>
      <c r="BM258" s="52">
        <f t="shared" si="176"/>
        <v>8.7166666666666668</v>
      </c>
    </row>
    <row r="259" spans="1:65" ht="30" customHeight="1" x14ac:dyDescent="0.25">
      <c r="A259" s="31" t="str">
        <f t="shared" si="142"/>
        <v>Д</v>
      </c>
      <c r="B259" s="31" t="str">
        <f t="shared" si="143"/>
        <v>Б</v>
      </c>
      <c r="C259" s="32" t="s">
        <v>198</v>
      </c>
      <c r="D259" s="33" t="str">
        <f t="shared" si="144"/>
        <v>Факультет физико-математических и естественных наук</v>
      </c>
      <c r="E259" s="34" t="str">
        <f t="shared" si="145"/>
        <v>'02.03.01</v>
      </c>
      <c r="F259" s="35" t="str">
        <f t="shared" si="146"/>
        <v>Математика и компьютерные науки</v>
      </c>
      <c r="G259" s="36" t="s">
        <v>76</v>
      </c>
      <c r="H259" s="36" t="s">
        <v>135</v>
      </c>
      <c r="I259" s="37"/>
      <c r="J259" s="37" t="s">
        <v>154</v>
      </c>
      <c r="K259" s="38" t="s">
        <v>206</v>
      </c>
      <c r="L259" s="39">
        <v>6</v>
      </c>
      <c r="M259" s="39">
        <v>18</v>
      </c>
      <c r="N259" s="40" t="s">
        <v>94</v>
      </c>
      <c r="O259" s="39"/>
      <c r="P259" s="39">
        <v>2</v>
      </c>
      <c r="Q259" s="39"/>
      <c r="R259" s="40" t="s">
        <v>95</v>
      </c>
      <c r="S259" s="41"/>
      <c r="T259" s="41"/>
      <c r="U259" s="41"/>
      <c r="V259" s="41"/>
      <c r="W259" s="41"/>
      <c r="X259" s="42" t="str">
        <f t="shared" si="147"/>
        <v>НКНбд</v>
      </c>
      <c r="Y259" s="43" t="s">
        <v>128</v>
      </c>
      <c r="Z259" s="39">
        <v>2</v>
      </c>
      <c r="AA259" s="39">
        <v>1</v>
      </c>
      <c r="AB259" s="42">
        <f t="shared" si="148"/>
        <v>15</v>
      </c>
      <c r="AC259" s="39">
        <v>10</v>
      </c>
      <c r="AD259" s="39">
        <v>5</v>
      </c>
      <c r="AE259" s="44">
        <f t="shared" si="149"/>
        <v>12</v>
      </c>
      <c r="AF259" s="45">
        <f t="shared" si="150"/>
        <v>1</v>
      </c>
      <c r="AG259" s="45">
        <f t="shared" si="151"/>
        <v>1.25</v>
      </c>
      <c r="AH259" s="46" t="s">
        <v>82</v>
      </c>
      <c r="AI259" s="40" t="s">
        <v>83</v>
      </c>
      <c r="AJ259" s="40" t="s">
        <v>116</v>
      </c>
      <c r="AK259" s="47" t="s">
        <v>119</v>
      </c>
      <c r="AL259" s="40"/>
      <c r="AM259" s="48">
        <f t="shared" si="152"/>
        <v>0</v>
      </c>
      <c r="AN259" s="48">
        <f t="shared" si="153"/>
        <v>0</v>
      </c>
      <c r="AO259" s="48">
        <f t="shared" si="154"/>
        <v>36</v>
      </c>
      <c r="AP259" s="48">
        <f t="shared" si="155"/>
        <v>4.95</v>
      </c>
      <c r="AQ259" s="48">
        <f t="shared" si="156"/>
        <v>7.5</v>
      </c>
      <c r="AR259" s="48">
        <f t="shared" si="157"/>
        <v>1</v>
      </c>
      <c r="AS259" s="48">
        <f t="shared" si="158"/>
        <v>0</v>
      </c>
      <c r="AT259" s="48">
        <f t="shared" si="159"/>
        <v>0</v>
      </c>
      <c r="AU259" s="48">
        <f t="shared" si="160"/>
        <v>0</v>
      </c>
      <c r="AV259" s="48">
        <f t="shared" si="161"/>
        <v>0</v>
      </c>
      <c r="AW259" s="48">
        <f>IF(N259="ПП",РПП*AB259*(V259/1.5),IF(N259="ВП",ВПр*AB259*(V259/1.5),IF(N259="РПА",РПА*AB259*(V259/1.5),IF(N259="КПА",кпа*AB259*(V259/1.5),0))))</f>
        <v>0</v>
      </c>
      <c r="AX259" s="48">
        <f t="shared" si="162"/>
        <v>0</v>
      </c>
      <c r="AY259" s="48">
        <f t="shared" si="163"/>
        <v>0</v>
      </c>
      <c r="AZ259" s="48">
        <f t="shared" si="164"/>
        <v>0</v>
      </c>
      <c r="BA259" s="48">
        <f t="shared" si="165"/>
        <v>0</v>
      </c>
      <c r="BB259" s="48">
        <f t="shared" si="166"/>
        <v>0</v>
      </c>
      <c r="BC259" s="48">
        <f t="shared" si="167"/>
        <v>0</v>
      </c>
      <c r="BD259" s="48">
        <f t="shared" si="168"/>
        <v>0</v>
      </c>
      <c r="BE259" s="48">
        <f t="shared" si="169"/>
        <v>0</v>
      </c>
      <c r="BF259" s="49">
        <f t="shared" si="170"/>
        <v>49.45</v>
      </c>
      <c r="BG259" s="50"/>
      <c r="BH259" s="51">
        <f t="shared" si="171"/>
        <v>0</v>
      </c>
      <c r="BI259" s="51">
        <f t="shared" si="172"/>
        <v>0</v>
      </c>
      <c r="BJ259" s="51">
        <f t="shared" si="173"/>
        <v>0</v>
      </c>
      <c r="BK259" s="52">
        <f t="shared" si="174"/>
        <v>36</v>
      </c>
      <c r="BL259" s="52">
        <f t="shared" si="175"/>
        <v>1</v>
      </c>
      <c r="BM259" s="52">
        <f t="shared" si="176"/>
        <v>13.45</v>
      </c>
    </row>
    <row r="260" spans="1:65" ht="30" customHeight="1" x14ac:dyDescent="0.25">
      <c r="A260" s="31" t="str">
        <f t="shared" si="142"/>
        <v>Д</v>
      </c>
      <c r="B260" s="31" t="str">
        <f t="shared" si="143"/>
        <v>Б</v>
      </c>
      <c r="C260" s="32" t="s">
        <v>198</v>
      </c>
      <c r="D260" s="33" t="str">
        <f t="shared" si="144"/>
        <v>Факультет физико-математических и естественных наук</v>
      </c>
      <c r="E260" s="34" t="str">
        <f t="shared" si="145"/>
        <v>'02.03.01</v>
      </c>
      <c r="F260" s="35" t="str">
        <f t="shared" si="146"/>
        <v>Математика и компьютерные науки</v>
      </c>
      <c r="G260" s="36" t="s">
        <v>153</v>
      </c>
      <c r="H260" s="36" t="s">
        <v>77</v>
      </c>
      <c r="I260" s="37"/>
      <c r="J260" s="37"/>
      <c r="K260" s="38" t="s">
        <v>155</v>
      </c>
      <c r="L260" s="39">
        <v>6</v>
      </c>
      <c r="M260" s="39">
        <v>18</v>
      </c>
      <c r="N260" s="40" t="s">
        <v>156</v>
      </c>
      <c r="O260" s="39"/>
      <c r="P260" s="39"/>
      <c r="Q260" s="39"/>
      <c r="R260" s="40"/>
      <c r="S260" s="41"/>
      <c r="T260" s="41"/>
      <c r="U260" s="41">
        <v>3</v>
      </c>
      <c r="V260" s="41"/>
      <c r="W260" s="41"/>
      <c r="X260" s="42" t="str">
        <f t="shared" si="147"/>
        <v>НКНбд</v>
      </c>
      <c r="Y260" s="43" t="s">
        <v>128</v>
      </c>
      <c r="Z260" s="39">
        <v>2</v>
      </c>
      <c r="AA260" s="39">
        <v>1</v>
      </c>
      <c r="AB260" s="42">
        <f t="shared" si="148"/>
        <v>15</v>
      </c>
      <c r="AC260" s="39">
        <v>10</v>
      </c>
      <c r="AD260" s="39">
        <v>5</v>
      </c>
      <c r="AE260" s="44">
        <f t="shared" si="149"/>
        <v>1</v>
      </c>
      <c r="AF260" s="45">
        <f t="shared" si="150"/>
        <v>1</v>
      </c>
      <c r="AG260" s="45">
        <f t="shared" si="151"/>
        <v>15</v>
      </c>
      <c r="AH260" s="46" t="s">
        <v>82</v>
      </c>
      <c r="AI260" s="40" t="s">
        <v>99</v>
      </c>
      <c r="AJ260" s="40" t="s">
        <v>116</v>
      </c>
      <c r="AK260" s="47" t="s">
        <v>101</v>
      </c>
      <c r="AL260" s="40"/>
      <c r="AM260" s="48">
        <f t="shared" si="152"/>
        <v>0</v>
      </c>
      <c r="AN260" s="48">
        <f t="shared" si="153"/>
        <v>0</v>
      </c>
      <c r="AO260" s="48">
        <f t="shared" si="154"/>
        <v>0</v>
      </c>
      <c r="AP260" s="48">
        <f t="shared" si="155"/>
        <v>0</v>
      </c>
      <c r="AQ260" s="48">
        <f t="shared" si="156"/>
        <v>0</v>
      </c>
      <c r="AR260" s="48">
        <f t="shared" si="157"/>
        <v>0</v>
      </c>
      <c r="AS260" s="48">
        <f t="shared" si="158"/>
        <v>0</v>
      </c>
      <c r="AT260" s="48">
        <f t="shared" si="159"/>
        <v>0</v>
      </c>
      <c r="AU260" s="48">
        <f t="shared" si="160"/>
        <v>0</v>
      </c>
      <c r="AV260" s="48">
        <f t="shared" si="161"/>
        <v>45</v>
      </c>
      <c r="AW260" s="48">
        <f>IF(N260="ПП",РПП*AB260*(V260/1.5),IF(N260="ВП",ВПр*AB260*(V260/1.5),IF(N260="РПА",РПА*AB260*(V260/1.5),IF(N260="КПА",кпа*AB260*(V260/1.5),0))))</f>
        <v>0</v>
      </c>
      <c r="AX260" s="48">
        <f t="shared" si="162"/>
        <v>0</v>
      </c>
      <c r="AY260" s="48">
        <f t="shared" si="163"/>
        <v>0</v>
      </c>
      <c r="AZ260" s="48">
        <f t="shared" si="164"/>
        <v>0</v>
      </c>
      <c r="BA260" s="48">
        <f t="shared" si="165"/>
        <v>0</v>
      </c>
      <c r="BB260" s="48">
        <f t="shared" si="166"/>
        <v>0</v>
      </c>
      <c r="BC260" s="48">
        <f t="shared" si="167"/>
        <v>0</v>
      </c>
      <c r="BD260" s="48">
        <f t="shared" si="168"/>
        <v>0</v>
      </c>
      <c r="BE260" s="48">
        <f t="shared" si="169"/>
        <v>0</v>
      </c>
      <c r="BF260" s="49">
        <f t="shared" si="170"/>
        <v>45</v>
      </c>
      <c r="BG260" s="50"/>
      <c r="BH260" s="51">
        <f t="shared" si="171"/>
        <v>0</v>
      </c>
      <c r="BI260" s="51">
        <f t="shared" si="172"/>
        <v>0</v>
      </c>
      <c r="BJ260" s="51">
        <f t="shared" si="173"/>
        <v>0</v>
      </c>
      <c r="BK260" s="52">
        <f t="shared" si="174"/>
        <v>0</v>
      </c>
      <c r="BL260" s="52">
        <f t="shared" si="175"/>
        <v>0</v>
      </c>
      <c r="BM260" s="52">
        <f t="shared" si="176"/>
        <v>45</v>
      </c>
    </row>
    <row r="261" spans="1:65" ht="30" customHeight="1" x14ac:dyDescent="0.25">
      <c r="A261" s="31" t="str">
        <f t="shared" si="142"/>
        <v>Д</v>
      </c>
      <c r="B261" s="31" t="str">
        <f t="shared" si="143"/>
        <v>Б</v>
      </c>
      <c r="C261" s="32" t="s">
        <v>198</v>
      </c>
      <c r="D261" s="33" t="str">
        <f t="shared" si="144"/>
        <v>Факультет физико-математических и естественных наук</v>
      </c>
      <c r="E261" s="34" t="str">
        <f t="shared" si="145"/>
        <v>'02.03.01</v>
      </c>
      <c r="F261" s="35" t="str">
        <f t="shared" si="146"/>
        <v>Математика и компьютерные науки</v>
      </c>
      <c r="G261" s="36" t="s">
        <v>76</v>
      </c>
      <c r="H261" s="36" t="s">
        <v>135</v>
      </c>
      <c r="I261" s="37"/>
      <c r="J261" s="37" t="s">
        <v>201</v>
      </c>
      <c r="K261" s="38" t="s">
        <v>207</v>
      </c>
      <c r="L261" s="39">
        <v>7</v>
      </c>
      <c r="M261" s="39">
        <v>18</v>
      </c>
      <c r="N261" s="40" t="s">
        <v>79</v>
      </c>
      <c r="O261" s="39">
        <v>1</v>
      </c>
      <c r="P261" s="39"/>
      <c r="Q261" s="39"/>
      <c r="R261" s="40" t="s">
        <v>80</v>
      </c>
      <c r="S261" s="41"/>
      <c r="T261" s="41"/>
      <c r="U261" s="41"/>
      <c r="V261" s="41"/>
      <c r="W261" s="41"/>
      <c r="X261" s="42" t="str">
        <f t="shared" si="147"/>
        <v>НКНбд</v>
      </c>
      <c r="Y261" s="43" t="s">
        <v>161</v>
      </c>
      <c r="Z261" s="39">
        <v>1</v>
      </c>
      <c r="AA261" s="39">
        <v>1</v>
      </c>
      <c r="AB261" s="42">
        <f t="shared" si="148"/>
        <v>0</v>
      </c>
      <c r="AC261" s="39"/>
      <c r="AD261" s="39"/>
      <c r="AE261" s="44">
        <f t="shared" si="149"/>
        <v>0</v>
      </c>
      <c r="AF261" s="45" t="e">
        <f t="shared" si="150"/>
        <v>#DIV/0!</v>
      </c>
      <c r="AG261" s="45" t="e">
        <f t="shared" si="151"/>
        <v>#DIV/0!</v>
      </c>
      <c r="AH261" s="46" t="s">
        <v>82</v>
      </c>
      <c r="AI261" s="40" t="s">
        <v>115</v>
      </c>
      <c r="AJ261" s="40" t="s">
        <v>84</v>
      </c>
      <c r="AK261" s="47" t="s">
        <v>147</v>
      </c>
      <c r="AL261" s="40"/>
      <c r="AM261" s="48">
        <f t="shared" si="152"/>
        <v>0</v>
      </c>
      <c r="AN261" s="48">
        <f t="shared" si="153"/>
        <v>0</v>
      </c>
      <c r="AO261" s="48">
        <f t="shared" si="154"/>
        <v>0</v>
      </c>
      <c r="AP261" s="48">
        <f t="shared" si="155"/>
        <v>0</v>
      </c>
      <c r="AQ261" s="48">
        <f t="shared" si="156"/>
        <v>0</v>
      </c>
      <c r="AR261" s="48">
        <f t="shared" si="157"/>
        <v>0</v>
      </c>
      <c r="AS261" s="48">
        <f t="shared" si="158"/>
        <v>0</v>
      </c>
      <c r="AT261" s="48">
        <f t="shared" si="159"/>
        <v>0</v>
      </c>
      <c r="AU261" s="48">
        <f t="shared" si="160"/>
        <v>0</v>
      </c>
      <c r="AV261" s="48">
        <f t="shared" si="161"/>
        <v>0</v>
      </c>
      <c r="AW261" s="48">
        <f>IF(N261="ПП",РПП*AB261*(V261/1.5),IF(N261="ВП",ВПр*AB261*(V261/1.5),IF(N261="РПА",РПА*AB261*(V261/1.5),IF(N261="КПА",кпа*AB261*(V261/1.5),0))))</f>
        <v>0</v>
      </c>
      <c r="AX261" s="48">
        <f t="shared" si="162"/>
        <v>0</v>
      </c>
      <c r="AY261" s="48">
        <f t="shared" si="163"/>
        <v>0</v>
      </c>
      <c r="AZ261" s="48">
        <f t="shared" si="164"/>
        <v>0</v>
      </c>
      <c r="BA261" s="48">
        <f t="shared" si="165"/>
        <v>0</v>
      </c>
      <c r="BB261" s="48">
        <f t="shared" si="166"/>
        <v>0</v>
      </c>
      <c r="BC261" s="48">
        <f t="shared" si="167"/>
        <v>0</v>
      </c>
      <c r="BD261" s="48">
        <f t="shared" si="168"/>
        <v>0</v>
      </c>
      <c r="BE261" s="48">
        <f t="shared" si="169"/>
        <v>0</v>
      </c>
      <c r="BF261" s="49">
        <f t="shared" si="170"/>
        <v>0</v>
      </c>
      <c r="BG261" s="50"/>
      <c r="BH261" s="51">
        <f t="shared" si="171"/>
        <v>0</v>
      </c>
      <c r="BI261" s="51">
        <f t="shared" si="172"/>
        <v>0</v>
      </c>
      <c r="BJ261" s="51">
        <f t="shared" si="173"/>
        <v>0</v>
      </c>
      <c r="BK261" s="52">
        <f t="shared" si="174"/>
        <v>0</v>
      </c>
      <c r="BL261" s="52">
        <f t="shared" si="175"/>
        <v>0</v>
      </c>
      <c r="BM261" s="52">
        <f t="shared" si="176"/>
        <v>0</v>
      </c>
    </row>
    <row r="262" spans="1:65" ht="30" customHeight="1" x14ac:dyDescent="0.25">
      <c r="A262" s="31" t="str">
        <f t="shared" si="142"/>
        <v>Д</v>
      </c>
      <c r="B262" s="31" t="str">
        <f t="shared" si="143"/>
        <v>Б</v>
      </c>
      <c r="C262" s="32" t="s">
        <v>198</v>
      </c>
      <c r="D262" s="33" t="str">
        <f t="shared" si="144"/>
        <v>Факультет физико-математических и естественных наук</v>
      </c>
      <c r="E262" s="34" t="str">
        <f t="shared" si="145"/>
        <v>'02.03.01</v>
      </c>
      <c r="F262" s="35" t="str">
        <f t="shared" si="146"/>
        <v>Математика и компьютерные науки</v>
      </c>
      <c r="G262" s="36" t="s">
        <v>76</v>
      </c>
      <c r="H262" s="36" t="s">
        <v>135</v>
      </c>
      <c r="I262" s="37"/>
      <c r="J262" s="37" t="s">
        <v>201</v>
      </c>
      <c r="K262" s="38" t="s">
        <v>207</v>
      </c>
      <c r="L262" s="39">
        <v>7</v>
      </c>
      <c r="M262" s="39">
        <v>18</v>
      </c>
      <c r="N262" s="40" t="s">
        <v>86</v>
      </c>
      <c r="O262" s="39"/>
      <c r="P262" s="39"/>
      <c r="Q262" s="39">
        <v>2</v>
      </c>
      <c r="R262" s="40"/>
      <c r="S262" s="41"/>
      <c r="T262" s="41"/>
      <c r="U262" s="41"/>
      <c r="V262" s="41"/>
      <c r="W262" s="41"/>
      <c r="X262" s="42" t="str">
        <f t="shared" si="147"/>
        <v>НКНбд</v>
      </c>
      <c r="Y262" s="43" t="s">
        <v>161</v>
      </c>
      <c r="Z262" s="39">
        <v>1</v>
      </c>
      <c r="AA262" s="39">
        <v>1</v>
      </c>
      <c r="AB262" s="42">
        <f t="shared" si="148"/>
        <v>0</v>
      </c>
      <c r="AC262" s="39"/>
      <c r="AD262" s="39"/>
      <c r="AE262" s="44">
        <f t="shared" si="149"/>
        <v>24</v>
      </c>
      <c r="AF262" s="45">
        <f t="shared" si="150"/>
        <v>0</v>
      </c>
      <c r="AG262" s="45">
        <f t="shared" si="151"/>
        <v>0</v>
      </c>
      <c r="AH262" s="46" t="s">
        <v>82</v>
      </c>
      <c r="AI262" s="40" t="s">
        <v>83</v>
      </c>
      <c r="AJ262" s="40" t="s">
        <v>84</v>
      </c>
      <c r="AK262" s="47" t="s">
        <v>200</v>
      </c>
      <c r="AL262" s="40"/>
      <c r="AM262" s="48">
        <f t="shared" si="152"/>
        <v>0</v>
      </c>
      <c r="AN262" s="48">
        <f t="shared" si="153"/>
        <v>0</v>
      </c>
      <c r="AO262" s="48">
        <f t="shared" si="154"/>
        <v>0</v>
      </c>
      <c r="AP262" s="48">
        <f t="shared" si="155"/>
        <v>0</v>
      </c>
      <c r="AQ262" s="48">
        <f t="shared" si="156"/>
        <v>0</v>
      </c>
      <c r="AR262" s="48">
        <f t="shared" si="157"/>
        <v>0</v>
      </c>
      <c r="AS262" s="48">
        <f t="shared" si="158"/>
        <v>0</v>
      </c>
      <c r="AT262" s="48">
        <f t="shared" si="159"/>
        <v>0</v>
      </c>
      <c r="AU262" s="48">
        <f t="shared" si="160"/>
        <v>0</v>
      </c>
      <c r="AV262" s="48">
        <f t="shared" si="161"/>
        <v>0</v>
      </c>
      <c r="AW262" s="48">
        <f>IF(N262="ПП",РПП*AB262*(V262/1.5),IF(N262="ВП",ВПр*AB262*(V262/1.5),IF(N262="РПА",РПА*AB262*(V262/1.5),IF(N262="КПА",кпа*AB262*(V262/1.5),0))))</f>
        <v>0</v>
      </c>
      <c r="AX262" s="48">
        <f t="shared" si="162"/>
        <v>0</v>
      </c>
      <c r="AY262" s="48">
        <f t="shared" si="163"/>
        <v>0</v>
      </c>
      <c r="AZ262" s="48">
        <f t="shared" si="164"/>
        <v>0</v>
      </c>
      <c r="BA262" s="48">
        <f t="shared" si="165"/>
        <v>0</v>
      </c>
      <c r="BB262" s="48">
        <f t="shared" si="166"/>
        <v>0</v>
      </c>
      <c r="BC262" s="48">
        <f t="shared" si="167"/>
        <v>0</v>
      </c>
      <c r="BD262" s="48">
        <f t="shared" si="168"/>
        <v>0</v>
      </c>
      <c r="BE262" s="48">
        <f t="shared" si="169"/>
        <v>0</v>
      </c>
      <c r="BF262" s="49">
        <f t="shared" si="170"/>
        <v>0</v>
      </c>
      <c r="BG262" s="50"/>
      <c r="BH262" s="51">
        <f t="shared" si="171"/>
        <v>0</v>
      </c>
      <c r="BI262" s="51">
        <f t="shared" si="172"/>
        <v>0</v>
      </c>
      <c r="BJ262" s="51">
        <f t="shared" si="173"/>
        <v>0</v>
      </c>
      <c r="BK262" s="52">
        <f t="shared" si="174"/>
        <v>0</v>
      </c>
      <c r="BL262" s="52">
        <f t="shared" si="175"/>
        <v>0</v>
      </c>
      <c r="BM262" s="52">
        <f t="shared" si="176"/>
        <v>0</v>
      </c>
    </row>
    <row r="263" spans="1:65" ht="30" customHeight="1" x14ac:dyDescent="0.25">
      <c r="A263" s="31" t="str">
        <f t="shared" si="142"/>
        <v>Д</v>
      </c>
      <c r="B263" s="31" t="str">
        <f t="shared" si="143"/>
        <v>Б</v>
      </c>
      <c r="C263" s="32" t="s">
        <v>198</v>
      </c>
      <c r="D263" s="33" t="str">
        <f t="shared" si="144"/>
        <v>Факультет физико-математических и естественных наук</v>
      </c>
      <c r="E263" s="34" t="str">
        <f t="shared" si="145"/>
        <v>'02.03.01</v>
      </c>
      <c r="F263" s="35" t="str">
        <f t="shared" si="146"/>
        <v>Математика и компьютерные науки</v>
      </c>
      <c r="G263" s="36" t="s">
        <v>76</v>
      </c>
      <c r="H263" s="36" t="s">
        <v>183</v>
      </c>
      <c r="I263" s="37"/>
      <c r="J263" s="37"/>
      <c r="K263" s="38" t="s">
        <v>157</v>
      </c>
      <c r="L263" s="39">
        <v>7</v>
      </c>
      <c r="M263" s="39">
        <v>18</v>
      </c>
      <c r="N263" s="40" t="s">
        <v>79</v>
      </c>
      <c r="O263" s="39">
        <v>1</v>
      </c>
      <c r="P263" s="39"/>
      <c r="Q263" s="39"/>
      <c r="R263" s="40"/>
      <c r="S263" s="41"/>
      <c r="T263" s="41"/>
      <c r="U263" s="41"/>
      <c r="V263" s="41"/>
      <c r="W263" s="41"/>
      <c r="X263" s="42" t="str">
        <f t="shared" si="147"/>
        <v>НКНбд</v>
      </c>
      <c r="Y263" s="43" t="s">
        <v>161</v>
      </c>
      <c r="Z263" s="39">
        <v>1</v>
      </c>
      <c r="AA263" s="39">
        <v>1</v>
      </c>
      <c r="AB263" s="42">
        <f t="shared" si="148"/>
        <v>17</v>
      </c>
      <c r="AC263" s="39">
        <v>11</v>
      </c>
      <c r="AD263" s="39">
        <v>6</v>
      </c>
      <c r="AE263" s="44">
        <f t="shared" si="149"/>
        <v>17</v>
      </c>
      <c r="AF263" s="45">
        <f t="shared" si="150"/>
        <v>1</v>
      </c>
      <c r="AG263" s="45">
        <f t="shared" si="151"/>
        <v>1</v>
      </c>
      <c r="AH263" s="46" t="s">
        <v>82</v>
      </c>
      <c r="AI263" s="40" t="s">
        <v>83</v>
      </c>
      <c r="AJ263" s="40" t="s">
        <v>84</v>
      </c>
      <c r="AK263" s="47" t="s">
        <v>127</v>
      </c>
      <c r="AL263" s="40"/>
      <c r="AM263" s="48">
        <f t="shared" si="152"/>
        <v>18</v>
      </c>
      <c r="AN263" s="48">
        <f t="shared" si="153"/>
        <v>0</v>
      </c>
      <c r="AO263" s="48">
        <f t="shared" si="154"/>
        <v>0</v>
      </c>
      <c r="AP263" s="48">
        <f t="shared" si="155"/>
        <v>0</v>
      </c>
      <c r="AQ263" s="48">
        <f t="shared" si="156"/>
        <v>0</v>
      </c>
      <c r="AR263" s="48">
        <f t="shared" si="157"/>
        <v>0</v>
      </c>
      <c r="AS263" s="48">
        <f t="shared" si="158"/>
        <v>0.9</v>
      </c>
      <c r="AT263" s="48">
        <f t="shared" si="159"/>
        <v>0</v>
      </c>
      <c r="AU263" s="48">
        <f t="shared" si="160"/>
        <v>0</v>
      </c>
      <c r="AV263" s="48">
        <f t="shared" si="161"/>
        <v>0</v>
      </c>
      <c r="AW263" s="48">
        <f>IF(N263="ПП",РПП*AB263*(V263/1.5),IF(N263="ВП",ВПр*AB263*(V263/1.5),IF(N263="РПА",РПА*AB263*(V263/1.5),IF(N263="КПА",кпа*AB263*(V263/1.5),0))))</f>
        <v>0</v>
      </c>
      <c r="AX263" s="48">
        <f t="shared" si="162"/>
        <v>0</v>
      </c>
      <c r="AY263" s="48">
        <f t="shared" si="163"/>
        <v>0</v>
      </c>
      <c r="AZ263" s="48">
        <f t="shared" si="164"/>
        <v>0</v>
      </c>
      <c r="BA263" s="48">
        <f t="shared" si="165"/>
        <v>0</v>
      </c>
      <c r="BB263" s="48">
        <f t="shared" si="166"/>
        <v>0</v>
      </c>
      <c r="BC263" s="48">
        <f t="shared" si="167"/>
        <v>0</v>
      </c>
      <c r="BD263" s="48">
        <f t="shared" si="168"/>
        <v>0</v>
      </c>
      <c r="BE263" s="48">
        <f t="shared" si="169"/>
        <v>0</v>
      </c>
      <c r="BF263" s="49">
        <f t="shared" si="170"/>
        <v>18.899999999999999</v>
      </c>
      <c r="BG263" s="50"/>
      <c r="BH263" s="51">
        <f t="shared" si="171"/>
        <v>18</v>
      </c>
      <c r="BI263" s="51">
        <f t="shared" si="172"/>
        <v>0.5</v>
      </c>
      <c r="BJ263" s="51">
        <f t="shared" si="173"/>
        <v>0.9</v>
      </c>
      <c r="BK263" s="52">
        <f t="shared" si="174"/>
        <v>0</v>
      </c>
      <c r="BL263" s="52">
        <f t="shared" si="175"/>
        <v>0</v>
      </c>
      <c r="BM263" s="52">
        <f t="shared" si="176"/>
        <v>0</v>
      </c>
    </row>
    <row r="264" spans="1:65" ht="30" customHeight="1" x14ac:dyDescent="0.25">
      <c r="A264" s="31" t="str">
        <f t="shared" si="142"/>
        <v>Д</v>
      </c>
      <c r="B264" s="31" t="str">
        <f t="shared" si="143"/>
        <v>Б</v>
      </c>
      <c r="C264" s="32" t="s">
        <v>198</v>
      </c>
      <c r="D264" s="33" t="str">
        <f t="shared" si="144"/>
        <v>Факультет физико-математических и естественных наук</v>
      </c>
      <c r="E264" s="34" t="str">
        <f t="shared" si="145"/>
        <v>'02.03.01</v>
      </c>
      <c r="F264" s="35" t="str">
        <f t="shared" si="146"/>
        <v>Математика и компьютерные науки</v>
      </c>
      <c r="G264" s="36" t="s">
        <v>76</v>
      </c>
      <c r="H264" s="36" t="s">
        <v>183</v>
      </c>
      <c r="I264" s="37"/>
      <c r="J264" s="37"/>
      <c r="K264" s="38" t="s">
        <v>157</v>
      </c>
      <c r="L264" s="39">
        <v>7</v>
      </c>
      <c r="M264" s="39">
        <v>18</v>
      </c>
      <c r="N264" s="40" t="s">
        <v>94</v>
      </c>
      <c r="O264" s="39"/>
      <c r="P264" s="39">
        <v>2</v>
      </c>
      <c r="Q264" s="39"/>
      <c r="R264" s="40" t="s">
        <v>95</v>
      </c>
      <c r="S264" s="41"/>
      <c r="T264" s="41"/>
      <c r="U264" s="41"/>
      <c r="V264" s="41"/>
      <c r="W264" s="41"/>
      <c r="X264" s="42" t="str">
        <f t="shared" si="147"/>
        <v>НКНбд</v>
      </c>
      <c r="Y264" s="43" t="s">
        <v>161</v>
      </c>
      <c r="Z264" s="39">
        <v>1</v>
      </c>
      <c r="AA264" s="39">
        <v>1</v>
      </c>
      <c r="AB264" s="42">
        <f t="shared" si="148"/>
        <v>17</v>
      </c>
      <c r="AC264" s="39">
        <v>11</v>
      </c>
      <c r="AD264" s="39">
        <v>6</v>
      </c>
      <c r="AE264" s="44">
        <f t="shared" si="149"/>
        <v>12</v>
      </c>
      <c r="AF264" s="45">
        <f t="shared" si="150"/>
        <v>1</v>
      </c>
      <c r="AG264" s="45">
        <f t="shared" si="151"/>
        <v>1.4166666666666667</v>
      </c>
      <c r="AH264" s="46" t="s">
        <v>82</v>
      </c>
      <c r="AI264" s="40" t="s">
        <v>83</v>
      </c>
      <c r="AJ264" s="40" t="s">
        <v>84</v>
      </c>
      <c r="AK264" s="47" t="s">
        <v>127</v>
      </c>
      <c r="AL264" s="40"/>
      <c r="AM264" s="48">
        <f t="shared" si="152"/>
        <v>0</v>
      </c>
      <c r="AN264" s="48">
        <f t="shared" si="153"/>
        <v>0</v>
      </c>
      <c r="AO264" s="48">
        <f t="shared" si="154"/>
        <v>36</v>
      </c>
      <c r="AP264" s="48">
        <f t="shared" si="155"/>
        <v>5.61</v>
      </c>
      <c r="AQ264" s="48">
        <f t="shared" si="156"/>
        <v>8.5</v>
      </c>
      <c r="AR264" s="48">
        <f t="shared" si="157"/>
        <v>1</v>
      </c>
      <c r="AS264" s="48">
        <f t="shared" si="158"/>
        <v>0</v>
      </c>
      <c r="AT264" s="48">
        <f t="shared" si="159"/>
        <v>0</v>
      </c>
      <c r="AU264" s="48">
        <f t="shared" si="160"/>
        <v>0</v>
      </c>
      <c r="AV264" s="48">
        <f t="shared" si="161"/>
        <v>0</v>
      </c>
      <c r="AW264" s="48">
        <f>IF(N264="ПП",РПП*AB264*(V264/1.5),IF(N264="ВП",ВПр*AB264*(V264/1.5),IF(N264="РПА",РПА*AB264*(V264/1.5),IF(N264="КПА",кпа*AB264*(V264/1.5),0))))</f>
        <v>0</v>
      </c>
      <c r="AX264" s="48">
        <f t="shared" si="162"/>
        <v>0</v>
      </c>
      <c r="AY264" s="48">
        <f t="shared" si="163"/>
        <v>0</v>
      </c>
      <c r="AZ264" s="48">
        <f t="shared" si="164"/>
        <v>0</v>
      </c>
      <c r="BA264" s="48">
        <f t="shared" si="165"/>
        <v>0</v>
      </c>
      <c r="BB264" s="48">
        <f t="shared" si="166"/>
        <v>0</v>
      </c>
      <c r="BC264" s="48">
        <f t="shared" si="167"/>
        <v>0</v>
      </c>
      <c r="BD264" s="48">
        <f t="shared" si="168"/>
        <v>0</v>
      </c>
      <c r="BE264" s="48">
        <f t="shared" si="169"/>
        <v>0</v>
      </c>
      <c r="BF264" s="49">
        <f t="shared" si="170"/>
        <v>51.11</v>
      </c>
      <c r="BG264" s="50"/>
      <c r="BH264" s="51">
        <f t="shared" si="171"/>
        <v>36</v>
      </c>
      <c r="BI264" s="51">
        <f t="shared" si="172"/>
        <v>1</v>
      </c>
      <c r="BJ264" s="51">
        <f t="shared" si="173"/>
        <v>15.11</v>
      </c>
      <c r="BK264" s="52">
        <f t="shared" si="174"/>
        <v>0</v>
      </c>
      <c r="BL264" s="52">
        <f t="shared" si="175"/>
        <v>0</v>
      </c>
      <c r="BM264" s="52">
        <f t="shared" si="176"/>
        <v>0</v>
      </c>
    </row>
    <row r="265" spans="1:65" ht="30" customHeight="1" x14ac:dyDescent="0.25">
      <c r="A265" s="31" t="str">
        <f t="shared" si="142"/>
        <v>Д</v>
      </c>
      <c r="B265" s="31" t="str">
        <f t="shared" si="143"/>
        <v>Б</v>
      </c>
      <c r="C265" s="32" t="s">
        <v>198</v>
      </c>
      <c r="D265" s="33" t="str">
        <f t="shared" si="144"/>
        <v>Факультет физико-математических и естественных наук</v>
      </c>
      <c r="E265" s="34" t="str">
        <f t="shared" si="145"/>
        <v>'02.03.01</v>
      </c>
      <c r="F265" s="35" t="str">
        <f t="shared" si="146"/>
        <v>Математика и компьютерные науки</v>
      </c>
      <c r="G265" s="36" t="s">
        <v>76</v>
      </c>
      <c r="H265" s="36" t="s">
        <v>135</v>
      </c>
      <c r="I265" s="37"/>
      <c r="J265" s="37" t="s">
        <v>201</v>
      </c>
      <c r="K265" s="38" t="s">
        <v>208</v>
      </c>
      <c r="L265" s="39">
        <v>7</v>
      </c>
      <c r="M265" s="39">
        <v>18</v>
      </c>
      <c r="N265" s="40" t="s">
        <v>79</v>
      </c>
      <c r="O265" s="39">
        <v>1</v>
      </c>
      <c r="P265" s="39"/>
      <c r="Q265" s="39"/>
      <c r="R265" s="40"/>
      <c r="S265" s="41"/>
      <c r="T265" s="41"/>
      <c r="U265" s="41"/>
      <c r="V265" s="41"/>
      <c r="W265" s="41"/>
      <c r="X265" s="42" t="str">
        <f t="shared" si="147"/>
        <v>НКНбд</v>
      </c>
      <c r="Y265" s="43" t="s">
        <v>161</v>
      </c>
      <c r="Z265" s="39">
        <v>1</v>
      </c>
      <c r="AA265" s="39">
        <v>1</v>
      </c>
      <c r="AB265" s="42">
        <f t="shared" si="148"/>
        <v>12</v>
      </c>
      <c r="AC265" s="39">
        <v>9</v>
      </c>
      <c r="AD265" s="39">
        <v>3</v>
      </c>
      <c r="AE265" s="44">
        <f t="shared" si="149"/>
        <v>12</v>
      </c>
      <c r="AF265" s="45">
        <f t="shared" si="150"/>
        <v>1</v>
      </c>
      <c r="AG265" s="45">
        <f t="shared" si="151"/>
        <v>1</v>
      </c>
      <c r="AH265" s="46" t="s">
        <v>82</v>
      </c>
      <c r="AI265" s="40" t="s">
        <v>115</v>
      </c>
      <c r="AJ265" s="40" t="s">
        <v>116</v>
      </c>
      <c r="AK265" s="47" t="s">
        <v>209</v>
      </c>
      <c r="AL265" s="40"/>
      <c r="AM265" s="48">
        <f t="shared" si="152"/>
        <v>18</v>
      </c>
      <c r="AN265" s="48">
        <f t="shared" si="153"/>
        <v>0</v>
      </c>
      <c r="AO265" s="48">
        <f t="shared" si="154"/>
        <v>0</v>
      </c>
      <c r="AP265" s="48">
        <f t="shared" si="155"/>
        <v>0</v>
      </c>
      <c r="AQ265" s="48">
        <f t="shared" si="156"/>
        <v>0</v>
      </c>
      <c r="AR265" s="48">
        <f t="shared" si="157"/>
        <v>0</v>
      </c>
      <c r="AS265" s="48">
        <f t="shared" si="158"/>
        <v>0.9</v>
      </c>
      <c r="AT265" s="48">
        <f t="shared" si="159"/>
        <v>0</v>
      </c>
      <c r="AU265" s="48">
        <f t="shared" si="160"/>
        <v>0</v>
      </c>
      <c r="AV265" s="48">
        <f t="shared" si="161"/>
        <v>0</v>
      </c>
      <c r="AW265" s="48">
        <f>IF(N265="ПП",РПП*AB265*(V265/1.5),IF(N265="ВП",ВПр*AB265*(V265/1.5),IF(N265="РПА",РПА*AB265*(V265/1.5),IF(N265="КПА",кпа*AB265*(V265/1.5),0))))</f>
        <v>0</v>
      </c>
      <c r="AX265" s="48">
        <f t="shared" si="162"/>
        <v>0</v>
      </c>
      <c r="AY265" s="48">
        <f t="shared" si="163"/>
        <v>0</v>
      </c>
      <c r="AZ265" s="48">
        <f t="shared" si="164"/>
        <v>0</v>
      </c>
      <c r="BA265" s="48">
        <f t="shared" si="165"/>
        <v>0</v>
      </c>
      <c r="BB265" s="48">
        <f t="shared" si="166"/>
        <v>0</v>
      </c>
      <c r="BC265" s="48">
        <f t="shared" si="167"/>
        <v>0</v>
      </c>
      <c r="BD265" s="48">
        <f t="shared" si="168"/>
        <v>0</v>
      </c>
      <c r="BE265" s="48">
        <f t="shared" si="169"/>
        <v>0</v>
      </c>
      <c r="BF265" s="49">
        <f t="shared" si="170"/>
        <v>18.899999999999999</v>
      </c>
      <c r="BG265" s="50"/>
      <c r="BH265" s="51">
        <f t="shared" si="171"/>
        <v>18</v>
      </c>
      <c r="BI265" s="51">
        <f t="shared" si="172"/>
        <v>0.5</v>
      </c>
      <c r="BJ265" s="51">
        <f t="shared" si="173"/>
        <v>0.9</v>
      </c>
      <c r="BK265" s="52">
        <f t="shared" si="174"/>
        <v>0</v>
      </c>
      <c r="BL265" s="52">
        <f t="shared" si="175"/>
        <v>0</v>
      </c>
      <c r="BM265" s="52">
        <f t="shared" si="176"/>
        <v>0</v>
      </c>
    </row>
    <row r="266" spans="1:65" ht="30" customHeight="1" x14ac:dyDescent="0.25">
      <c r="A266" s="31" t="str">
        <f t="shared" si="142"/>
        <v>Д</v>
      </c>
      <c r="B266" s="31" t="str">
        <f t="shared" si="143"/>
        <v>Б</v>
      </c>
      <c r="C266" s="32" t="s">
        <v>198</v>
      </c>
      <c r="D266" s="33" t="str">
        <f t="shared" si="144"/>
        <v>Факультет физико-математических и естественных наук</v>
      </c>
      <c r="E266" s="34" t="str">
        <f t="shared" si="145"/>
        <v>'02.03.01</v>
      </c>
      <c r="F266" s="35" t="str">
        <f t="shared" si="146"/>
        <v>Математика и компьютерные науки</v>
      </c>
      <c r="G266" s="36" t="s">
        <v>76</v>
      </c>
      <c r="H266" s="36" t="s">
        <v>135</v>
      </c>
      <c r="I266" s="37"/>
      <c r="J266" s="37" t="s">
        <v>201</v>
      </c>
      <c r="K266" s="38" t="s">
        <v>208</v>
      </c>
      <c r="L266" s="39">
        <v>7</v>
      </c>
      <c r="M266" s="39">
        <v>18</v>
      </c>
      <c r="N266" s="40" t="s">
        <v>86</v>
      </c>
      <c r="O266" s="39"/>
      <c r="P266" s="39"/>
      <c r="Q266" s="39">
        <v>2</v>
      </c>
      <c r="R266" s="40" t="s">
        <v>95</v>
      </c>
      <c r="S266" s="41"/>
      <c r="T266" s="41"/>
      <c r="U266" s="41"/>
      <c r="V266" s="41"/>
      <c r="W266" s="41"/>
      <c r="X266" s="42" t="str">
        <f t="shared" si="147"/>
        <v>НКНбд</v>
      </c>
      <c r="Y266" s="43" t="s">
        <v>161</v>
      </c>
      <c r="Z266" s="39">
        <v>1</v>
      </c>
      <c r="AA266" s="39">
        <v>1</v>
      </c>
      <c r="AB266" s="42">
        <f t="shared" si="148"/>
        <v>12</v>
      </c>
      <c r="AC266" s="39">
        <v>9</v>
      </c>
      <c r="AD266" s="39">
        <v>3</v>
      </c>
      <c r="AE266" s="44">
        <f t="shared" si="149"/>
        <v>24</v>
      </c>
      <c r="AF266" s="45">
        <f t="shared" si="150"/>
        <v>0.5</v>
      </c>
      <c r="AG266" s="45">
        <f t="shared" si="151"/>
        <v>0.5</v>
      </c>
      <c r="AH266" s="46" t="s">
        <v>82</v>
      </c>
      <c r="AI266" s="40" t="s">
        <v>115</v>
      </c>
      <c r="AJ266" s="40" t="s">
        <v>116</v>
      </c>
      <c r="AK266" s="47" t="s">
        <v>209</v>
      </c>
      <c r="AL266" s="40"/>
      <c r="AM266" s="48">
        <f t="shared" si="152"/>
        <v>0</v>
      </c>
      <c r="AN266" s="48">
        <f t="shared" si="153"/>
        <v>18</v>
      </c>
      <c r="AO266" s="48">
        <f t="shared" si="154"/>
        <v>0</v>
      </c>
      <c r="AP266" s="48">
        <f t="shared" si="155"/>
        <v>3.96</v>
      </c>
      <c r="AQ266" s="48">
        <f t="shared" si="156"/>
        <v>6</v>
      </c>
      <c r="AR266" s="48">
        <f t="shared" si="157"/>
        <v>0.5</v>
      </c>
      <c r="AS266" s="48">
        <f t="shared" si="158"/>
        <v>0</v>
      </c>
      <c r="AT266" s="48">
        <f t="shared" si="159"/>
        <v>0</v>
      </c>
      <c r="AU266" s="48">
        <f t="shared" si="160"/>
        <v>0</v>
      </c>
      <c r="AV266" s="48">
        <f t="shared" si="161"/>
        <v>0</v>
      </c>
      <c r="AW266" s="48">
        <f>IF(N266="ПП",РПП*AB266*(V266/1.5),IF(N266="ВП",ВПр*AB266*(V266/1.5),IF(N266="РПА",РПА*AB266*(V266/1.5),IF(N266="КПА",кпа*AB266*(V266/1.5),0))))</f>
        <v>0</v>
      </c>
      <c r="AX266" s="48">
        <f t="shared" si="162"/>
        <v>0</v>
      </c>
      <c r="AY266" s="48">
        <f t="shared" si="163"/>
        <v>0</v>
      </c>
      <c r="AZ266" s="48">
        <f t="shared" si="164"/>
        <v>0</v>
      </c>
      <c r="BA266" s="48">
        <f t="shared" si="165"/>
        <v>0</v>
      </c>
      <c r="BB266" s="48">
        <f t="shared" si="166"/>
        <v>0</v>
      </c>
      <c r="BC266" s="48">
        <f t="shared" si="167"/>
        <v>0</v>
      </c>
      <c r="BD266" s="48">
        <f t="shared" si="168"/>
        <v>0</v>
      </c>
      <c r="BE266" s="48">
        <f t="shared" si="169"/>
        <v>0</v>
      </c>
      <c r="BF266" s="49">
        <f t="shared" si="170"/>
        <v>28.46</v>
      </c>
      <c r="BG266" s="50"/>
      <c r="BH266" s="51">
        <f t="shared" si="171"/>
        <v>18</v>
      </c>
      <c r="BI266" s="51">
        <f t="shared" si="172"/>
        <v>1</v>
      </c>
      <c r="BJ266" s="51">
        <f t="shared" si="173"/>
        <v>10.46</v>
      </c>
      <c r="BK266" s="52">
        <f t="shared" si="174"/>
        <v>0</v>
      </c>
      <c r="BL266" s="52">
        <f t="shared" si="175"/>
        <v>0</v>
      </c>
      <c r="BM266" s="52">
        <f t="shared" si="176"/>
        <v>0</v>
      </c>
    </row>
    <row r="267" spans="1:65" ht="30" customHeight="1" x14ac:dyDescent="0.25">
      <c r="A267" s="31" t="str">
        <f t="shared" si="142"/>
        <v>Д</v>
      </c>
      <c r="B267" s="31" t="str">
        <f t="shared" si="143"/>
        <v>Б</v>
      </c>
      <c r="C267" s="32" t="s">
        <v>198</v>
      </c>
      <c r="D267" s="33" t="str">
        <f t="shared" si="144"/>
        <v>Факультет физико-математических и естественных наук</v>
      </c>
      <c r="E267" s="34" t="str">
        <f t="shared" si="145"/>
        <v>'02.03.01</v>
      </c>
      <c r="F267" s="35" t="str">
        <f t="shared" si="146"/>
        <v>Математика и компьютерные науки</v>
      </c>
      <c r="G267" s="36" t="s">
        <v>76</v>
      </c>
      <c r="H267" s="36" t="s">
        <v>135</v>
      </c>
      <c r="I267" s="37"/>
      <c r="J267" s="37" t="s">
        <v>154</v>
      </c>
      <c r="K267" s="38" t="s">
        <v>164</v>
      </c>
      <c r="L267" s="39">
        <v>7</v>
      </c>
      <c r="M267" s="39">
        <v>18</v>
      </c>
      <c r="N267" s="40" t="s">
        <v>79</v>
      </c>
      <c r="O267" s="39">
        <v>1</v>
      </c>
      <c r="P267" s="39"/>
      <c r="Q267" s="39"/>
      <c r="R267" s="40" t="s">
        <v>80</v>
      </c>
      <c r="S267" s="41"/>
      <c r="T267" s="41"/>
      <c r="U267" s="41"/>
      <c r="V267" s="41"/>
      <c r="W267" s="41"/>
      <c r="X267" s="42" t="str">
        <f t="shared" si="147"/>
        <v>НКНбд</v>
      </c>
      <c r="Y267" s="43" t="s">
        <v>210</v>
      </c>
      <c r="Z267" s="39">
        <v>1</v>
      </c>
      <c r="AA267" s="39">
        <v>1</v>
      </c>
      <c r="AB267" s="42">
        <f t="shared" si="148"/>
        <v>13</v>
      </c>
      <c r="AC267" s="39">
        <v>9</v>
      </c>
      <c r="AD267" s="39">
        <v>4</v>
      </c>
      <c r="AE267" s="44">
        <f t="shared" si="149"/>
        <v>13</v>
      </c>
      <c r="AF267" s="45">
        <f t="shared" si="150"/>
        <v>1</v>
      </c>
      <c r="AG267" s="45">
        <f t="shared" si="151"/>
        <v>1</v>
      </c>
      <c r="AH267" s="46" t="s">
        <v>82</v>
      </c>
      <c r="AI267" s="40" t="s">
        <v>83</v>
      </c>
      <c r="AJ267" s="40" t="s">
        <v>84</v>
      </c>
      <c r="AK267" s="47" t="s">
        <v>93</v>
      </c>
      <c r="AL267" s="40"/>
      <c r="AM267" s="48">
        <f t="shared" si="152"/>
        <v>18</v>
      </c>
      <c r="AN267" s="48">
        <f t="shared" si="153"/>
        <v>0</v>
      </c>
      <c r="AO267" s="48">
        <f t="shared" si="154"/>
        <v>0</v>
      </c>
      <c r="AP267" s="48">
        <f t="shared" si="155"/>
        <v>4.29</v>
      </c>
      <c r="AQ267" s="48">
        <f t="shared" si="156"/>
        <v>6.5</v>
      </c>
      <c r="AR267" s="48">
        <f t="shared" si="157"/>
        <v>1</v>
      </c>
      <c r="AS267" s="48">
        <f t="shared" si="158"/>
        <v>0.9</v>
      </c>
      <c r="AT267" s="48">
        <f t="shared" si="159"/>
        <v>0</v>
      </c>
      <c r="AU267" s="48">
        <f t="shared" si="160"/>
        <v>0</v>
      </c>
      <c r="AV267" s="48">
        <f t="shared" si="161"/>
        <v>0</v>
      </c>
      <c r="AW267" s="48">
        <f>IF(N267="ПП",РПП*AB267*(V267/1.5),IF(N267="ВП",ВПр*AB267*(V267/1.5),IF(N267="РПА",РПА*AB267*(V267/1.5),IF(N267="КПА",кпа*AB267*(V267/1.5),0))))</f>
        <v>0</v>
      </c>
      <c r="AX267" s="48">
        <f t="shared" si="162"/>
        <v>0</v>
      </c>
      <c r="AY267" s="48">
        <f t="shared" si="163"/>
        <v>0</v>
      </c>
      <c r="AZ267" s="48">
        <f t="shared" si="164"/>
        <v>0</v>
      </c>
      <c r="BA267" s="48">
        <f t="shared" si="165"/>
        <v>0</v>
      </c>
      <c r="BB267" s="48">
        <f t="shared" si="166"/>
        <v>0</v>
      </c>
      <c r="BC267" s="48">
        <f t="shared" si="167"/>
        <v>0</v>
      </c>
      <c r="BD267" s="48">
        <f t="shared" si="168"/>
        <v>0</v>
      </c>
      <c r="BE267" s="48">
        <f t="shared" si="169"/>
        <v>0</v>
      </c>
      <c r="BF267" s="49">
        <f t="shared" si="170"/>
        <v>30.689999999999998</v>
      </c>
      <c r="BG267" s="50"/>
      <c r="BH267" s="51">
        <f t="shared" si="171"/>
        <v>18</v>
      </c>
      <c r="BI267" s="51">
        <f t="shared" si="172"/>
        <v>0.5</v>
      </c>
      <c r="BJ267" s="51">
        <f t="shared" si="173"/>
        <v>12.69</v>
      </c>
      <c r="BK267" s="52">
        <f t="shared" si="174"/>
        <v>0</v>
      </c>
      <c r="BL267" s="52">
        <f t="shared" si="175"/>
        <v>0</v>
      </c>
      <c r="BM267" s="52">
        <f t="shared" si="176"/>
        <v>0</v>
      </c>
    </row>
    <row r="268" spans="1:65" ht="30" customHeight="1" x14ac:dyDescent="0.25">
      <c r="A268" s="31" t="str">
        <f t="shared" si="142"/>
        <v>Д</v>
      </c>
      <c r="B268" s="31" t="str">
        <f t="shared" si="143"/>
        <v>Б</v>
      </c>
      <c r="C268" s="32" t="s">
        <v>198</v>
      </c>
      <c r="D268" s="33" t="str">
        <f t="shared" si="144"/>
        <v>Факультет физико-математических и естественных наук</v>
      </c>
      <c r="E268" s="34" t="str">
        <f t="shared" si="145"/>
        <v>'02.03.01</v>
      </c>
      <c r="F268" s="35" t="str">
        <f t="shared" si="146"/>
        <v>Математика и компьютерные науки</v>
      </c>
      <c r="G268" s="36" t="s">
        <v>76</v>
      </c>
      <c r="H268" s="36" t="s">
        <v>135</v>
      </c>
      <c r="I268" s="37"/>
      <c r="J268" s="37" t="s">
        <v>154</v>
      </c>
      <c r="K268" s="38" t="s">
        <v>164</v>
      </c>
      <c r="L268" s="39">
        <v>7</v>
      </c>
      <c r="M268" s="39">
        <v>18</v>
      </c>
      <c r="N268" s="40" t="s">
        <v>94</v>
      </c>
      <c r="O268" s="39"/>
      <c r="P268" s="39">
        <v>2</v>
      </c>
      <c r="Q268" s="39"/>
      <c r="R268" s="40"/>
      <c r="S268" s="41"/>
      <c r="T268" s="41"/>
      <c r="U268" s="41"/>
      <c r="V268" s="41"/>
      <c r="W268" s="41"/>
      <c r="X268" s="42" t="str">
        <f t="shared" si="147"/>
        <v>НКНбд</v>
      </c>
      <c r="Y268" s="43" t="s">
        <v>210</v>
      </c>
      <c r="Z268" s="39">
        <v>1</v>
      </c>
      <c r="AA268" s="39">
        <v>1</v>
      </c>
      <c r="AB268" s="42">
        <f t="shared" si="148"/>
        <v>13</v>
      </c>
      <c r="AC268" s="39">
        <v>9</v>
      </c>
      <c r="AD268" s="39">
        <v>4</v>
      </c>
      <c r="AE268" s="44">
        <f t="shared" si="149"/>
        <v>12</v>
      </c>
      <c r="AF268" s="45">
        <f t="shared" si="150"/>
        <v>1</v>
      </c>
      <c r="AG268" s="45">
        <f t="shared" si="151"/>
        <v>1.0833333333333333</v>
      </c>
      <c r="AH268" s="46" t="s">
        <v>82</v>
      </c>
      <c r="AI268" s="40" t="s">
        <v>83</v>
      </c>
      <c r="AJ268" s="40" t="s">
        <v>84</v>
      </c>
      <c r="AK268" s="47" t="s">
        <v>93</v>
      </c>
      <c r="AL268" s="40"/>
      <c r="AM268" s="48">
        <f t="shared" si="152"/>
        <v>0</v>
      </c>
      <c r="AN268" s="48">
        <f t="shared" si="153"/>
        <v>0</v>
      </c>
      <c r="AO268" s="48">
        <f t="shared" si="154"/>
        <v>36</v>
      </c>
      <c r="AP268" s="48">
        <f t="shared" si="155"/>
        <v>0</v>
      </c>
      <c r="AQ268" s="48">
        <f t="shared" si="156"/>
        <v>0</v>
      </c>
      <c r="AR268" s="48">
        <f t="shared" si="157"/>
        <v>0</v>
      </c>
      <c r="AS268" s="48">
        <f t="shared" si="158"/>
        <v>0</v>
      </c>
      <c r="AT268" s="48">
        <f t="shared" si="159"/>
        <v>0</v>
      </c>
      <c r="AU268" s="48">
        <f t="shared" si="160"/>
        <v>0</v>
      </c>
      <c r="AV268" s="48">
        <f t="shared" si="161"/>
        <v>0</v>
      </c>
      <c r="AW268" s="48">
        <f>IF(N268="ПП",РПП*AB268*(V268/1.5),IF(N268="ВП",ВПр*AB268*(V268/1.5),IF(N268="РПА",РПА*AB268*(V268/1.5),IF(N268="КПА",кпа*AB268*(V268/1.5),0))))</f>
        <v>0</v>
      </c>
      <c r="AX268" s="48">
        <f t="shared" si="162"/>
        <v>0</v>
      </c>
      <c r="AY268" s="48">
        <f t="shared" si="163"/>
        <v>0</v>
      </c>
      <c r="AZ268" s="48">
        <f t="shared" si="164"/>
        <v>0</v>
      </c>
      <c r="BA268" s="48">
        <f t="shared" si="165"/>
        <v>0</v>
      </c>
      <c r="BB268" s="48">
        <f t="shared" si="166"/>
        <v>0</v>
      </c>
      <c r="BC268" s="48">
        <f t="shared" si="167"/>
        <v>0</v>
      </c>
      <c r="BD268" s="48">
        <f t="shared" si="168"/>
        <v>0</v>
      </c>
      <c r="BE268" s="48">
        <f t="shared" si="169"/>
        <v>0</v>
      </c>
      <c r="BF268" s="49">
        <f t="shared" si="170"/>
        <v>36</v>
      </c>
      <c r="BG268" s="50"/>
      <c r="BH268" s="51">
        <f t="shared" si="171"/>
        <v>36</v>
      </c>
      <c r="BI268" s="51">
        <f t="shared" si="172"/>
        <v>1</v>
      </c>
      <c r="BJ268" s="51">
        <f t="shared" si="173"/>
        <v>0</v>
      </c>
      <c r="BK268" s="52">
        <f t="shared" si="174"/>
        <v>0</v>
      </c>
      <c r="BL268" s="52">
        <f t="shared" si="175"/>
        <v>0</v>
      </c>
      <c r="BM268" s="52">
        <f t="shared" si="176"/>
        <v>0</v>
      </c>
    </row>
    <row r="269" spans="1:65" ht="30" customHeight="1" x14ac:dyDescent="0.25">
      <c r="A269" s="31" t="str">
        <f t="shared" si="142"/>
        <v>Д</v>
      </c>
      <c r="B269" s="31" t="str">
        <f t="shared" si="143"/>
        <v>Б</v>
      </c>
      <c r="C269" s="32" t="s">
        <v>198</v>
      </c>
      <c r="D269" s="33" t="str">
        <f t="shared" si="144"/>
        <v>Факультет физико-математических и естественных наук</v>
      </c>
      <c r="E269" s="34" t="str">
        <f t="shared" si="145"/>
        <v>'02.03.01</v>
      </c>
      <c r="F269" s="35" t="str">
        <f t="shared" si="146"/>
        <v>Математика и компьютерные науки</v>
      </c>
      <c r="G269" s="36" t="s">
        <v>76</v>
      </c>
      <c r="H269" s="36" t="s">
        <v>135</v>
      </c>
      <c r="I269" s="37"/>
      <c r="J269" s="37" t="s">
        <v>154</v>
      </c>
      <c r="K269" s="38" t="s">
        <v>165</v>
      </c>
      <c r="L269" s="39">
        <v>7</v>
      </c>
      <c r="M269" s="39">
        <v>18</v>
      </c>
      <c r="N269" s="40" t="s">
        <v>94</v>
      </c>
      <c r="O269" s="39"/>
      <c r="P269" s="39">
        <v>2</v>
      </c>
      <c r="Q269" s="39"/>
      <c r="R269" s="40" t="s">
        <v>95</v>
      </c>
      <c r="S269" s="41"/>
      <c r="T269" s="41"/>
      <c r="U269" s="41"/>
      <c r="V269" s="41"/>
      <c r="W269" s="41"/>
      <c r="X269" s="42" t="str">
        <f t="shared" si="147"/>
        <v>НКНбд</v>
      </c>
      <c r="Y269" s="43" t="s">
        <v>161</v>
      </c>
      <c r="Z269" s="39">
        <v>1</v>
      </c>
      <c r="AA269" s="39">
        <v>1</v>
      </c>
      <c r="AB269" s="42">
        <f t="shared" si="148"/>
        <v>13</v>
      </c>
      <c r="AC269" s="39">
        <v>9</v>
      </c>
      <c r="AD269" s="39">
        <v>4</v>
      </c>
      <c r="AE269" s="44">
        <f t="shared" si="149"/>
        <v>12</v>
      </c>
      <c r="AF269" s="45">
        <f t="shared" si="150"/>
        <v>1</v>
      </c>
      <c r="AG269" s="45">
        <f t="shared" si="151"/>
        <v>1.0833333333333333</v>
      </c>
      <c r="AH269" s="46" t="s">
        <v>82</v>
      </c>
      <c r="AI269" s="40" t="s">
        <v>83</v>
      </c>
      <c r="AJ269" s="40" t="s">
        <v>116</v>
      </c>
      <c r="AK269" s="47" t="s">
        <v>146</v>
      </c>
      <c r="AL269" s="40"/>
      <c r="AM269" s="48">
        <f t="shared" si="152"/>
        <v>0</v>
      </c>
      <c r="AN269" s="48">
        <f t="shared" si="153"/>
        <v>0</v>
      </c>
      <c r="AO269" s="48">
        <f t="shared" si="154"/>
        <v>36</v>
      </c>
      <c r="AP269" s="48">
        <f t="shared" si="155"/>
        <v>4.29</v>
      </c>
      <c r="AQ269" s="48">
        <f t="shared" si="156"/>
        <v>6.5</v>
      </c>
      <c r="AR269" s="48">
        <f t="shared" si="157"/>
        <v>1</v>
      </c>
      <c r="AS269" s="48">
        <f t="shared" si="158"/>
        <v>0</v>
      </c>
      <c r="AT269" s="48">
        <f t="shared" si="159"/>
        <v>0</v>
      </c>
      <c r="AU269" s="48">
        <f t="shared" si="160"/>
        <v>0</v>
      </c>
      <c r="AV269" s="48">
        <f t="shared" si="161"/>
        <v>0</v>
      </c>
      <c r="AW269" s="48">
        <f>IF(N269="ПП",РПП*AB269*(V269/1.5),IF(N269="ВП",ВПр*AB269*(V269/1.5),IF(N269="РПА",РПА*AB269*(V269/1.5),IF(N269="КПА",кпа*AB269*(V269/1.5),0))))</f>
        <v>0</v>
      </c>
      <c r="AX269" s="48">
        <f t="shared" si="162"/>
        <v>0</v>
      </c>
      <c r="AY269" s="48">
        <f t="shared" si="163"/>
        <v>0</v>
      </c>
      <c r="AZ269" s="48">
        <f t="shared" si="164"/>
        <v>0</v>
      </c>
      <c r="BA269" s="48">
        <f t="shared" si="165"/>
        <v>0</v>
      </c>
      <c r="BB269" s="48">
        <f t="shared" si="166"/>
        <v>0</v>
      </c>
      <c r="BC269" s="48">
        <f t="shared" si="167"/>
        <v>0</v>
      </c>
      <c r="BD269" s="48">
        <f t="shared" si="168"/>
        <v>0</v>
      </c>
      <c r="BE269" s="48">
        <f t="shared" si="169"/>
        <v>0</v>
      </c>
      <c r="BF269" s="49">
        <f t="shared" si="170"/>
        <v>47.79</v>
      </c>
      <c r="BG269" s="50"/>
      <c r="BH269" s="51">
        <f t="shared" si="171"/>
        <v>36</v>
      </c>
      <c r="BI269" s="51">
        <f t="shared" si="172"/>
        <v>1</v>
      </c>
      <c r="BJ269" s="51">
        <f t="shared" si="173"/>
        <v>11.79</v>
      </c>
      <c r="BK269" s="52">
        <f t="shared" si="174"/>
        <v>0</v>
      </c>
      <c r="BL269" s="52">
        <f t="shared" si="175"/>
        <v>0</v>
      </c>
      <c r="BM269" s="52">
        <f t="shared" si="176"/>
        <v>0</v>
      </c>
    </row>
    <row r="270" spans="1:65" ht="30" customHeight="1" x14ac:dyDescent="0.25">
      <c r="A270" s="31" t="str">
        <f t="shared" si="142"/>
        <v>Д</v>
      </c>
      <c r="B270" s="31" t="str">
        <f t="shared" si="143"/>
        <v>Б</v>
      </c>
      <c r="C270" s="32" t="s">
        <v>198</v>
      </c>
      <c r="D270" s="33" t="str">
        <f t="shared" si="144"/>
        <v>Факультет физико-математических и естественных наук</v>
      </c>
      <c r="E270" s="34" t="str">
        <f t="shared" si="145"/>
        <v>'02.03.01</v>
      </c>
      <c r="F270" s="35" t="str">
        <f t="shared" si="146"/>
        <v>Математика и компьютерные науки</v>
      </c>
      <c r="G270" s="36" t="s">
        <v>153</v>
      </c>
      <c r="H270" s="36" t="s">
        <v>77</v>
      </c>
      <c r="I270" s="37"/>
      <c r="J270" s="37"/>
      <c r="K270" s="38" t="s">
        <v>169</v>
      </c>
      <c r="L270" s="39">
        <v>8</v>
      </c>
      <c r="M270" s="39"/>
      <c r="N270" s="126" t="s">
        <v>2680</v>
      </c>
      <c r="O270" s="39"/>
      <c r="P270" s="39"/>
      <c r="Q270" s="39"/>
      <c r="R270" s="40"/>
      <c r="S270" s="41"/>
      <c r="T270" s="41"/>
      <c r="U270" s="41"/>
      <c r="V270" s="41"/>
      <c r="W270" s="41">
        <v>9</v>
      </c>
      <c r="X270" s="42" t="str">
        <f t="shared" si="147"/>
        <v>НКНбд</v>
      </c>
      <c r="Y270" s="43" t="s">
        <v>161</v>
      </c>
      <c r="Z270" s="39">
        <v>1</v>
      </c>
      <c r="AA270" s="39">
        <v>1</v>
      </c>
      <c r="AB270" s="42">
        <f t="shared" si="148"/>
        <v>13</v>
      </c>
      <c r="AC270" s="124">
        <v>10</v>
      </c>
      <c r="AD270" s="124">
        <v>3</v>
      </c>
      <c r="AE270" s="44">
        <f t="shared" si="149"/>
        <v>1</v>
      </c>
      <c r="AF270" s="45">
        <f t="shared" si="150"/>
        <v>1</v>
      </c>
      <c r="AG270" s="45">
        <f t="shared" si="151"/>
        <v>13</v>
      </c>
      <c r="AH270" s="46" t="s">
        <v>82</v>
      </c>
      <c r="AI270" s="40" t="s">
        <v>99</v>
      </c>
      <c r="AJ270" s="40" t="s">
        <v>116</v>
      </c>
      <c r="AK270" s="47" t="s">
        <v>101</v>
      </c>
      <c r="AL270" s="40"/>
      <c r="AM270" s="48">
        <f t="shared" si="152"/>
        <v>0</v>
      </c>
      <c r="AN270" s="48">
        <f t="shared" si="153"/>
        <v>0</v>
      </c>
      <c r="AO270" s="48">
        <f t="shared" si="154"/>
        <v>0</v>
      </c>
      <c r="AP270" s="48">
        <f t="shared" si="155"/>
        <v>0</v>
      </c>
      <c r="AQ270" s="48">
        <f t="shared" si="156"/>
        <v>0</v>
      </c>
      <c r="AR270" s="48">
        <f t="shared" si="157"/>
        <v>0</v>
      </c>
      <c r="AS270" s="48">
        <f t="shared" si="158"/>
        <v>0</v>
      </c>
      <c r="AT270" s="48">
        <f t="shared" si="159"/>
        <v>0</v>
      </c>
      <c r="AU270" s="48">
        <f t="shared" si="160"/>
        <v>0</v>
      </c>
      <c r="AV270" s="48">
        <f t="shared" si="161"/>
        <v>0</v>
      </c>
      <c r="AW270" s="48">
        <f>IF(N270="ПП",РПП*AB270*(V270/1.5),IF(N270="ВП",ВПр*AB270*(V270/1.5),IF(N270="РПА",РПА*AB270*(V270/1.5),IF(N270="КПА",кпа*AB270*(V270/1.5),0))))</f>
        <v>0</v>
      </c>
      <c r="AX270" s="48">
        <f t="shared" si="162"/>
        <v>87</v>
      </c>
      <c r="AY270" s="48">
        <f t="shared" si="163"/>
        <v>0</v>
      </c>
      <c r="AZ270" s="48">
        <f t="shared" si="164"/>
        <v>0</v>
      </c>
      <c r="BA270" s="48">
        <f t="shared" si="165"/>
        <v>0</v>
      </c>
      <c r="BB270" s="48">
        <f t="shared" si="166"/>
        <v>0</v>
      </c>
      <c r="BC270" s="48">
        <f t="shared" si="167"/>
        <v>0</v>
      </c>
      <c r="BD270" s="48">
        <f t="shared" si="168"/>
        <v>0</v>
      </c>
      <c r="BE270" s="48">
        <f t="shared" si="169"/>
        <v>0</v>
      </c>
      <c r="BF270" s="49">
        <f t="shared" si="170"/>
        <v>87</v>
      </c>
      <c r="BG270" s="50"/>
      <c r="BH270" s="51">
        <f t="shared" si="171"/>
        <v>0</v>
      </c>
      <c r="BI270" s="51">
        <f t="shared" si="172"/>
        <v>0</v>
      </c>
      <c r="BJ270" s="51">
        <f t="shared" si="173"/>
        <v>0</v>
      </c>
      <c r="BK270" s="52">
        <f t="shared" si="174"/>
        <v>0</v>
      </c>
      <c r="BL270" s="52">
        <f t="shared" si="175"/>
        <v>0</v>
      </c>
      <c r="BM270" s="52">
        <f t="shared" si="176"/>
        <v>87</v>
      </c>
    </row>
    <row r="271" spans="1:65" ht="30" customHeight="1" x14ac:dyDescent="0.25">
      <c r="A271" s="31" t="str">
        <f t="shared" si="142"/>
        <v>Д</v>
      </c>
      <c r="B271" s="31" t="str">
        <f t="shared" si="143"/>
        <v>Б</v>
      </c>
      <c r="C271" s="32" t="s">
        <v>198</v>
      </c>
      <c r="D271" s="33" t="str">
        <f t="shared" si="144"/>
        <v>Факультет физико-математических и естественных наук</v>
      </c>
      <c r="E271" s="34" t="str">
        <f t="shared" si="145"/>
        <v>'02.03.01</v>
      </c>
      <c r="F271" s="35" t="str">
        <f t="shared" si="146"/>
        <v>Математика и компьютерные науки</v>
      </c>
      <c r="G271" s="36" t="s">
        <v>153</v>
      </c>
      <c r="H271" s="36" t="s">
        <v>77</v>
      </c>
      <c r="I271" s="37"/>
      <c r="J271" s="37"/>
      <c r="K271" s="38" t="s">
        <v>167</v>
      </c>
      <c r="L271" s="39">
        <v>8</v>
      </c>
      <c r="M271" s="39"/>
      <c r="N271" s="40" t="s">
        <v>168</v>
      </c>
      <c r="O271" s="39"/>
      <c r="P271" s="39"/>
      <c r="Q271" s="39"/>
      <c r="R271" s="40"/>
      <c r="S271" s="41"/>
      <c r="T271" s="41"/>
      <c r="U271" s="41"/>
      <c r="V271" s="41">
        <v>3</v>
      </c>
      <c r="W271" s="41"/>
      <c r="X271" s="42" t="str">
        <f t="shared" si="147"/>
        <v>НКНбд</v>
      </c>
      <c r="Y271" s="43" t="s">
        <v>161</v>
      </c>
      <c r="Z271" s="39">
        <v>1</v>
      </c>
      <c r="AA271" s="39">
        <v>1</v>
      </c>
      <c r="AB271" s="42">
        <f t="shared" si="148"/>
        <v>13</v>
      </c>
      <c r="AC271" s="124">
        <v>10</v>
      </c>
      <c r="AD271" s="124">
        <v>3</v>
      </c>
      <c r="AE271" s="44">
        <v>3</v>
      </c>
      <c r="AF271" s="45">
        <f t="shared" si="150"/>
        <v>1</v>
      </c>
      <c r="AG271" s="45">
        <f t="shared" si="151"/>
        <v>4.333333333333333</v>
      </c>
      <c r="AH271" s="46" t="s">
        <v>82</v>
      </c>
      <c r="AI271" s="40" t="s">
        <v>99</v>
      </c>
      <c r="AJ271" s="40" t="s">
        <v>100</v>
      </c>
      <c r="AK271" s="47" t="s">
        <v>101</v>
      </c>
      <c r="AL271" s="40"/>
      <c r="AM271" s="48">
        <f t="shared" si="152"/>
        <v>0</v>
      </c>
      <c r="AN271" s="48">
        <f t="shared" si="153"/>
        <v>0</v>
      </c>
      <c r="AO271" s="48">
        <f t="shared" si="154"/>
        <v>0</v>
      </c>
      <c r="AP271" s="48">
        <f t="shared" si="155"/>
        <v>0</v>
      </c>
      <c r="AQ271" s="48">
        <f t="shared" si="156"/>
        <v>0</v>
      </c>
      <c r="AR271" s="48">
        <f t="shared" si="157"/>
        <v>0</v>
      </c>
      <c r="AS271" s="48">
        <f t="shared" si="158"/>
        <v>0</v>
      </c>
      <c r="AT271" s="48">
        <f t="shared" si="159"/>
        <v>0</v>
      </c>
      <c r="AU271" s="48">
        <f t="shared" si="160"/>
        <v>0</v>
      </c>
      <c r="AV271" s="48">
        <f t="shared" si="161"/>
        <v>0</v>
      </c>
      <c r="AW271" s="48">
        <f>IF(N271="ПП",РПП*AB271*(V271/1.5),IF(N271="ВП",ВПр*AB271*(V271/1.5),IF(N271="РПА",РПА*AB271*(V271/1.5),IF(N271="КПА",кпа*AB271*(V271/1.5),0))))</f>
        <v>39</v>
      </c>
      <c r="AX271" s="48">
        <f t="shared" si="162"/>
        <v>0</v>
      </c>
      <c r="AY271" s="48">
        <f t="shared" si="163"/>
        <v>0</v>
      </c>
      <c r="AZ271" s="48">
        <f t="shared" si="164"/>
        <v>0</v>
      </c>
      <c r="BA271" s="48">
        <f t="shared" si="165"/>
        <v>0</v>
      </c>
      <c r="BB271" s="48">
        <f t="shared" si="166"/>
        <v>0</v>
      </c>
      <c r="BC271" s="48">
        <f t="shared" si="167"/>
        <v>0</v>
      </c>
      <c r="BD271" s="48">
        <f t="shared" si="168"/>
        <v>0</v>
      </c>
      <c r="BE271" s="48">
        <f t="shared" si="169"/>
        <v>0</v>
      </c>
      <c r="BF271" s="49">
        <f t="shared" si="170"/>
        <v>39</v>
      </c>
      <c r="BG271" s="50"/>
      <c r="BH271" s="51">
        <f t="shared" si="171"/>
        <v>0</v>
      </c>
      <c r="BI271" s="51">
        <f t="shared" si="172"/>
        <v>0</v>
      </c>
      <c r="BJ271" s="51">
        <f t="shared" si="173"/>
        <v>0</v>
      </c>
      <c r="BK271" s="52">
        <f t="shared" si="174"/>
        <v>0</v>
      </c>
      <c r="BL271" s="52">
        <f t="shared" si="175"/>
        <v>0</v>
      </c>
      <c r="BM271" s="52">
        <f t="shared" si="176"/>
        <v>39</v>
      </c>
    </row>
    <row r="272" spans="1:65" ht="30" customHeight="1" x14ac:dyDescent="0.25">
      <c r="A272" s="31" t="str">
        <f t="shared" si="142"/>
        <v>Д</v>
      </c>
      <c r="B272" s="31" t="str">
        <f t="shared" si="143"/>
        <v>Б</v>
      </c>
      <c r="C272" s="32" t="s">
        <v>198</v>
      </c>
      <c r="D272" s="33" t="str">
        <f t="shared" si="144"/>
        <v>Факультет физико-математических и естественных наук</v>
      </c>
      <c r="E272" s="34" t="str">
        <f t="shared" si="145"/>
        <v>'02.03.01</v>
      </c>
      <c r="F272" s="35" t="str">
        <f t="shared" si="146"/>
        <v>Математика и компьютерные науки</v>
      </c>
      <c r="G272" s="36" t="s">
        <v>153</v>
      </c>
      <c r="H272" s="36" t="s">
        <v>77</v>
      </c>
      <c r="I272" s="37"/>
      <c r="J272" s="37"/>
      <c r="K272" s="38" t="s">
        <v>170</v>
      </c>
      <c r="L272" s="39">
        <v>8</v>
      </c>
      <c r="M272" s="39"/>
      <c r="N272" s="40" t="s">
        <v>168</v>
      </c>
      <c r="O272" s="39"/>
      <c r="P272" s="39"/>
      <c r="Q272" s="39"/>
      <c r="R272" s="40"/>
      <c r="S272" s="41"/>
      <c r="T272" s="41"/>
      <c r="U272" s="41"/>
      <c r="V272" s="41">
        <v>6</v>
      </c>
      <c r="W272" s="41"/>
      <c r="X272" s="42" t="str">
        <f t="shared" si="147"/>
        <v>НКНбд</v>
      </c>
      <c r="Y272" s="43" t="s">
        <v>161</v>
      </c>
      <c r="Z272" s="39">
        <v>1</v>
      </c>
      <c r="AA272" s="39">
        <v>1</v>
      </c>
      <c r="AB272" s="42">
        <f t="shared" si="148"/>
        <v>14</v>
      </c>
      <c r="AC272" s="124">
        <v>11</v>
      </c>
      <c r="AD272" s="124">
        <v>3</v>
      </c>
      <c r="AE272" s="44">
        <f t="shared" si="149"/>
        <v>1</v>
      </c>
      <c r="AF272" s="45">
        <f t="shared" si="150"/>
        <v>1</v>
      </c>
      <c r="AG272" s="45">
        <f t="shared" si="151"/>
        <v>14</v>
      </c>
      <c r="AH272" s="46" t="s">
        <v>82</v>
      </c>
      <c r="AI272" s="40" t="s">
        <v>99</v>
      </c>
      <c r="AJ272" s="40" t="s">
        <v>100</v>
      </c>
      <c r="AK272" s="47" t="s">
        <v>101</v>
      </c>
      <c r="AL272" s="40"/>
      <c r="AM272" s="48">
        <f t="shared" si="152"/>
        <v>0</v>
      </c>
      <c r="AN272" s="48">
        <f t="shared" si="153"/>
        <v>0</v>
      </c>
      <c r="AO272" s="48">
        <f t="shared" si="154"/>
        <v>0</v>
      </c>
      <c r="AP272" s="48">
        <f t="shared" si="155"/>
        <v>0</v>
      </c>
      <c r="AQ272" s="48">
        <f t="shared" si="156"/>
        <v>0</v>
      </c>
      <c r="AR272" s="48">
        <f t="shared" si="157"/>
        <v>0</v>
      </c>
      <c r="AS272" s="48">
        <f t="shared" si="158"/>
        <v>0</v>
      </c>
      <c r="AT272" s="48">
        <f t="shared" si="159"/>
        <v>0</v>
      </c>
      <c r="AU272" s="48">
        <f t="shared" si="160"/>
        <v>0</v>
      </c>
      <c r="AV272" s="48">
        <f t="shared" si="161"/>
        <v>0</v>
      </c>
      <c r="AW272" s="48">
        <f>IF(N272="ПП",РПП*AB272*(V272/1.5),IF(N272="ВП",ВПр*AB272*(V272/1.5),IF(N272="РПА",РПА*AB272*(V272/1.5),IF(N272="КПА",кпа*AB272*(V272/1.5),0))))</f>
        <v>84</v>
      </c>
      <c r="AX272" s="48">
        <f t="shared" si="162"/>
        <v>0</v>
      </c>
      <c r="AY272" s="48">
        <f t="shared" si="163"/>
        <v>0</v>
      </c>
      <c r="AZ272" s="48">
        <f t="shared" si="164"/>
        <v>0</v>
      </c>
      <c r="BA272" s="48">
        <f t="shared" si="165"/>
        <v>0</v>
      </c>
      <c r="BB272" s="48">
        <f t="shared" si="166"/>
        <v>0</v>
      </c>
      <c r="BC272" s="48">
        <f t="shared" si="167"/>
        <v>0</v>
      </c>
      <c r="BD272" s="48">
        <f t="shared" si="168"/>
        <v>0</v>
      </c>
      <c r="BE272" s="48">
        <f t="shared" si="169"/>
        <v>0</v>
      </c>
      <c r="BF272" s="49">
        <f t="shared" si="170"/>
        <v>84</v>
      </c>
      <c r="BG272" s="50"/>
      <c r="BH272" s="51">
        <f t="shared" si="171"/>
        <v>0</v>
      </c>
      <c r="BI272" s="51">
        <f t="shared" si="172"/>
        <v>0</v>
      </c>
      <c r="BJ272" s="51">
        <f t="shared" si="173"/>
        <v>0</v>
      </c>
      <c r="BK272" s="52">
        <f t="shared" si="174"/>
        <v>0</v>
      </c>
      <c r="BL272" s="52">
        <f t="shared" si="175"/>
        <v>0</v>
      </c>
      <c r="BM272" s="52">
        <f t="shared" si="176"/>
        <v>84</v>
      </c>
    </row>
    <row r="273" spans="1:65" ht="30" customHeight="1" x14ac:dyDescent="0.25">
      <c r="A273" s="31" t="str">
        <f t="shared" si="142"/>
        <v>Д</v>
      </c>
      <c r="B273" s="31" t="str">
        <f t="shared" si="143"/>
        <v>Б</v>
      </c>
      <c r="C273" s="32" t="s">
        <v>198</v>
      </c>
      <c r="D273" s="33" t="str">
        <f t="shared" si="144"/>
        <v>Факультет физико-математических и естественных наук</v>
      </c>
      <c r="E273" s="34" t="str">
        <f t="shared" si="145"/>
        <v>'02.03.01</v>
      </c>
      <c r="F273" s="35" t="str">
        <f t="shared" si="146"/>
        <v>Математика и компьютерные науки</v>
      </c>
      <c r="G273" s="36" t="s">
        <v>166</v>
      </c>
      <c r="H273" s="36" t="s">
        <v>77</v>
      </c>
      <c r="I273" s="37"/>
      <c r="J273" s="37"/>
      <c r="K273" s="38" t="s">
        <v>171</v>
      </c>
      <c r="L273" s="39">
        <v>8</v>
      </c>
      <c r="M273" s="39"/>
      <c r="N273" s="40" t="s">
        <v>172</v>
      </c>
      <c r="O273" s="39"/>
      <c r="P273" s="39"/>
      <c r="Q273" s="39"/>
      <c r="R273" s="40" t="s">
        <v>173</v>
      </c>
      <c r="S273" s="41"/>
      <c r="T273" s="41"/>
      <c r="U273" s="41"/>
      <c r="V273" s="41"/>
      <c r="W273" s="41"/>
      <c r="X273" s="42" t="str">
        <f t="shared" si="147"/>
        <v>НКНбд</v>
      </c>
      <c r="Y273" s="39" t="s">
        <v>161</v>
      </c>
      <c r="Z273" s="39"/>
      <c r="AA273" s="39">
        <v>1</v>
      </c>
      <c r="AB273" s="42">
        <f t="shared" si="148"/>
        <v>13</v>
      </c>
      <c r="AC273" s="125">
        <v>10</v>
      </c>
      <c r="AD273" s="124">
        <v>3</v>
      </c>
      <c r="AE273" s="44">
        <f t="shared" si="149"/>
        <v>1</v>
      </c>
      <c r="AF273" s="45">
        <f t="shared" si="150"/>
        <v>1</v>
      </c>
      <c r="AG273" s="45">
        <f t="shared" si="151"/>
        <v>13</v>
      </c>
      <c r="AH273" s="46" t="s">
        <v>82</v>
      </c>
      <c r="AI273" s="40" t="s">
        <v>83</v>
      </c>
      <c r="AJ273" s="40" t="s">
        <v>84</v>
      </c>
      <c r="AK273" s="47" t="s">
        <v>97</v>
      </c>
      <c r="AL273" s="40"/>
      <c r="AM273" s="48">
        <f t="shared" si="152"/>
        <v>0</v>
      </c>
      <c r="AN273" s="48">
        <f t="shared" si="153"/>
        <v>0</v>
      </c>
      <c r="AO273" s="48">
        <f t="shared" si="154"/>
        <v>0</v>
      </c>
      <c r="AP273" s="48">
        <f t="shared" si="155"/>
        <v>0</v>
      </c>
      <c r="AQ273" s="48">
        <f t="shared" si="156"/>
        <v>0</v>
      </c>
      <c r="AR273" s="48">
        <f t="shared" si="157"/>
        <v>0</v>
      </c>
      <c r="AS273" s="48">
        <f t="shared" si="158"/>
        <v>0</v>
      </c>
      <c r="AT273" s="48">
        <f t="shared" si="159"/>
        <v>0</v>
      </c>
      <c r="AU273" s="48">
        <f t="shared" si="160"/>
        <v>0</v>
      </c>
      <c r="AV273" s="48">
        <f t="shared" si="161"/>
        <v>0</v>
      </c>
      <c r="AW273" s="48">
        <f>IF(N273="ПП",РПП*AB273*(V273/1.5),IF(N273="ВП",ВПр*AB273*(V273/1.5),IF(N273="РПА",РПА*AB273*(V273/1.5),IF(N273="КПА",кпа*AB273*(V273/1.5),0))))</f>
        <v>0</v>
      </c>
      <c r="AX273" s="48">
        <f t="shared" si="162"/>
        <v>0</v>
      </c>
      <c r="AY273" s="48">
        <f t="shared" si="163"/>
        <v>0</v>
      </c>
      <c r="AZ273" s="48">
        <f t="shared" si="164"/>
        <v>0</v>
      </c>
      <c r="BA273" s="48">
        <f t="shared" si="165"/>
        <v>0</v>
      </c>
      <c r="BB273" s="48">
        <f t="shared" si="166"/>
        <v>0</v>
      </c>
      <c r="BC273" s="48">
        <f t="shared" si="167"/>
        <v>290</v>
      </c>
      <c r="BD273" s="48">
        <f t="shared" si="168"/>
        <v>0</v>
      </c>
      <c r="BE273" s="48">
        <f t="shared" si="169"/>
        <v>0</v>
      </c>
      <c r="BF273" s="49">
        <f t="shared" si="170"/>
        <v>290</v>
      </c>
      <c r="BG273" s="50"/>
      <c r="BH273" s="51">
        <f t="shared" si="171"/>
        <v>0</v>
      </c>
      <c r="BI273" s="51">
        <f t="shared" si="172"/>
        <v>0</v>
      </c>
      <c r="BJ273" s="51">
        <f t="shared" si="173"/>
        <v>0</v>
      </c>
      <c r="BK273" s="52">
        <f t="shared" si="174"/>
        <v>0</v>
      </c>
      <c r="BL273" s="52">
        <f t="shared" si="175"/>
        <v>0</v>
      </c>
      <c r="BM273" s="52">
        <f t="shared" si="176"/>
        <v>290</v>
      </c>
    </row>
    <row r="274" spans="1:65" ht="30" customHeight="1" x14ac:dyDescent="0.25">
      <c r="A274" s="31" t="str">
        <f t="shared" si="142"/>
        <v>Д</v>
      </c>
      <c r="B274" s="31" t="str">
        <f t="shared" si="143"/>
        <v>Б</v>
      </c>
      <c r="C274" s="32" t="s">
        <v>198</v>
      </c>
      <c r="D274" s="33" t="str">
        <f t="shared" si="144"/>
        <v>Факультет физико-математических и естественных наук</v>
      </c>
      <c r="E274" s="34" t="str">
        <f t="shared" si="145"/>
        <v>'02.03.01</v>
      </c>
      <c r="F274" s="35" t="str">
        <f t="shared" si="146"/>
        <v>Математика и компьютерные науки</v>
      </c>
      <c r="G274" s="36" t="s">
        <v>166</v>
      </c>
      <c r="H274" s="36" t="s">
        <v>77</v>
      </c>
      <c r="I274" s="37"/>
      <c r="J274" s="37"/>
      <c r="K274" s="38" t="s">
        <v>47</v>
      </c>
      <c r="L274" s="39">
        <v>8</v>
      </c>
      <c r="M274" s="39"/>
      <c r="N274" s="40" t="s">
        <v>174</v>
      </c>
      <c r="O274" s="39"/>
      <c r="P274" s="39"/>
      <c r="Q274" s="39"/>
      <c r="R274" s="40" t="s">
        <v>173</v>
      </c>
      <c r="S274" s="41"/>
      <c r="T274" s="41"/>
      <c r="U274" s="41"/>
      <c r="V274" s="41"/>
      <c r="W274" s="41"/>
      <c r="X274" s="42" t="str">
        <f t="shared" si="147"/>
        <v>НКНбд</v>
      </c>
      <c r="Y274" s="39" t="s">
        <v>161</v>
      </c>
      <c r="Z274" s="39"/>
      <c r="AA274" s="39">
        <v>1</v>
      </c>
      <c r="AB274" s="42">
        <f t="shared" si="148"/>
        <v>13</v>
      </c>
      <c r="AC274" s="125">
        <v>10</v>
      </c>
      <c r="AD274" s="124">
        <v>3</v>
      </c>
      <c r="AE274" s="44">
        <f t="shared" si="149"/>
        <v>1</v>
      </c>
      <c r="AF274" s="45">
        <f t="shared" si="150"/>
        <v>1</v>
      </c>
      <c r="AG274" s="45">
        <f t="shared" si="151"/>
        <v>13</v>
      </c>
      <c r="AH274" s="46" t="s">
        <v>82</v>
      </c>
      <c r="AI274" s="40" t="s">
        <v>83</v>
      </c>
      <c r="AJ274" s="40" t="s">
        <v>84</v>
      </c>
      <c r="AK274" s="47" t="s">
        <v>97</v>
      </c>
      <c r="AL274" s="40"/>
      <c r="AM274" s="48">
        <f t="shared" si="152"/>
        <v>0</v>
      </c>
      <c r="AN274" s="48">
        <f t="shared" si="153"/>
        <v>0</v>
      </c>
      <c r="AO274" s="48">
        <f t="shared" si="154"/>
        <v>0</v>
      </c>
      <c r="AP274" s="48">
        <f t="shared" si="155"/>
        <v>0</v>
      </c>
      <c r="AQ274" s="48">
        <f t="shared" si="156"/>
        <v>0</v>
      </c>
      <c r="AR274" s="48">
        <f t="shared" si="157"/>
        <v>0</v>
      </c>
      <c r="AS274" s="48">
        <f t="shared" si="158"/>
        <v>0</v>
      </c>
      <c r="AT274" s="48">
        <f t="shared" si="159"/>
        <v>0</v>
      </c>
      <c r="AU274" s="48">
        <f t="shared" si="160"/>
        <v>0</v>
      </c>
      <c r="AV274" s="48">
        <f t="shared" si="161"/>
        <v>0</v>
      </c>
      <c r="AW274" s="48">
        <f>IF(N274="ПП",РПП*AB274*(V274/1.5),IF(N274="ВП",ВПр*AB274*(V274/1.5),IF(N274="РПА",РПА*AB274*(V274/1.5),IF(N274="КПА",кпа*AB274*(V274/1.5),0))))</f>
        <v>0</v>
      </c>
      <c r="AX274" s="48">
        <f t="shared" si="162"/>
        <v>0</v>
      </c>
      <c r="AY274" s="48">
        <f t="shared" si="163"/>
        <v>0</v>
      </c>
      <c r="AZ274" s="48">
        <f t="shared" si="164"/>
        <v>0</v>
      </c>
      <c r="BA274" s="48">
        <f t="shared" si="165"/>
        <v>0</v>
      </c>
      <c r="BB274" s="48">
        <f t="shared" si="166"/>
        <v>0</v>
      </c>
      <c r="BC274" s="48">
        <f t="shared" si="167"/>
        <v>0</v>
      </c>
      <c r="BD274" s="48">
        <f t="shared" si="168"/>
        <v>26</v>
      </c>
      <c r="BE274" s="48">
        <f t="shared" si="169"/>
        <v>0</v>
      </c>
      <c r="BF274" s="49">
        <f t="shared" si="170"/>
        <v>26</v>
      </c>
      <c r="BG274" s="50"/>
      <c r="BH274" s="51">
        <f t="shared" si="171"/>
        <v>0</v>
      </c>
      <c r="BI274" s="51">
        <f t="shared" si="172"/>
        <v>0</v>
      </c>
      <c r="BJ274" s="51">
        <f t="shared" si="173"/>
        <v>0</v>
      </c>
      <c r="BK274" s="52">
        <f t="shared" si="174"/>
        <v>0</v>
      </c>
      <c r="BL274" s="52">
        <f t="shared" si="175"/>
        <v>0</v>
      </c>
      <c r="BM274" s="52">
        <f t="shared" si="176"/>
        <v>26</v>
      </c>
    </row>
    <row r="275" spans="1:65" ht="30" customHeight="1" x14ac:dyDescent="0.25">
      <c r="A275" s="31" t="str">
        <f t="shared" si="142"/>
        <v>Д</v>
      </c>
      <c r="B275" s="31" t="str">
        <f t="shared" si="143"/>
        <v>Б</v>
      </c>
      <c r="C275" s="32" t="s">
        <v>198</v>
      </c>
      <c r="D275" s="33" t="str">
        <f t="shared" si="144"/>
        <v>Факультет физико-математических и естественных наук</v>
      </c>
      <c r="E275" s="34" t="str">
        <f t="shared" si="145"/>
        <v>'02.03.01</v>
      </c>
      <c r="F275" s="35" t="str">
        <f t="shared" si="146"/>
        <v>Математика и компьютерные науки</v>
      </c>
      <c r="G275" s="36" t="s">
        <v>166</v>
      </c>
      <c r="H275" s="36" t="s">
        <v>77</v>
      </c>
      <c r="I275" s="37"/>
      <c r="J275" s="37"/>
      <c r="K275" s="38" t="s">
        <v>175</v>
      </c>
      <c r="L275" s="39">
        <v>8</v>
      </c>
      <c r="M275" s="39"/>
      <c r="N275" s="40" t="s">
        <v>176</v>
      </c>
      <c r="O275" s="39"/>
      <c r="P275" s="39"/>
      <c r="Q275" s="39"/>
      <c r="R275" s="40"/>
      <c r="S275" s="41"/>
      <c r="T275" s="41"/>
      <c r="U275" s="41"/>
      <c r="V275" s="41"/>
      <c r="W275" s="41"/>
      <c r="X275" s="42" t="str">
        <f t="shared" si="147"/>
        <v>НКНбд</v>
      </c>
      <c r="Y275" s="39" t="s">
        <v>161</v>
      </c>
      <c r="Z275" s="39"/>
      <c r="AA275" s="39">
        <v>1</v>
      </c>
      <c r="AB275" s="42">
        <f t="shared" si="148"/>
        <v>13</v>
      </c>
      <c r="AC275" s="125">
        <v>10</v>
      </c>
      <c r="AD275" s="124">
        <v>3</v>
      </c>
      <c r="AE275" s="44">
        <f t="shared" si="149"/>
        <v>24</v>
      </c>
      <c r="AF275" s="45">
        <f t="shared" si="150"/>
        <v>0.54166666666666663</v>
      </c>
      <c r="AG275" s="45">
        <f t="shared" si="151"/>
        <v>0.54166666666666663</v>
      </c>
      <c r="AH275" s="46" t="s">
        <v>82</v>
      </c>
      <c r="AI275" s="40" t="s">
        <v>83</v>
      </c>
      <c r="AJ275" s="40" t="s">
        <v>84</v>
      </c>
      <c r="AK275" s="47" t="s">
        <v>93</v>
      </c>
      <c r="AL275" s="40"/>
      <c r="AM275" s="48">
        <f t="shared" si="152"/>
        <v>0</v>
      </c>
      <c r="AN275" s="48">
        <f t="shared" si="153"/>
        <v>0</v>
      </c>
      <c r="AO275" s="48">
        <f t="shared" si="154"/>
        <v>0</v>
      </c>
      <c r="AP275" s="48">
        <f t="shared" si="155"/>
        <v>0</v>
      </c>
      <c r="AQ275" s="48">
        <f t="shared" si="156"/>
        <v>0</v>
      </c>
      <c r="AR275" s="48">
        <f t="shared" si="157"/>
        <v>0</v>
      </c>
      <c r="AS275" s="48">
        <f t="shared" si="158"/>
        <v>0</v>
      </c>
      <c r="AT275" s="48">
        <f t="shared" si="159"/>
        <v>0</v>
      </c>
      <c r="AU275" s="48">
        <f t="shared" si="160"/>
        <v>0</v>
      </c>
      <c r="AV275" s="48">
        <f t="shared" si="161"/>
        <v>0</v>
      </c>
      <c r="AW275" s="48">
        <f>IF(N275="ПП",РПП*AB275*(V275/1.5),IF(N275="ВП",ВПр*AB275*(V275/1.5),IF(N275="РПА",РПА*AB275*(V275/1.5),IF(N275="КПА",кпа*AB275*(V275/1.5),0))))</f>
        <v>0</v>
      </c>
      <c r="AX275" s="48">
        <f t="shared" si="162"/>
        <v>0</v>
      </c>
      <c r="AY275" s="48">
        <f t="shared" si="163"/>
        <v>0</v>
      </c>
      <c r="AZ275" s="48">
        <f t="shared" si="164"/>
        <v>0</v>
      </c>
      <c r="BA275" s="48">
        <f t="shared" si="165"/>
        <v>0</v>
      </c>
      <c r="BB275" s="48">
        <f t="shared" si="166"/>
        <v>0</v>
      </c>
      <c r="BC275" s="48">
        <f t="shared" si="167"/>
        <v>0</v>
      </c>
      <c r="BD275" s="48">
        <f t="shared" si="168"/>
        <v>0</v>
      </c>
      <c r="BE275" s="48">
        <f t="shared" si="169"/>
        <v>1.0833333333333333</v>
      </c>
      <c r="BF275" s="49">
        <f t="shared" si="170"/>
        <v>1.0833333333333333</v>
      </c>
      <c r="BG275" s="50"/>
      <c r="BH275" s="51">
        <f t="shared" si="171"/>
        <v>0</v>
      </c>
      <c r="BI275" s="51">
        <f t="shared" si="172"/>
        <v>0</v>
      </c>
      <c r="BJ275" s="51">
        <f t="shared" si="173"/>
        <v>0</v>
      </c>
      <c r="BK275" s="52">
        <f t="shared" si="174"/>
        <v>0</v>
      </c>
      <c r="BL275" s="52">
        <f t="shared" si="175"/>
        <v>0</v>
      </c>
      <c r="BM275" s="52">
        <f t="shared" si="176"/>
        <v>1.0833333333333333</v>
      </c>
    </row>
    <row r="276" spans="1:65" ht="30" customHeight="1" x14ac:dyDescent="0.25">
      <c r="A276" s="31" t="str">
        <f t="shared" si="142"/>
        <v>Д</v>
      </c>
      <c r="B276" s="31" t="str">
        <f t="shared" si="143"/>
        <v>Б</v>
      </c>
      <c r="C276" s="32" t="s">
        <v>198</v>
      </c>
      <c r="D276" s="33" t="str">
        <f t="shared" si="144"/>
        <v>Факультет физико-математических и естественных наук</v>
      </c>
      <c r="E276" s="34" t="str">
        <f t="shared" si="145"/>
        <v>'02.03.01</v>
      </c>
      <c r="F276" s="35" t="str">
        <f t="shared" si="146"/>
        <v>Математика и компьютерные науки</v>
      </c>
      <c r="G276" s="36" t="s">
        <v>166</v>
      </c>
      <c r="H276" s="36" t="s">
        <v>77</v>
      </c>
      <c r="I276" s="37"/>
      <c r="J276" s="37"/>
      <c r="K276" s="38" t="s">
        <v>177</v>
      </c>
      <c r="L276" s="39">
        <v>8</v>
      </c>
      <c r="M276" s="39"/>
      <c r="N276" s="40" t="s">
        <v>181</v>
      </c>
      <c r="O276" s="39"/>
      <c r="P276" s="39"/>
      <c r="Q276" s="39"/>
      <c r="R276" s="40"/>
      <c r="S276" s="41"/>
      <c r="T276" s="41"/>
      <c r="U276" s="41"/>
      <c r="V276" s="41"/>
      <c r="W276" s="41"/>
      <c r="X276" s="42" t="str">
        <f t="shared" si="147"/>
        <v>НКНбд</v>
      </c>
      <c r="Y276" s="39" t="s">
        <v>161</v>
      </c>
      <c r="Z276" s="39"/>
      <c r="AA276" s="39">
        <v>1</v>
      </c>
      <c r="AB276" s="42">
        <f t="shared" si="148"/>
        <v>13</v>
      </c>
      <c r="AC276" s="125">
        <v>10</v>
      </c>
      <c r="AD276" s="124">
        <v>3</v>
      </c>
      <c r="AE276" s="44">
        <f t="shared" si="149"/>
        <v>1</v>
      </c>
      <c r="AF276" s="45">
        <f t="shared" si="150"/>
        <v>1</v>
      </c>
      <c r="AG276" s="45">
        <f t="shared" si="151"/>
        <v>13</v>
      </c>
      <c r="AH276" s="46" t="s">
        <v>82</v>
      </c>
      <c r="AI276" s="40" t="s">
        <v>83</v>
      </c>
      <c r="AJ276" s="40" t="s">
        <v>84</v>
      </c>
      <c r="AK276" s="47" t="s">
        <v>93</v>
      </c>
      <c r="AL276" s="40"/>
      <c r="AM276" s="48">
        <f t="shared" si="152"/>
        <v>0</v>
      </c>
      <c r="AN276" s="48">
        <f t="shared" si="153"/>
        <v>0</v>
      </c>
      <c r="AO276" s="48">
        <f t="shared" si="154"/>
        <v>0</v>
      </c>
      <c r="AP276" s="48">
        <f t="shared" si="155"/>
        <v>0</v>
      </c>
      <c r="AQ276" s="48">
        <f t="shared" si="156"/>
        <v>0</v>
      </c>
      <c r="AR276" s="48">
        <f t="shared" si="157"/>
        <v>0</v>
      </c>
      <c r="AS276" s="48">
        <f t="shared" si="158"/>
        <v>0</v>
      </c>
      <c r="AT276" s="48">
        <f t="shared" si="159"/>
        <v>0</v>
      </c>
      <c r="AU276" s="48">
        <f t="shared" si="160"/>
        <v>0</v>
      </c>
      <c r="AV276" s="48">
        <f t="shared" si="161"/>
        <v>0</v>
      </c>
      <c r="AW276" s="48">
        <f>IF(N276="ПП",РПП*AB276*(V276/1.5),IF(N276="ВП",ВПр*AB276*(V276/1.5),IF(N276="РПА",РПА*AB276*(V276/1.5),IF(N276="КПА",кпа*AB276*(V276/1.5),0))))</f>
        <v>0</v>
      </c>
      <c r="AX276" s="48">
        <f t="shared" si="162"/>
        <v>0</v>
      </c>
      <c r="AY276" s="48">
        <f t="shared" si="163"/>
        <v>0</v>
      </c>
      <c r="AZ276" s="48">
        <f t="shared" si="164"/>
        <v>0</v>
      </c>
      <c r="BA276" s="48">
        <f t="shared" si="165"/>
        <v>0</v>
      </c>
      <c r="BB276" s="48">
        <f t="shared" si="166"/>
        <v>0</v>
      </c>
      <c r="BC276" s="48">
        <f t="shared" si="167"/>
        <v>0</v>
      </c>
      <c r="BD276" s="48">
        <f t="shared" si="168"/>
        <v>0</v>
      </c>
      <c r="BE276" s="48">
        <f t="shared" si="169"/>
        <v>6.5</v>
      </c>
      <c r="BF276" s="49">
        <f t="shared" si="170"/>
        <v>6.5</v>
      </c>
      <c r="BG276" s="50"/>
      <c r="BH276" s="51">
        <f t="shared" si="171"/>
        <v>0</v>
      </c>
      <c r="BI276" s="51">
        <f t="shared" si="172"/>
        <v>0</v>
      </c>
      <c r="BJ276" s="51">
        <f t="shared" si="173"/>
        <v>0</v>
      </c>
      <c r="BK276" s="52">
        <f t="shared" si="174"/>
        <v>0</v>
      </c>
      <c r="BL276" s="52">
        <f t="shared" si="175"/>
        <v>0</v>
      </c>
      <c r="BM276" s="52">
        <f t="shared" si="176"/>
        <v>6.5</v>
      </c>
    </row>
    <row r="277" spans="1:65" ht="30" customHeight="1" x14ac:dyDescent="0.25">
      <c r="A277" s="31" t="str">
        <f t="shared" si="142"/>
        <v>Д</v>
      </c>
      <c r="B277" s="31" t="str">
        <f t="shared" si="143"/>
        <v>Б</v>
      </c>
      <c r="C277" s="32" t="s">
        <v>211</v>
      </c>
      <c r="D277" s="33" t="str">
        <f t="shared" si="144"/>
        <v>Факультет физико-математических и естественных наук</v>
      </c>
      <c r="E277" s="34" t="str">
        <f t="shared" si="145"/>
        <v>'02.03.02</v>
      </c>
      <c r="F277" s="35" t="str">
        <f t="shared" si="146"/>
        <v>Фундаментальная информатика и информационные технологии</v>
      </c>
      <c r="G277" s="36" t="s">
        <v>76</v>
      </c>
      <c r="H277" s="36" t="s">
        <v>183</v>
      </c>
      <c r="I277" s="37"/>
      <c r="J277" s="37"/>
      <c r="K277" s="38" t="s">
        <v>125</v>
      </c>
      <c r="L277" s="39">
        <v>5</v>
      </c>
      <c r="M277" s="39">
        <v>18</v>
      </c>
      <c r="N277" s="40" t="s">
        <v>79</v>
      </c>
      <c r="O277" s="39">
        <v>1</v>
      </c>
      <c r="P277" s="39"/>
      <c r="Q277" s="39"/>
      <c r="R277" s="40" t="s">
        <v>80</v>
      </c>
      <c r="S277" s="41"/>
      <c r="T277" s="41"/>
      <c r="U277" s="41"/>
      <c r="V277" s="41"/>
      <c r="W277" s="41"/>
      <c r="X277" s="42" t="str">
        <f t="shared" si="147"/>
        <v>НФИбд</v>
      </c>
      <c r="Y277" s="39" t="s">
        <v>212</v>
      </c>
      <c r="Z277" s="39">
        <v>4</v>
      </c>
      <c r="AA277" s="39">
        <v>2</v>
      </c>
      <c r="AB277" s="42">
        <f t="shared" si="148"/>
        <v>56</v>
      </c>
      <c r="AC277" s="39">
        <v>41</v>
      </c>
      <c r="AD277" s="39">
        <v>15</v>
      </c>
      <c r="AE277" s="44">
        <f t="shared" si="149"/>
        <v>56</v>
      </c>
      <c r="AF277" s="45">
        <f t="shared" si="150"/>
        <v>1</v>
      </c>
      <c r="AG277" s="45">
        <f t="shared" si="151"/>
        <v>1</v>
      </c>
      <c r="AH277" s="46" t="s">
        <v>82</v>
      </c>
      <c r="AI277" s="40" t="s">
        <v>83</v>
      </c>
      <c r="AJ277" s="40" t="s">
        <v>84</v>
      </c>
      <c r="AK277" s="47" t="s">
        <v>127</v>
      </c>
      <c r="AL277" s="40"/>
      <c r="AM277" s="48">
        <f t="shared" si="152"/>
        <v>18</v>
      </c>
      <c r="AN277" s="48">
        <f t="shared" si="153"/>
        <v>0</v>
      </c>
      <c r="AO277" s="48">
        <f t="shared" si="154"/>
        <v>0</v>
      </c>
      <c r="AP277" s="48">
        <f t="shared" si="155"/>
        <v>18.48</v>
      </c>
      <c r="AQ277" s="48">
        <f t="shared" si="156"/>
        <v>28</v>
      </c>
      <c r="AR277" s="48">
        <f t="shared" si="157"/>
        <v>2</v>
      </c>
      <c r="AS277" s="48">
        <f t="shared" si="158"/>
        <v>1.8</v>
      </c>
      <c r="AT277" s="48">
        <f t="shared" si="159"/>
        <v>0</v>
      </c>
      <c r="AU277" s="48">
        <f t="shared" si="160"/>
        <v>0</v>
      </c>
      <c r="AV277" s="48">
        <f t="shared" si="161"/>
        <v>0</v>
      </c>
      <c r="AW277" s="48">
        <f>IF(N277="ПП",РПП*AB277*(V277/1.5),IF(N277="ВП",ВПр*AB277*(V277/1.5),IF(N277="РПА",РПА*AB277*(V277/1.5),IF(N277="КПА",кпа*AB277*(V277/1.5),0))))</f>
        <v>0</v>
      </c>
      <c r="AX277" s="48">
        <f t="shared" si="162"/>
        <v>0</v>
      </c>
      <c r="AY277" s="48">
        <f t="shared" si="163"/>
        <v>0</v>
      </c>
      <c r="AZ277" s="48">
        <f t="shared" si="164"/>
        <v>0</v>
      </c>
      <c r="BA277" s="48">
        <f t="shared" si="165"/>
        <v>0</v>
      </c>
      <c r="BB277" s="48">
        <f t="shared" si="166"/>
        <v>0</v>
      </c>
      <c r="BC277" s="48">
        <f t="shared" si="167"/>
        <v>0</v>
      </c>
      <c r="BD277" s="48">
        <f t="shared" si="168"/>
        <v>0</v>
      </c>
      <c r="BE277" s="48">
        <f t="shared" si="169"/>
        <v>0</v>
      </c>
      <c r="BF277" s="49">
        <f t="shared" si="170"/>
        <v>68.28</v>
      </c>
      <c r="BG277" s="50"/>
      <c r="BH277" s="51">
        <f t="shared" si="171"/>
        <v>18</v>
      </c>
      <c r="BI277" s="51">
        <f t="shared" si="172"/>
        <v>0.5</v>
      </c>
      <c r="BJ277" s="51">
        <f t="shared" si="173"/>
        <v>50.28</v>
      </c>
      <c r="BK277" s="52">
        <f t="shared" si="174"/>
        <v>0</v>
      </c>
      <c r="BL277" s="52">
        <f t="shared" si="175"/>
        <v>0</v>
      </c>
      <c r="BM277" s="52">
        <f t="shared" si="176"/>
        <v>0</v>
      </c>
    </row>
    <row r="278" spans="1:65" ht="30" customHeight="1" x14ac:dyDescent="0.25">
      <c r="A278" s="31" t="str">
        <f t="shared" si="142"/>
        <v>Д</v>
      </c>
      <c r="B278" s="31" t="str">
        <f t="shared" si="143"/>
        <v>Б</v>
      </c>
      <c r="C278" s="32" t="s">
        <v>211</v>
      </c>
      <c r="D278" s="33" t="str">
        <f t="shared" si="144"/>
        <v>Факультет физико-математических и естественных наук</v>
      </c>
      <c r="E278" s="34" t="str">
        <f t="shared" si="145"/>
        <v>'02.03.02</v>
      </c>
      <c r="F278" s="35" t="str">
        <f t="shared" si="146"/>
        <v>Фундаментальная информатика и информационные технологии</v>
      </c>
      <c r="G278" s="36" t="s">
        <v>76</v>
      </c>
      <c r="H278" s="36" t="s">
        <v>183</v>
      </c>
      <c r="I278" s="37"/>
      <c r="J278" s="37"/>
      <c r="K278" s="38" t="s">
        <v>125</v>
      </c>
      <c r="L278" s="39">
        <v>5</v>
      </c>
      <c r="M278" s="39">
        <v>18</v>
      </c>
      <c r="N278" s="40" t="s">
        <v>94</v>
      </c>
      <c r="O278" s="39"/>
      <c r="P278" s="39">
        <v>2</v>
      </c>
      <c r="Q278" s="39"/>
      <c r="R278" s="40"/>
      <c r="S278" s="41"/>
      <c r="T278" s="41"/>
      <c r="U278" s="41"/>
      <c r="V278" s="41"/>
      <c r="W278" s="41"/>
      <c r="X278" s="42" t="str">
        <f t="shared" si="147"/>
        <v>НФИбд</v>
      </c>
      <c r="Y278" s="39" t="s">
        <v>128</v>
      </c>
      <c r="Z278" s="39">
        <v>1</v>
      </c>
      <c r="AA278" s="39">
        <v>1</v>
      </c>
      <c r="AB278" s="42">
        <f t="shared" si="148"/>
        <v>28</v>
      </c>
      <c r="AC278" s="39">
        <v>21</v>
      </c>
      <c r="AD278" s="39">
        <v>7</v>
      </c>
      <c r="AE278" s="44">
        <f t="shared" si="149"/>
        <v>12</v>
      </c>
      <c r="AF278" s="45">
        <f t="shared" si="150"/>
        <v>1</v>
      </c>
      <c r="AG278" s="45">
        <f t="shared" si="151"/>
        <v>2.3333333333333335</v>
      </c>
      <c r="AH278" s="46" t="s">
        <v>82</v>
      </c>
      <c r="AI278" s="40" t="s">
        <v>83</v>
      </c>
      <c r="AJ278" s="40" t="s">
        <v>84</v>
      </c>
      <c r="AK278" s="47" t="s">
        <v>127</v>
      </c>
      <c r="AL278" s="40"/>
      <c r="AM278" s="48">
        <f t="shared" si="152"/>
        <v>0</v>
      </c>
      <c r="AN278" s="48">
        <f t="shared" si="153"/>
        <v>0</v>
      </c>
      <c r="AO278" s="48">
        <f t="shared" si="154"/>
        <v>36</v>
      </c>
      <c r="AP278" s="48">
        <f t="shared" si="155"/>
        <v>0</v>
      </c>
      <c r="AQ278" s="48">
        <f t="shared" si="156"/>
        <v>0</v>
      </c>
      <c r="AR278" s="48">
        <f t="shared" si="157"/>
        <v>0</v>
      </c>
      <c r="AS278" s="48">
        <f t="shared" si="158"/>
        <v>0</v>
      </c>
      <c r="AT278" s="48">
        <f t="shared" si="159"/>
        <v>0</v>
      </c>
      <c r="AU278" s="48">
        <f t="shared" si="160"/>
        <v>0</v>
      </c>
      <c r="AV278" s="48">
        <f t="shared" si="161"/>
        <v>0</v>
      </c>
      <c r="AW278" s="48">
        <f>IF(N278="ПП",РПП*AB278*(V278/1.5),IF(N278="ВП",ВПр*AB278*(V278/1.5),IF(N278="РПА",РПА*AB278*(V278/1.5),IF(N278="КПА",кпа*AB278*(V278/1.5),0))))</f>
        <v>0</v>
      </c>
      <c r="AX278" s="48">
        <f t="shared" si="162"/>
        <v>0</v>
      </c>
      <c r="AY278" s="48">
        <f t="shared" si="163"/>
        <v>0</v>
      </c>
      <c r="AZ278" s="48">
        <f t="shared" si="164"/>
        <v>0</v>
      </c>
      <c r="BA278" s="48">
        <f t="shared" si="165"/>
        <v>0</v>
      </c>
      <c r="BB278" s="48">
        <f t="shared" si="166"/>
        <v>0</v>
      </c>
      <c r="BC278" s="48">
        <f t="shared" si="167"/>
        <v>0</v>
      </c>
      <c r="BD278" s="48">
        <f t="shared" si="168"/>
        <v>0</v>
      </c>
      <c r="BE278" s="48">
        <f t="shared" si="169"/>
        <v>0</v>
      </c>
      <c r="BF278" s="49">
        <f t="shared" si="170"/>
        <v>36</v>
      </c>
      <c r="BG278" s="50"/>
      <c r="BH278" s="51">
        <f t="shared" si="171"/>
        <v>36</v>
      </c>
      <c r="BI278" s="51">
        <f t="shared" si="172"/>
        <v>1</v>
      </c>
      <c r="BJ278" s="51">
        <f t="shared" si="173"/>
        <v>0</v>
      </c>
      <c r="BK278" s="52">
        <f t="shared" si="174"/>
        <v>0</v>
      </c>
      <c r="BL278" s="52">
        <f t="shared" si="175"/>
        <v>0</v>
      </c>
      <c r="BM278" s="52">
        <f t="shared" si="176"/>
        <v>0</v>
      </c>
    </row>
    <row r="279" spans="1:65" ht="30" customHeight="1" x14ac:dyDescent="0.25">
      <c r="A279" s="31" t="str">
        <f t="shared" si="142"/>
        <v>Д</v>
      </c>
      <c r="B279" s="31" t="str">
        <f t="shared" si="143"/>
        <v>Б</v>
      </c>
      <c r="C279" s="32" t="s">
        <v>211</v>
      </c>
      <c r="D279" s="33" t="str">
        <f t="shared" si="144"/>
        <v>Факультет физико-математических и естественных наук</v>
      </c>
      <c r="E279" s="34" t="str">
        <f t="shared" si="145"/>
        <v>'02.03.02</v>
      </c>
      <c r="F279" s="35" t="str">
        <f t="shared" si="146"/>
        <v>Фундаментальная информатика и информационные технологии</v>
      </c>
      <c r="G279" s="36" t="s">
        <v>76</v>
      </c>
      <c r="H279" s="36" t="s">
        <v>183</v>
      </c>
      <c r="I279" s="37"/>
      <c r="J279" s="37"/>
      <c r="K279" s="38" t="s">
        <v>125</v>
      </c>
      <c r="L279" s="39">
        <v>5</v>
      </c>
      <c r="M279" s="39">
        <v>18</v>
      </c>
      <c r="N279" s="40" t="s">
        <v>94</v>
      </c>
      <c r="O279" s="39"/>
      <c r="P279" s="39">
        <v>2</v>
      </c>
      <c r="Q279" s="39"/>
      <c r="R279" s="40"/>
      <c r="S279" s="41"/>
      <c r="T279" s="41"/>
      <c r="U279" s="41"/>
      <c r="V279" s="41"/>
      <c r="W279" s="41"/>
      <c r="X279" s="42" t="str">
        <f t="shared" si="147"/>
        <v>НФИбд</v>
      </c>
      <c r="Y279" s="39" t="s">
        <v>128</v>
      </c>
      <c r="Z279" s="39">
        <v>1</v>
      </c>
      <c r="AA279" s="39">
        <v>1</v>
      </c>
      <c r="AB279" s="42">
        <f t="shared" si="148"/>
        <v>0</v>
      </c>
      <c r="AC279" s="39"/>
      <c r="AD279" s="39"/>
      <c r="AE279" s="44">
        <f t="shared" si="149"/>
        <v>12</v>
      </c>
      <c r="AF279" s="45">
        <f t="shared" si="150"/>
        <v>0</v>
      </c>
      <c r="AG279" s="45">
        <f t="shared" si="151"/>
        <v>0</v>
      </c>
      <c r="AH279" s="46" t="s">
        <v>82</v>
      </c>
      <c r="AI279" s="40" t="s">
        <v>83</v>
      </c>
      <c r="AJ279" s="40" t="s">
        <v>84</v>
      </c>
      <c r="AK279" s="47" t="s">
        <v>127</v>
      </c>
      <c r="AL279" s="40"/>
      <c r="AM279" s="48">
        <f t="shared" si="152"/>
        <v>0</v>
      </c>
      <c r="AN279" s="48">
        <f t="shared" si="153"/>
        <v>0</v>
      </c>
      <c r="AO279" s="48">
        <f t="shared" si="154"/>
        <v>0</v>
      </c>
      <c r="AP279" s="48">
        <f t="shared" si="155"/>
        <v>0</v>
      </c>
      <c r="AQ279" s="48">
        <f t="shared" si="156"/>
        <v>0</v>
      </c>
      <c r="AR279" s="48">
        <f t="shared" si="157"/>
        <v>0</v>
      </c>
      <c r="AS279" s="48">
        <f t="shared" si="158"/>
        <v>0</v>
      </c>
      <c r="AT279" s="48">
        <f t="shared" si="159"/>
        <v>0</v>
      </c>
      <c r="AU279" s="48">
        <f t="shared" si="160"/>
        <v>0</v>
      </c>
      <c r="AV279" s="48">
        <f t="shared" si="161"/>
        <v>0</v>
      </c>
      <c r="AW279" s="48">
        <f>IF(N279="ПП",РПП*AB279*(V279/1.5),IF(N279="ВП",ВПр*AB279*(V279/1.5),IF(N279="РПА",РПА*AB279*(V279/1.5),IF(N279="КПА",кпа*AB279*(V279/1.5),0))))</f>
        <v>0</v>
      </c>
      <c r="AX279" s="48">
        <f t="shared" si="162"/>
        <v>0</v>
      </c>
      <c r="AY279" s="48">
        <f t="shared" si="163"/>
        <v>0</v>
      </c>
      <c r="AZ279" s="48">
        <f t="shared" si="164"/>
        <v>0</v>
      </c>
      <c r="BA279" s="48">
        <f t="shared" si="165"/>
        <v>0</v>
      </c>
      <c r="BB279" s="48">
        <f t="shared" si="166"/>
        <v>0</v>
      </c>
      <c r="BC279" s="48">
        <f t="shared" si="167"/>
        <v>0</v>
      </c>
      <c r="BD279" s="48">
        <f t="shared" si="168"/>
        <v>0</v>
      </c>
      <c r="BE279" s="48">
        <f t="shared" si="169"/>
        <v>0</v>
      </c>
      <c r="BF279" s="49">
        <f t="shared" si="170"/>
        <v>0</v>
      </c>
      <c r="BG279" s="50"/>
      <c r="BH279" s="51">
        <f t="shared" si="171"/>
        <v>0</v>
      </c>
      <c r="BI279" s="51">
        <f t="shared" si="172"/>
        <v>0</v>
      </c>
      <c r="BJ279" s="51">
        <f t="shared" si="173"/>
        <v>0</v>
      </c>
      <c r="BK279" s="52">
        <f t="shared" si="174"/>
        <v>0</v>
      </c>
      <c r="BL279" s="52">
        <f t="shared" si="175"/>
        <v>0</v>
      </c>
      <c r="BM279" s="52">
        <f t="shared" si="176"/>
        <v>0</v>
      </c>
    </row>
    <row r="280" spans="1:65" ht="30" customHeight="1" x14ac:dyDescent="0.25">
      <c r="A280" s="31" t="str">
        <f t="shared" si="142"/>
        <v>Д</v>
      </c>
      <c r="B280" s="31" t="str">
        <f t="shared" si="143"/>
        <v>Б</v>
      </c>
      <c r="C280" s="32" t="s">
        <v>211</v>
      </c>
      <c r="D280" s="33" t="str">
        <f t="shared" si="144"/>
        <v>Факультет физико-математических и естественных наук</v>
      </c>
      <c r="E280" s="34" t="str">
        <f t="shared" si="145"/>
        <v>'02.03.02</v>
      </c>
      <c r="F280" s="35" t="str">
        <f t="shared" si="146"/>
        <v>Фундаментальная информатика и информационные технологии</v>
      </c>
      <c r="G280" s="36" t="s">
        <v>76</v>
      </c>
      <c r="H280" s="36" t="s">
        <v>183</v>
      </c>
      <c r="I280" s="37"/>
      <c r="J280" s="37"/>
      <c r="K280" s="38" t="s">
        <v>125</v>
      </c>
      <c r="L280" s="39">
        <v>5</v>
      </c>
      <c r="M280" s="39">
        <v>18</v>
      </c>
      <c r="N280" s="40" t="s">
        <v>94</v>
      </c>
      <c r="O280" s="39"/>
      <c r="P280" s="39">
        <v>2</v>
      </c>
      <c r="Q280" s="39"/>
      <c r="R280" s="40"/>
      <c r="S280" s="41"/>
      <c r="T280" s="41"/>
      <c r="U280" s="41"/>
      <c r="V280" s="41"/>
      <c r="W280" s="41"/>
      <c r="X280" s="42" t="str">
        <f t="shared" si="147"/>
        <v>НФИбд</v>
      </c>
      <c r="Y280" s="39" t="s">
        <v>129</v>
      </c>
      <c r="Z280" s="39">
        <v>1</v>
      </c>
      <c r="AA280" s="39">
        <v>1</v>
      </c>
      <c r="AB280" s="42">
        <f t="shared" si="148"/>
        <v>28</v>
      </c>
      <c r="AC280" s="39">
        <v>20</v>
      </c>
      <c r="AD280" s="39">
        <v>8</v>
      </c>
      <c r="AE280" s="44">
        <f t="shared" si="149"/>
        <v>12</v>
      </c>
      <c r="AF280" s="45">
        <f t="shared" si="150"/>
        <v>1</v>
      </c>
      <c r="AG280" s="45">
        <f t="shared" si="151"/>
        <v>2.3333333333333335</v>
      </c>
      <c r="AH280" s="46" t="s">
        <v>82</v>
      </c>
      <c r="AI280" s="40" t="s">
        <v>99</v>
      </c>
      <c r="AJ280" s="40" t="s">
        <v>100</v>
      </c>
      <c r="AK280" s="47" t="s">
        <v>195</v>
      </c>
      <c r="AL280" s="40"/>
      <c r="AM280" s="48">
        <f t="shared" si="152"/>
        <v>0</v>
      </c>
      <c r="AN280" s="48">
        <f t="shared" si="153"/>
        <v>0</v>
      </c>
      <c r="AO280" s="48">
        <f t="shared" si="154"/>
        <v>36</v>
      </c>
      <c r="AP280" s="48">
        <f t="shared" si="155"/>
        <v>0</v>
      </c>
      <c r="AQ280" s="48">
        <f t="shared" si="156"/>
        <v>0</v>
      </c>
      <c r="AR280" s="48">
        <f t="shared" si="157"/>
        <v>0</v>
      </c>
      <c r="AS280" s="48">
        <f t="shared" si="158"/>
        <v>0</v>
      </c>
      <c r="AT280" s="48">
        <f t="shared" si="159"/>
        <v>0</v>
      </c>
      <c r="AU280" s="48">
        <f t="shared" si="160"/>
        <v>0</v>
      </c>
      <c r="AV280" s="48">
        <f t="shared" si="161"/>
        <v>0</v>
      </c>
      <c r="AW280" s="48">
        <f>IF(N280="ПП",РПП*AB280*(V280/1.5),IF(N280="ВП",ВПр*AB280*(V280/1.5),IF(N280="РПА",РПА*AB280*(V280/1.5),IF(N280="КПА",кпа*AB280*(V280/1.5),0))))</f>
        <v>0</v>
      </c>
      <c r="AX280" s="48">
        <f t="shared" si="162"/>
        <v>0</v>
      </c>
      <c r="AY280" s="48">
        <f t="shared" si="163"/>
        <v>0</v>
      </c>
      <c r="AZ280" s="48">
        <f t="shared" si="164"/>
        <v>0</v>
      </c>
      <c r="BA280" s="48">
        <f t="shared" si="165"/>
        <v>0</v>
      </c>
      <c r="BB280" s="48">
        <f t="shared" si="166"/>
        <v>0</v>
      </c>
      <c r="BC280" s="48">
        <f t="shared" si="167"/>
        <v>0</v>
      </c>
      <c r="BD280" s="48">
        <f t="shared" si="168"/>
        <v>0</v>
      </c>
      <c r="BE280" s="48">
        <f t="shared" si="169"/>
        <v>0</v>
      </c>
      <c r="BF280" s="49">
        <f t="shared" si="170"/>
        <v>36</v>
      </c>
      <c r="BG280" s="50"/>
      <c r="BH280" s="51">
        <f t="shared" si="171"/>
        <v>36</v>
      </c>
      <c r="BI280" s="51">
        <f t="shared" si="172"/>
        <v>1</v>
      </c>
      <c r="BJ280" s="51">
        <f t="shared" si="173"/>
        <v>0</v>
      </c>
      <c r="BK280" s="52">
        <f t="shared" si="174"/>
        <v>0</v>
      </c>
      <c r="BL280" s="52">
        <f t="shared" si="175"/>
        <v>0</v>
      </c>
      <c r="BM280" s="52">
        <f t="shared" si="176"/>
        <v>0</v>
      </c>
    </row>
    <row r="281" spans="1:65" ht="30" customHeight="1" x14ac:dyDescent="0.25">
      <c r="A281" s="31" t="str">
        <f t="shared" si="142"/>
        <v>Д</v>
      </c>
      <c r="B281" s="31" t="str">
        <f t="shared" si="143"/>
        <v>Б</v>
      </c>
      <c r="C281" s="32" t="s">
        <v>211</v>
      </c>
      <c r="D281" s="33" t="str">
        <f t="shared" si="144"/>
        <v>Факультет физико-математических и естественных наук</v>
      </c>
      <c r="E281" s="34" t="str">
        <f t="shared" si="145"/>
        <v>'02.03.02</v>
      </c>
      <c r="F281" s="35" t="str">
        <f t="shared" si="146"/>
        <v>Фундаментальная информатика и информационные технологии</v>
      </c>
      <c r="G281" s="36" t="s">
        <v>76</v>
      </c>
      <c r="H281" s="36" t="s">
        <v>183</v>
      </c>
      <c r="I281" s="37"/>
      <c r="J281" s="37"/>
      <c r="K281" s="38" t="s">
        <v>125</v>
      </c>
      <c r="L281" s="39">
        <v>5</v>
      </c>
      <c r="M281" s="39">
        <v>18</v>
      </c>
      <c r="N281" s="40" t="s">
        <v>94</v>
      </c>
      <c r="O281" s="39"/>
      <c r="P281" s="39">
        <v>2</v>
      </c>
      <c r="Q281" s="39"/>
      <c r="R281" s="40"/>
      <c r="S281" s="41"/>
      <c r="T281" s="41"/>
      <c r="U281" s="41"/>
      <c r="V281" s="41"/>
      <c r="W281" s="41"/>
      <c r="X281" s="42" t="str">
        <f t="shared" si="147"/>
        <v>НФИбд</v>
      </c>
      <c r="Y281" s="39" t="s">
        <v>129</v>
      </c>
      <c r="Z281" s="39">
        <v>1</v>
      </c>
      <c r="AA281" s="39">
        <v>1</v>
      </c>
      <c r="AB281" s="42">
        <f t="shared" si="148"/>
        <v>0</v>
      </c>
      <c r="AC281" s="39"/>
      <c r="AD281" s="39"/>
      <c r="AE281" s="44">
        <f t="shared" si="149"/>
        <v>12</v>
      </c>
      <c r="AF281" s="45">
        <f t="shared" si="150"/>
        <v>0</v>
      </c>
      <c r="AG281" s="45">
        <f t="shared" si="151"/>
        <v>0</v>
      </c>
      <c r="AH281" s="46" t="s">
        <v>82</v>
      </c>
      <c r="AI281" s="40" t="s">
        <v>99</v>
      </c>
      <c r="AJ281" s="40" t="s">
        <v>100</v>
      </c>
      <c r="AK281" s="47" t="s">
        <v>195</v>
      </c>
      <c r="AL281" s="40"/>
      <c r="AM281" s="48">
        <f t="shared" si="152"/>
        <v>0</v>
      </c>
      <c r="AN281" s="48">
        <f t="shared" si="153"/>
        <v>0</v>
      </c>
      <c r="AO281" s="48">
        <f t="shared" si="154"/>
        <v>0</v>
      </c>
      <c r="AP281" s="48">
        <f t="shared" si="155"/>
        <v>0</v>
      </c>
      <c r="AQ281" s="48">
        <f t="shared" si="156"/>
        <v>0</v>
      </c>
      <c r="AR281" s="48">
        <f t="shared" si="157"/>
        <v>0</v>
      </c>
      <c r="AS281" s="48">
        <f t="shared" si="158"/>
        <v>0</v>
      </c>
      <c r="AT281" s="48">
        <f t="shared" si="159"/>
        <v>0</v>
      </c>
      <c r="AU281" s="48">
        <f t="shared" si="160"/>
        <v>0</v>
      </c>
      <c r="AV281" s="48">
        <f t="shared" si="161"/>
        <v>0</v>
      </c>
      <c r="AW281" s="48">
        <f>IF(N281="ПП",РПП*AB281*(V281/1.5),IF(N281="ВП",ВПр*AB281*(V281/1.5),IF(N281="РПА",РПА*AB281*(V281/1.5),IF(N281="КПА",кпа*AB281*(V281/1.5),0))))</f>
        <v>0</v>
      </c>
      <c r="AX281" s="48">
        <f t="shared" si="162"/>
        <v>0</v>
      </c>
      <c r="AY281" s="48">
        <f t="shared" si="163"/>
        <v>0</v>
      </c>
      <c r="AZ281" s="48">
        <f t="shared" si="164"/>
        <v>0</v>
      </c>
      <c r="BA281" s="48">
        <f t="shared" si="165"/>
        <v>0</v>
      </c>
      <c r="BB281" s="48">
        <f t="shared" si="166"/>
        <v>0</v>
      </c>
      <c r="BC281" s="48">
        <f t="shared" si="167"/>
        <v>0</v>
      </c>
      <c r="BD281" s="48">
        <f t="shared" si="168"/>
        <v>0</v>
      </c>
      <c r="BE281" s="48">
        <f t="shared" si="169"/>
        <v>0</v>
      </c>
      <c r="BF281" s="49">
        <f t="shared" si="170"/>
        <v>0</v>
      </c>
      <c r="BG281" s="50"/>
      <c r="BH281" s="51">
        <f t="shared" si="171"/>
        <v>0</v>
      </c>
      <c r="BI281" s="51">
        <f t="shared" si="172"/>
        <v>0</v>
      </c>
      <c r="BJ281" s="51">
        <f t="shared" si="173"/>
        <v>0</v>
      </c>
      <c r="BK281" s="52">
        <f t="shared" si="174"/>
        <v>0</v>
      </c>
      <c r="BL281" s="52">
        <f t="shared" si="175"/>
        <v>0</v>
      </c>
      <c r="BM281" s="52">
        <f t="shared" si="176"/>
        <v>0</v>
      </c>
    </row>
    <row r="282" spans="1:65" ht="30" customHeight="1" x14ac:dyDescent="0.25">
      <c r="A282" s="31" t="str">
        <f t="shared" si="142"/>
        <v>Д</v>
      </c>
      <c r="B282" s="31" t="str">
        <f t="shared" si="143"/>
        <v>Б</v>
      </c>
      <c r="C282" s="32" t="s">
        <v>211</v>
      </c>
      <c r="D282" s="33" t="str">
        <f t="shared" si="144"/>
        <v>Факультет физико-математических и естественных наук</v>
      </c>
      <c r="E282" s="34" t="str">
        <f t="shared" si="145"/>
        <v>'02.03.02</v>
      </c>
      <c r="F282" s="35" t="str">
        <f t="shared" si="146"/>
        <v>Фундаментальная информатика и информационные технологии</v>
      </c>
      <c r="G282" s="36" t="s">
        <v>76</v>
      </c>
      <c r="H282" s="36" t="s">
        <v>183</v>
      </c>
      <c r="I282" s="37"/>
      <c r="J282" s="37"/>
      <c r="K282" s="38" t="s">
        <v>199</v>
      </c>
      <c r="L282" s="39">
        <v>5</v>
      </c>
      <c r="M282" s="39">
        <v>18</v>
      </c>
      <c r="N282" s="40" t="s">
        <v>79</v>
      </c>
      <c r="O282" s="39">
        <v>1</v>
      </c>
      <c r="P282" s="39"/>
      <c r="Q282" s="39"/>
      <c r="R282" s="40" t="s">
        <v>80</v>
      </c>
      <c r="S282" s="41"/>
      <c r="T282" s="41"/>
      <c r="U282" s="41"/>
      <c r="V282" s="41"/>
      <c r="W282" s="41"/>
      <c r="X282" s="42" t="str">
        <f t="shared" si="147"/>
        <v>НФИбд</v>
      </c>
      <c r="Y282" s="39" t="s">
        <v>212</v>
      </c>
      <c r="Z282" s="39">
        <v>4</v>
      </c>
      <c r="AA282" s="39">
        <v>2</v>
      </c>
      <c r="AB282" s="42">
        <f t="shared" si="148"/>
        <v>56</v>
      </c>
      <c r="AC282" s="39">
        <v>41</v>
      </c>
      <c r="AD282" s="39">
        <v>15</v>
      </c>
      <c r="AE282" s="44">
        <f t="shared" si="149"/>
        <v>56</v>
      </c>
      <c r="AF282" s="45">
        <f t="shared" si="150"/>
        <v>1</v>
      </c>
      <c r="AG282" s="45">
        <f t="shared" si="151"/>
        <v>1</v>
      </c>
      <c r="AH282" s="46" t="s">
        <v>82</v>
      </c>
      <c r="AI282" s="40" t="s">
        <v>83</v>
      </c>
      <c r="AJ282" s="40" t="s">
        <v>84</v>
      </c>
      <c r="AK282" s="47" t="s">
        <v>200</v>
      </c>
      <c r="AL282" s="40"/>
      <c r="AM282" s="48">
        <f t="shared" si="152"/>
        <v>18</v>
      </c>
      <c r="AN282" s="48">
        <f t="shared" si="153"/>
        <v>0</v>
      </c>
      <c r="AO282" s="48">
        <f t="shared" si="154"/>
        <v>0</v>
      </c>
      <c r="AP282" s="48">
        <f t="shared" si="155"/>
        <v>18.48</v>
      </c>
      <c r="AQ282" s="48">
        <f t="shared" si="156"/>
        <v>28</v>
      </c>
      <c r="AR282" s="48">
        <f t="shared" si="157"/>
        <v>2</v>
      </c>
      <c r="AS282" s="48">
        <f t="shared" si="158"/>
        <v>1.8</v>
      </c>
      <c r="AT282" s="48">
        <f t="shared" si="159"/>
        <v>0</v>
      </c>
      <c r="AU282" s="48">
        <f t="shared" si="160"/>
        <v>0</v>
      </c>
      <c r="AV282" s="48">
        <f t="shared" si="161"/>
        <v>0</v>
      </c>
      <c r="AW282" s="48">
        <f>IF(N282="ПП",РПП*AB282*(V282/1.5),IF(N282="ВП",ВПр*AB282*(V282/1.5),IF(N282="РПА",РПА*AB282*(V282/1.5),IF(N282="КПА",кпа*AB282*(V282/1.5),0))))</f>
        <v>0</v>
      </c>
      <c r="AX282" s="48">
        <f t="shared" si="162"/>
        <v>0</v>
      </c>
      <c r="AY282" s="48">
        <f t="shared" si="163"/>
        <v>0</v>
      </c>
      <c r="AZ282" s="48">
        <f t="shared" si="164"/>
        <v>0</v>
      </c>
      <c r="BA282" s="48">
        <f t="shared" si="165"/>
        <v>0</v>
      </c>
      <c r="BB282" s="48">
        <f t="shared" si="166"/>
        <v>0</v>
      </c>
      <c r="BC282" s="48">
        <f t="shared" si="167"/>
        <v>0</v>
      </c>
      <c r="BD282" s="48">
        <f t="shared" si="168"/>
        <v>0</v>
      </c>
      <c r="BE282" s="48">
        <f t="shared" si="169"/>
        <v>0</v>
      </c>
      <c r="BF282" s="49">
        <f t="shared" si="170"/>
        <v>68.28</v>
      </c>
      <c r="BG282" s="50"/>
      <c r="BH282" s="51">
        <f t="shared" si="171"/>
        <v>18</v>
      </c>
      <c r="BI282" s="51">
        <f t="shared" si="172"/>
        <v>0.5</v>
      </c>
      <c r="BJ282" s="51">
        <f t="shared" si="173"/>
        <v>50.28</v>
      </c>
      <c r="BK282" s="52">
        <f t="shared" si="174"/>
        <v>0</v>
      </c>
      <c r="BL282" s="52">
        <f t="shared" si="175"/>
        <v>0</v>
      </c>
      <c r="BM282" s="52">
        <f t="shared" si="176"/>
        <v>0</v>
      </c>
    </row>
    <row r="283" spans="1:65" ht="30" customHeight="1" x14ac:dyDescent="0.25">
      <c r="A283" s="31" t="str">
        <f t="shared" si="142"/>
        <v>Д</v>
      </c>
      <c r="B283" s="31" t="str">
        <f t="shared" si="143"/>
        <v>Б</v>
      </c>
      <c r="C283" s="32" t="s">
        <v>211</v>
      </c>
      <c r="D283" s="33" t="str">
        <f t="shared" si="144"/>
        <v>Факультет физико-математических и естественных наук</v>
      </c>
      <c r="E283" s="34" t="str">
        <f t="shared" si="145"/>
        <v>'02.03.02</v>
      </c>
      <c r="F283" s="35" t="str">
        <f t="shared" si="146"/>
        <v>Фундаментальная информатика и информационные технологии</v>
      </c>
      <c r="G283" s="36" t="s">
        <v>76</v>
      </c>
      <c r="H283" s="36" t="s">
        <v>183</v>
      </c>
      <c r="I283" s="37"/>
      <c r="J283" s="37"/>
      <c r="K283" s="38" t="s">
        <v>199</v>
      </c>
      <c r="L283" s="39">
        <v>5</v>
      </c>
      <c r="M283" s="39">
        <v>18</v>
      </c>
      <c r="N283" s="40" t="s">
        <v>94</v>
      </c>
      <c r="O283" s="39"/>
      <c r="P283" s="39">
        <v>2</v>
      </c>
      <c r="Q283" s="39"/>
      <c r="R283" s="40"/>
      <c r="S283" s="41"/>
      <c r="T283" s="41"/>
      <c r="U283" s="41"/>
      <c r="V283" s="41"/>
      <c r="W283" s="41"/>
      <c r="X283" s="42" t="str">
        <f t="shared" si="147"/>
        <v>НФИбд</v>
      </c>
      <c r="Y283" s="39" t="s">
        <v>128</v>
      </c>
      <c r="Z283" s="39">
        <v>1</v>
      </c>
      <c r="AA283" s="39">
        <v>1</v>
      </c>
      <c r="AB283" s="42">
        <f t="shared" si="148"/>
        <v>28</v>
      </c>
      <c r="AC283" s="39">
        <v>21</v>
      </c>
      <c r="AD283" s="39">
        <v>7</v>
      </c>
      <c r="AE283" s="44">
        <f t="shared" si="149"/>
        <v>12</v>
      </c>
      <c r="AF283" s="45">
        <f t="shared" si="150"/>
        <v>1</v>
      </c>
      <c r="AG283" s="45">
        <f t="shared" si="151"/>
        <v>2.3333333333333335</v>
      </c>
      <c r="AH283" s="46" t="s">
        <v>82</v>
      </c>
      <c r="AI283" s="40" t="s">
        <v>83</v>
      </c>
      <c r="AJ283" s="40" t="s">
        <v>84</v>
      </c>
      <c r="AK283" s="47" t="s">
        <v>200</v>
      </c>
      <c r="AL283" s="40"/>
      <c r="AM283" s="48">
        <f t="shared" si="152"/>
        <v>0</v>
      </c>
      <c r="AN283" s="48">
        <f t="shared" si="153"/>
        <v>0</v>
      </c>
      <c r="AO283" s="48">
        <f t="shared" si="154"/>
        <v>36</v>
      </c>
      <c r="AP283" s="48">
        <f t="shared" si="155"/>
        <v>0</v>
      </c>
      <c r="AQ283" s="48">
        <f t="shared" si="156"/>
        <v>0</v>
      </c>
      <c r="AR283" s="48">
        <f t="shared" si="157"/>
        <v>0</v>
      </c>
      <c r="AS283" s="48">
        <f t="shared" si="158"/>
        <v>0</v>
      </c>
      <c r="AT283" s="48">
        <f t="shared" si="159"/>
        <v>0</v>
      </c>
      <c r="AU283" s="48">
        <f t="shared" si="160"/>
        <v>0</v>
      </c>
      <c r="AV283" s="48">
        <f t="shared" si="161"/>
        <v>0</v>
      </c>
      <c r="AW283" s="48">
        <f>IF(N283="ПП",РПП*AB283*(V283/1.5),IF(N283="ВП",ВПр*AB283*(V283/1.5),IF(N283="РПА",РПА*AB283*(V283/1.5),IF(N283="КПА",кпа*AB283*(V283/1.5),0))))</f>
        <v>0</v>
      </c>
      <c r="AX283" s="48">
        <f t="shared" si="162"/>
        <v>0</v>
      </c>
      <c r="AY283" s="48">
        <f t="shared" si="163"/>
        <v>0</v>
      </c>
      <c r="AZ283" s="48">
        <f t="shared" si="164"/>
        <v>0</v>
      </c>
      <c r="BA283" s="48">
        <f t="shared" si="165"/>
        <v>0</v>
      </c>
      <c r="BB283" s="48">
        <f t="shared" si="166"/>
        <v>0</v>
      </c>
      <c r="BC283" s="48">
        <f t="shared" si="167"/>
        <v>0</v>
      </c>
      <c r="BD283" s="48">
        <f t="shared" si="168"/>
        <v>0</v>
      </c>
      <c r="BE283" s="48">
        <f t="shared" si="169"/>
        <v>0</v>
      </c>
      <c r="BF283" s="49">
        <f t="shared" si="170"/>
        <v>36</v>
      </c>
      <c r="BG283" s="50"/>
      <c r="BH283" s="51">
        <f t="shared" si="171"/>
        <v>36</v>
      </c>
      <c r="BI283" s="51">
        <f t="shared" si="172"/>
        <v>1</v>
      </c>
      <c r="BJ283" s="51">
        <f t="shared" si="173"/>
        <v>0</v>
      </c>
      <c r="BK283" s="52">
        <f t="shared" si="174"/>
        <v>0</v>
      </c>
      <c r="BL283" s="52">
        <f t="shared" si="175"/>
        <v>0</v>
      </c>
      <c r="BM283" s="52">
        <f t="shared" si="176"/>
        <v>0</v>
      </c>
    </row>
    <row r="284" spans="1:65" ht="30" customHeight="1" x14ac:dyDescent="0.25">
      <c r="A284" s="31" t="str">
        <f t="shared" si="142"/>
        <v>Д</v>
      </c>
      <c r="B284" s="31" t="str">
        <f t="shared" si="143"/>
        <v>Б</v>
      </c>
      <c r="C284" s="32" t="s">
        <v>211</v>
      </c>
      <c r="D284" s="33" t="str">
        <f t="shared" si="144"/>
        <v>Факультет физико-математических и естественных наук</v>
      </c>
      <c r="E284" s="34" t="str">
        <f t="shared" si="145"/>
        <v>'02.03.02</v>
      </c>
      <c r="F284" s="35" t="str">
        <f t="shared" si="146"/>
        <v>Фундаментальная информатика и информационные технологии</v>
      </c>
      <c r="G284" s="36" t="s">
        <v>76</v>
      </c>
      <c r="H284" s="36" t="s">
        <v>183</v>
      </c>
      <c r="I284" s="37"/>
      <c r="J284" s="37"/>
      <c r="K284" s="38" t="s">
        <v>199</v>
      </c>
      <c r="L284" s="39">
        <v>5</v>
      </c>
      <c r="M284" s="39">
        <v>18</v>
      </c>
      <c r="N284" s="40" t="s">
        <v>94</v>
      </c>
      <c r="O284" s="39"/>
      <c r="P284" s="39">
        <v>2</v>
      </c>
      <c r="Q284" s="39"/>
      <c r="R284" s="40"/>
      <c r="S284" s="41"/>
      <c r="T284" s="41"/>
      <c r="U284" s="41"/>
      <c r="V284" s="41"/>
      <c r="W284" s="41"/>
      <c r="X284" s="42" t="str">
        <f t="shared" si="147"/>
        <v>НФИбд</v>
      </c>
      <c r="Y284" s="39" t="s">
        <v>128</v>
      </c>
      <c r="Z284" s="39">
        <v>1</v>
      </c>
      <c r="AA284" s="39">
        <v>1</v>
      </c>
      <c r="AB284" s="42">
        <f t="shared" si="148"/>
        <v>0</v>
      </c>
      <c r="AC284" s="39"/>
      <c r="AD284" s="39"/>
      <c r="AE284" s="44">
        <f t="shared" si="149"/>
        <v>12</v>
      </c>
      <c r="AF284" s="45">
        <f t="shared" si="150"/>
        <v>0</v>
      </c>
      <c r="AG284" s="45">
        <f t="shared" si="151"/>
        <v>0</v>
      </c>
      <c r="AH284" s="46" t="s">
        <v>82</v>
      </c>
      <c r="AI284" s="40" t="s">
        <v>83</v>
      </c>
      <c r="AJ284" s="40" t="s">
        <v>84</v>
      </c>
      <c r="AK284" s="47" t="s">
        <v>200</v>
      </c>
      <c r="AL284" s="40"/>
      <c r="AM284" s="48">
        <f t="shared" si="152"/>
        <v>0</v>
      </c>
      <c r="AN284" s="48">
        <f t="shared" si="153"/>
        <v>0</v>
      </c>
      <c r="AO284" s="48">
        <f t="shared" si="154"/>
        <v>0</v>
      </c>
      <c r="AP284" s="48">
        <f t="shared" si="155"/>
        <v>0</v>
      </c>
      <c r="AQ284" s="48">
        <f t="shared" si="156"/>
        <v>0</v>
      </c>
      <c r="AR284" s="48">
        <f t="shared" si="157"/>
        <v>0</v>
      </c>
      <c r="AS284" s="48">
        <f t="shared" si="158"/>
        <v>0</v>
      </c>
      <c r="AT284" s="48">
        <f t="shared" si="159"/>
        <v>0</v>
      </c>
      <c r="AU284" s="48">
        <f t="shared" si="160"/>
        <v>0</v>
      </c>
      <c r="AV284" s="48">
        <f t="shared" si="161"/>
        <v>0</v>
      </c>
      <c r="AW284" s="48">
        <f>IF(N284="ПП",РПП*AB284*(V284/1.5),IF(N284="ВП",ВПр*AB284*(V284/1.5),IF(N284="РПА",РПА*AB284*(V284/1.5),IF(N284="КПА",кпа*AB284*(V284/1.5),0))))</f>
        <v>0</v>
      </c>
      <c r="AX284" s="48">
        <f t="shared" si="162"/>
        <v>0</v>
      </c>
      <c r="AY284" s="48">
        <f t="shared" si="163"/>
        <v>0</v>
      </c>
      <c r="AZ284" s="48">
        <f t="shared" si="164"/>
        <v>0</v>
      </c>
      <c r="BA284" s="48">
        <f t="shared" si="165"/>
        <v>0</v>
      </c>
      <c r="BB284" s="48">
        <f t="shared" si="166"/>
        <v>0</v>
      </c>
      <c r="BC284" s="48">
        <f t="shared" si="167"/>
        <v>0</v>
      </c>
      <c r="BD284" s="48">
        <f t="shared" si="168"/>
        <v>0</v>
      </c>
      <c r="BE284" s="48">
        <f t="shared" si="169"/>
        <v>0</v>
      </c>
      <c r="BF284" s="49">
        <f t="shared" si="170"/>
        <v>0</v>
      </c>
      <c r="BG284" s="50"/>
      <c r="BH284" s="51">
        <f t="shared" si="171"/>
        <v>0</v>
      </c>
      <c r="BI284" s="51">
        <f t="shared" si="172"/>
        <v>0</v>
      </c>
      <c r="BJ284" s="51">
        <f t="shared" si="173"/>
        <v>0</v>
      </c>
      <c r="BK284" s="52">
        <f t="shared" si="174"/>
        <v>0</v>
      </c>
      <c r="BL284" s="52">
        <f t="shared" si="175"/>
        <v>0</v>
      </c>
      <c r="BM284" s="52">
        <f t="shared" si="176"/>
        <v>0</v>
      </c>
    </row>
    <row r="285" spans="1:65" ht="30" customHeight="1" x14ac:dyDescent="0.25">
      <c r="A285" s="31" t="str">
        <f t="shared" si="142"/>
        <v>Д</v>
      </c>
      <c r="B285" s="31" t="str">
        <f t="shared" si="143"/>
        <v>Б</v>
      </c>
      <c r="C285" s="32" t="s">
        <v>211</v>
      </c>
      <c r="D285" s="33" t="str">
        <f t="shared" si="144"/>
        <v>Факультет физико-математических и естественных наук</v>
      </c>
      <c r="E285" s="34" t="str">
        <f t="shared" si="145"/>
        <v>'02.03.02</v>
      </c>
      <c r="F285" s="35" t="str">
        <f t="shared" si="146"/>
        <v>Фундаментальная информатика и информационные технологии</v>
      </c>
      <c r="G285" s="36" t="s">
        <v>76</v>
      </c>
      <c r="H285" s="36" t="s">
        <v>183</v>
      </c>
      <c r="I285" s="37"/>
      <c r="J285" s="37"/>
      <c r="K285" s="38" t="s">
        <v>199</v>
      </c>
      <c r="L285" s="39">
        <v>5</v>
      </c>
      <c r="M285" s="39">
        <v>18</v>
      </c>
      <c r="N285" s="40" t="s">
        <v>94</v>
      </c>
      <c r="O285" s="39"/>
      <c r="P285" s="39">
        <v>2</v>
      </c>
      <c r="Q285" s="39"/>
      <c r="R285" s="40"/>
      <c r="S285" s="41"/>
      <c r="T285" s="41"/>
      <c r="U285" s="41"/>
      <c r="V285" s="41"/>
      <c r="W285" s="41"/>
      <c r="X285" s="42" t="str">
        <f t="shared" si="147"/>
        <v>НФИбд</v>
      </c>
      <c r="Y285" s="39" t="s">
        <v>129</v>
      </c>
      <c r="Z285" s="39">
        <v>1</v>
      </c>
      <c r="AA285" s="39">
        <v>1</v>
      </c>
      <c r="AB285" s="42">
        <f t="shared" si="148"/>
        <v>28</v>
      </c>
      <c r="AC285" s="39">
        <v>20</v>
      </c>
      <c r="AD285" s="39">
        <v>8</v>
      </c>
      <c r="AE285" s="44">
        <f t="shared" si="149"/>
        <v>12</v>
      </c>
      <c r="AF285" s="45">
        <f t="shared" si="150"/>
        <v>1</v>
      </c>
      <c r="AG285" s="45">
        <f t="shared" si="151"/>
        <v>2.3333333333333335</v>
      </c>
      <c r="AH285" s="46" t="s">
        <v>82</v>
      </c>
      <c r="AI285" s="40" t="s">
        <v>83</v>
      </c>
      <c r="AJ285" s="40" t="s">
        <v>84</v>
      </c>
      <c r="AK285" s="47" t="s">
        <v>200</v>
      </c>
      <c r="AL285" s="40"/>
      <c r="AM285" s="48">
        <f t="shared" si="152"/>
        <v>0</v>
      </c>
      <c r="AN285" s="48">
        <f t="shared" si="153"/>
        <v>0</v>
      </c>
      <c r="AO285" s="48">
        <f t="shared" si="154"/>
        <v>36</v>
      </c>
      <c r="AP285" s="48">
        <f t="shared" si="155"/>
        <v>0</v>
      </c>
      <c r="AQ285" s="48">
        <f t="shared" si="156"/>
        <v>0</v>
      </c>
      <c r="AR285" s="48">
        <f t="shared" si="157"/>
        <v>0</v>
      </c>
      <c r="AS285" s="48">
        <f t="shared" si="158"/>
        <v>0</v>
      </c>
      <c r="AT285" s="48">
        <f t="shared" si="159"/>
        <v>0</v>
      </c>
      <c r="AU285" s="48">
        <f t="shared" si="160"/>
        <v>0</v>
      </c>
      <c r="AV285" s="48">
        <f t="shared" si="161"/>
        <v>0</v>
      </c>
      <c r="AW285" s="48">
        <f>IF(N285="ПП",РПП*AB285*(V285/1.5),IF(N285="ВП",ВПр*AB285*(V285/1.5),IF(N285="РПА",РПА*AB285*(V285/1.5),IF(N285="КПА",кпа*AB285*(V285/1.5),0))))</f>
        <v>0</v>
      </c>
      <c r="AX285" s="48">
        <f t="shared" si="162"/>
        <v>0</v>
      </c>
      <c r="AY285" s="48">
        <f t="shared" si="163"/>
        <v>0</v>
      </c>
      <c r="AZ285" s="48">
        <f t="shared" si="164"/>
        <v>0</v>
      </c>
      <c r="BA285" s="48">
        <f t="shared" si="165"/>
        <v>0</v>
      </c>
      <c r="BB285" s="48">
        <f t="shared" si="166"/>
        <v>0</v>
      </c>
      <c r="BC285" s="48">
        <f t="shared" si="167"/>
        <v>0</v>
      </c>
      <c r="BD285" s="48">
        <f t="shared" si="168"/>
        <v>0</v>
      </c>
      <c r="BE285" s="48">
        <f t="shared" si="169"/>
        <v>0</v>
      </c>
      <c r="BF285" s="49">
        <f t="shared" si="170"/>
        <v>36</v>
      </c>
      <c r="BG285" s="50"/>
      <c r="BH285" s="51">
        <f t="shared" si="171"/>
        <v>36</v>
      </c>
      <c r="BI285" s="51">
        <f t="shared" si="172"/>
        <v>1</v>
      </c>
      <c r="BJ285" s="51">
        <f t="shared" si="173"/>
        <v>0</v>
      </c>
      <c r="BK285" s="52">
        <f t="shared" si="174"/>
        <v>0</v>
      </c>
      <c r="BL285" s="52">
        <f t="shared" si="175"/>
        <v>0</v>
      </c>
      <c r="BM285" s="52">
        <f t="shared" si="176"/>
        <v>0</v>
      </c>
    </row>
    <row r="286" spans="1:65" ht="30" customHeight="1" x14ac:dyDescent="0.25">
      <c r="A286" s="31" t="str">
        <f t="shared" si="142"/>
        <v>Д</v>
      </c>
      <c r="B286" s="31" t="str">
        <f t="shared" si="143"/>
        <v>Б</v>
      </c>
      <c r="C286" s="32" t="s">
        <v>211</v>
      </c>
      <c r="D286" s="33" t="str">
        <f t="shared" si="144"/>
        <v>Факультет физико-математических и естественных наук</v>
      </c>
      <c r="E286" s="34" t="str">
        <f t="shared" si="145"/>
        <v>'02.03.02</v>
      </c>
      <c r="F286" s="35" t="str">
        <f t="shared" si="146"/>
        <v>Фундаментальная информатика и информационные технологии</v>
      </c>
      <c r="G286" s="36" t="s">
        <v>76</v>
      </c>
      <c r="H286" s="36" t="s">
        <v>183</v>
      </c>
      <c r="I286" s="37"/>
      <c r="J286" s="37"/>
      <c r="K286" s="38" t="s">
        <v>199</v>
      </c>
      <c r="L286" s="39">
        <v>5</v>
      </c>
      <c r="M286" s="39">
        <v>18</v>
      </c>
      <c r="N286" s="40" t="s">
        <v>94</v>
      </c>
      <c r="O286" s="39"/>
      <c r="P286" s="39">
        <v>2</v>
      </c>
      <c r="Q286" s="39"/>
      <c r="R286" s="40"/>
      <c r="S286" s="41"/>
      <c r="T286" s="41"/>
      <c r="U286" s="41"/>
      <c r="V286" s="41"/>
      <c r="W286" s="41"/>
      <c r="X286" s="42" t="str">
        <f t="shared" si="147"/>
        <v>НФИбд</v>
      </c>
      <c r="Y286" s="39" t="s">
        <v>129</v>
      </c>
      <c r="Z286" s="39">
        <v>1</v>
      </c>
      <c r="AA286" s="39">
        <v>1</v>
      </c>
      <c r="AB286" s="42">
        <f t="shared" si="148"/>
        <v>0</v>
      </c>
      <c r="AC286" s="39"/>
      <c r="AD286" s="39"/>
      <c r="AE286" s="44">
        <f t="shared" si="149"/>
        <v>12</v>
      </c>
      <c r="AF286" s="45">
        <f t="shared" si="150"/>
        <v>0</v>
      </c>
      <c r="AG286" s="45">
        <f t="shared" si="151"/>
        <v>0</v>
      </c>
      <c r="AH286" s="46" t="s">
        <v>82</v>
      </c>
      <c r="AI286" s="40" t="s">
        <v>83</v>
      </c>
      <c r="AJ286" s="40" t="s">
        <v>84</v>
      </c>
      <c r="AK286" s="47" t="s">
        <v>200</v>
      </c>
      <c r="AL286" s="40"/>
      <c r="AM286" s="48">
        <f t="shared" si="152"/>
        <v>0</v>
      </c>
      <c r="AN286" s="48">
        <f t="shared" si="153"/>
        <v>0</v>
      </c>
      <c r="AO286" s="48">
        <f t="shared" si="154"/>
        <v>0</v>
      </c>
      <c r="AP286" s="48">
        <f t="shared" si="155"/>
        <v>0</v>
      </c>
      <c r="AQ286" s="48">
        <f t="shared" si="156"/>
        <v>0</v>
      </c>
      <c r="AR286" s="48">
        <f t="shared" si="157"/>
        <v>0</v>
      </c>
      <c r="AS286" s="48">
        <f t="shared" si="158"/>
        <v>0</v>
      </c>
      <c r="AT286" s="48">
        <f t="shared" si="159"/>
        <v>0</v>
      </c>
      <c r="AU286" s="48">
        <f t="shared" si="160"/>
        <v>0</v>
      </c>
      <c r="AV286" s="48">
        <f t="shared" si="161"/>
        <v>0</v>
      </c>
      <c r="AW286" s="48">
        <f>IF(N286="ПП",РПП*AB286*(V286/1.5),IF(N286="ВП",ВПр*AB286*(V286/1.5),IF(N286="РПА",РПА*AB286*(V286/1.5),IF(N286="КПА",кпа*AB286*(V286/1.5),0))))</f>
        <v>0</v>
      </c>
      <c r="AX286" s="48">
        <f t="shared" si="162"/>
        <v>0</v>
      </c>
      <c r="AY286" s="48">
        <f t="shared" si="163"/>
        <v>0</v>
      </c>
      <c r="AZ286" s="48">
        <f t="shared" si="164"/>
        <v>0</v>
      </c>
      <c r="BA286" s="48">
        <f t="shared" si="165"/>
        <v>0</v>
      </c>
      <c r="BB286" s="48">
        <f t="shared" si="166"/>
        <v>0</v>
      </c>
      <c r="BC286" s="48">
        <f t="shared" si="167"/>
        <v>0</v>
      </c>
      <c r="BD286" s="48">
        <f t="shared" si="168"/>
        <v>0</v>
      </c>
      <c r="BE286" s="48">
        <f t="shared" si="169"/>
        <v>0</v>
      </c>
      <c r="BF286" s="49">
        <f t="shared" si="170"/>
        <v>0</v>
      </c>
      <c r="BG286" s="50"/>
      <c r="BH286" s="51">
        <f t="shared" si="171"/>
        <v>0</v>
      </c>
      <c r="BI286" s="51">
        <f t="shared" si="172"/>
        <v>0</v>
      </c>
      <c r="BJ286" s="51">
        <f t="shared" si="173"/>
        <v>0</v>
      </c>
      <c r="BK286" s="52">
        <f t="shared" si="174"/>
        <v>0</v>
      </c>
      <c r="BL286" s="52">
        <f t="shared" si="175"/>
        <v>0</v>
      </c>
      <c r="BM286" s="52">
        <f t="shared" si="176"/>
        <v>0</v>
      </c>
    </row>
    <row r="287" spans="1:65" ht="30" customHeight="1" x14ac:dyDescent="0.25">
      <c r="A287" s="31" t="str">
        <f t="shared" si="142"/>
        <v>Д</v>
      </c>
      <c r="B287" s="31" t="str">
        <f t="shared" si="143"/>
        <v>Б</v>
      </c>
      <c r="C287" s="32" t="s">
        <v>211</v>
      </c>
      <c r="D287" s="33" t="str">
        <f t="shared" si="144"/>
        <v>Факультет физико-математических и естественных наук</v>
      </c>
      <c r="E287" s="34" t="str">
        <f t="shared" si="145"/>
        <v>'02.03.02</v>
      </c>
      <c r="F287" s="35" t="str">
        <f t="shared" si="146"/>
        <v>Фундаментальная информатика и информационные технологии</v>
      </c>
      <c r="G287" s="36" t="s">
        <v>76</v>
      </c>
      <c r="H287" s="36" t="s">
        <v>183</v>
      </c>
      <c r="I287" s="37"/>
      <c r="J287" s="37"/>
      <c r="K287" s="38" t="s">
        <v>162</v>
      </c>
      <c r="L287" s="39">
        <v>5</v>
      </c>
      <c r="M287" s="39">
        <v>18</v>
      </c>
      <c r="N287" s="40" t="s">
        <v>79</v>
      </c>
      <c r="O287" s="39">
        <v>1</v>
      </c>
      <c r="P287" s="39"/>
      <c r="Q287" s="39"/>
      <c r="R287" s="40"/>
      <c r="S287" s="41"/>
      <c r="T287" s="41"/>
      <c r="U287" s="41"/>
      <c r="V287" s="41"/>
      <c r="W287" s="41"/>
      <c r="X287" s="42" t="str">
        <f t="shared" si="147"/>
        <v>НФИбд</v>
      </c>
      <c r="Y287" s="39" t="s">
        <v>212</v>
      </c>
      <c r="Z287" s="39">
        <v>4</v>
      </c>
      <c r="AA287" s="39">
        <v>2</v>
      </c>
      <c r="AB287" s="42">
        <f t="shared" si="148"/>
        <v>56</v>
      </c>
      <c r="AC287" s="39">
        <v>41</v>
      </c>
      <c r="AD287" s="39">
        <v>15</v>
      </c>
      <c r="AE287" s="44">
        <f t="shared" si="149"/>
        <v>56</v>
      </c>
      <c r="AF287" s="45">
        <f t="shared" si="150"/>
        <v>1</v>
      </c>
      <c r="AG287" s="45">
        <f t="shared" si="151"/>
        <v>1</v>
      </c>
      <c r="AH287" s="46" t="s">
        <v>82</v>
      </c>
      <c r="AI287" s="40" t="s">
        <v>83</v>
      </c>
      <c r="AJ287" s="40" t="s">
        <v>84</v>
      </c>
      <c r="AK287" s="47" t="s">
        <v>104</v>
      </c>
      <c r="AL287" s="40"/>
      <c r="AM287" s="48">
        <f t="shared" si="152"/>
        <v>18</v>
      </c>
      <c r="AN287" s="48">
        <f t="shared" si="153"/>
        <v>0</v>
      </c>
      <c r="AO287" s="48">
        <f t="shared" si="154"/>
        <v>0</v>
      </c>
      <c r="AP287" s="48">
        <f t="shared" si="155"/>
        <v>0</v>
      </c>
      <c r="AQ287" s="48">
        <f t="shared" si="156"/>
        <v>0</v>
      </c>
      <c r="AR287" s="48">
        <f t="shared" si="157"/>
        <v>0</v>
      </c>
      <c r="AS287" s="48">
        <f t="shared" si="158"/>
        <v>1.8</v>
      </c>
      <c r="AT287" s="48">
        <f t="shared" si="159"/>
        <v>0</v>
      </c>
      <c r="AU287" s="48">
        <f t="shared" si="160"/>
        <v>0</v>
      </c>
      <c r="AV287" s="48">
        <f t="shared" si="161"/>
        <v>0</v>
      </c>
      <c r="AW287" s="48">
        <f>IF(N287="ПП",РПП*AB287*(V287/1.5),IF(N287="ВП",ВПр*AB287*(V287/1.5),IF(N287="РПА",РПА*AB287*(V287/1.5),IF(N287="КПА",кпа*AB287*(V287/1.5),0))))</f>
        <v>0</v>
      </c>
      <c r="AX287" s="48">
        <f t="shared" si="162"/>
        <v>0</v>
      </c>
      <c r="AY287" s="48">
        <f t="shared" si="163"/>
        <v>0</v>
      </c>
      <c r="AZ287" s="48">
        <f t="shared" si="164"/>
        <v>0</v>
      </c>
      <c r="BA287" s="48">
        <f t="shared" si="165"/>
        <v>0</v>
      </c>
      <c r="BB287" s="48">
        <f t="shared" si="166"/>
        <v>0</v>
      </c>
      <c r="BC287" s="48">
        <f t="shared" si="167"/>
        <v>0</v>
      </c>
      <c r="BD287" s="48">
        <f t="shared" si="168"/>
        <v>0</v>
      </c>
      <c r="BE287" s="48">
        <f t="shared" si="169"/>
        <v>0</v>
      </c>
      <c r="BF287" s="49">
        <f t="shared" si="170"/>
        <v>19.8</v>
      </c>
      <c r="BG287" s="50"/>
      <c r="BH287" s="51">
        <f t="shared" si="171"/>
        <v>18</v>
      </c>
      <c r="BI287" s="51">
        <f t="shared" si="172"/>
        <v>0.5</v>
      </c>
      <c r="BJ287" s="51">
        <f t="shared" si="173"/>
        <v>1.8</v>
      </c>
      <c r="BK287" s="52">
        <f t="shared" si="174"/>
        <v>0</v>
      </c>
      <c r="BL287" s="52">
        <f t="shared" si="175"/>
        <v>0</v>
      </c>
      <c r="BM287" s="52">
        <f t="shared" si="176"/>
        <v>0</v>
      </c>
    </row>
    <row r="288" spans="1:65" ht="30" customHeight="1" x14ac:dyDescent="0.25">
      <c r="A288" s="31" t="str">
        <f t="shared" si="142"/>
        <v>Д</v>
      </c>
      <c r="B288" s="31" t="str">
        <f t="shared" si="143"/>
        <v>Б</v>
      </c>
      <c r="C288" s="32" t="s">
        <v>211</v>
      </c>
      <c r="D288" s="33" t="str">
        <f t="shared" si="144"/>
        <v>Факультет физико-математических и естественных наук</v>
      </c>
      <c r="E288" s="34" t="str">
        <f t="shared" si="145"/>
        <v>'02.03.02</v>
      </c>
      <c r="F288" s="35" t="str">
        <f t="shared" si="146"/>
        <v>Фундаментальная информатика и информационные технологии</v>
      </c>
      <c r="G288" s="36" t="s">
        <v>76</v>
      </c>
      <c r="H288" s="36" t="s">
        <v>183</v>
      </c>
      <c r="I288" s="37"/>
      <c r="J288" s="37"/>
      <c r="K288" s="38" t="s">
        <v>162</v>
      </c>
      <c r="L288" s="39">
        <v>5</v>
      </c>
      <c r="M288" s="39">
        <v>18</v>
      </c>
      <c r="N288" s="40" t="s">
        <v>94</v>
      </c>
      <c r="O288" s="39"/>
      <c r="P288" s="39">
        <v>1</v>
      </c>
      <c r="Q288" s="39"/>
      <c r="R288" s="40" t="s">
        <v>95</v>
      </c>
      <c r="S288" s="41"/>
      <c r="T288" s="41"/>
      <c r="U288" s="41"/>
      <c r="V288" s="41"/>
      <c r="W288" s="41"/>
      <c r="X288" s="42" t="str">
        <f t="shared" si="147"/>
        <v>НФИбд</v>
      </c>
      <c r="Y288" s="39" t="s">
        <v>128</v>
      </c>
      <c r="Z288" s="39">
        <v>1</v>
      </c>
      <c r="AA288" s="39">
        <v>1</v>
      </c>
      <c r="AB288" s="42">
        <f t="shared" si="148"/>
        <v>28</v>
      </c>
      <c r="AC288" s="39">
        <v>21</v>
      </c>
      <c r="AD288" s="39">
        <v>7</v>
      </c>
      <c r="AE288" s="44">
        <f t="shared" si="149"/>
        <v>12</v>
      </c>
      <c r="AF288" s="45">
        <f t="shared" si="150"/>
        <v>1</v>
      </c>
      <c r="AG288" s="45">
        <f t="shared" si="151"/>
        <v>2.3333333333333335</v>
      </c>
      <c r="AH288" s="46" t="s">
        <v>82</v>
      </c>
      <c r="AI288" s="40" t="s">
        <v>99</v>
      </c>
      <c r="AJ288" s="40" t="s">
        <v>116</v>
      </c>
      <c r="AK288" s="47" t="s">
        <v>120</v>
      </c>
      <c r="AL288" s="40"/>
      <c r="AM288" s="48">
        <f t="shared" si="152"/>
        <v>0</v>
      </c>
      <c r="AN288" s="48">
        <f t="shared" si="153"/>
        <v>0</v>
      </c>
      <c r="AO288" s="48">
        <f t="shared" si="154"/>
        <v>18</v>
      </c>
      <c r="AP288" s="48">
        <f t="shared" si="155"/>
        <v>9.24</v>
      </c>
      <c r="AQ288" s="48">
        <f t="shared" si="156"/>
        <v>14</v>
      </c>
      <c r="AR288" s="48">
        <f t="shared" si="157"/>
        <v>1</v>
      </c>
      <c r="AS288" s="48">
        <f t="shared" si="158"/>
        <v>0</v>
      </c>
      <c r="AT288" s="48">
        <f t="shared" si="159"/>
        <v>0</v>
      </c>
      <c r="AU288" s="48">
        <f t="shared" si="160"/>
        <v>0</v>
      </c>
      <c r="AV288" s="48">
        <f t="shared" si="161"/>
        <v>0</v>
      </c>
      <c r="AW288" s="48">
        <f>IF(N288="ПП",РПП*AB288*(V288/1.5),IF(N288="ВП",ВПр*AB288*(V288/1.5),IF(N288="РПА",РПА*AB288*(V288/1.5),IF(N288="КПА",кпа*AB288*(V288/1.5),0))))</f>
        <v>0</v>
      </c>
      <c r="AX288" s="48">
        <f t="shared" si="162"/>
        <v>0</v>
      </c>
      <c r="AY288" s="48">
        <f t="shared" si="163"/>
        <v>0</v>
      </c>
      <c r="AZ288" s="48">
        <f t="shared" si="164"/>
        <v>0</v>
      </c>
      <c r="BA288" s="48">
        <f t="shared" si="165"/>
        <v>0</v>
      </c>
      <c r="BB288" s="48">
        <f t="shared" si="166"/>
        <v>0</v>
      </c>
      <c r="BC288" s="48">
        <f t="shared" si="167"/>
        <v>0</v>
      </c>
      <c r="BD288" s="48">
        <f t="shared" si="168"/>
        <v>0</v>
      </c>
      <c r="BE288" s="48">
        <f t="shared" si="169"/>
        <v>0</v>
      </c>
      <c r="BF288" s="49">
        <f t="shared" si="170"/>
        <v>42.24</v>
      </c>
      <c r="BG288" s="50"/>
      <c r="BH288" s="51">
        <f t="shared" si="171"/>
        <v>18</v>
      </c>
      <c r="BI288" s="51">
        <f t="shared" si="172"/>
        <v>0.5</v>
      </c>
      <c r="BJ288" s="51">
        <f t="shared" si="173"/>
        <v>24.240000000000002</v>
      </c>
      <c r="BK288" s="52">
        <f t="shared" si="174"/>
        <v>0</v>
      </c>
      <c r="BL288" s="52">
        <f t="shared" si="175"/>
        <v>0</v>
      </c>
      <c r="BM288" s="52">
        <f t="shared" si="176"/>
        <v>0</v>
      </c>
    </row>
    <row r="289" spans="1:65" ht="30" customHeight="1" x14ac:dyDescent="0.25">
      <c r="A289" s="31" t="str">
        <f t="shared" si="142"/>
        <v>Д</v>
      </c>
      <c r="B289" s="31" t="str">
        <f t="shared" si="143"/>
        <v>Б</v>
      </c>
      <c r="C289" s="32" t="s">
        <v>211</v>
      </c>
      <c r="D289" s="33" t="str">
        <f t="shared" si="144"/>
        <v>Факультет физико-математических и естественных наук</v>
      </c>
      <c r="E289" s="34" t="str">
        <f t="shared" si="145"/>
        <v>'02.03.02</v>
      </c>
      <c r="F289" s="35" t="str">
        <f t="shared" si="146"/>
        <v>Фундаментальная информатика и информационные технологии</v>
      </c>
      <c r="G289" s="36" t="s">
        <v>76</v>
      </c>
      <c r="H289" s="36" t="s">
        <v>183</v>
      </c>
      <c r="I289" s="37"/>
      <c r="J289" s="37"/>
      <c r="K289" s="38" t="s">
        <v>162</v>
      </c>
      <c r="L289" s="39">
        <v>5</v>
      </c>
      <c r="M289" s="39">
        <v>18</v>
      </c>
      <c r="N289" s="40" t="s">
        <v>94</v>
      </c>
      <c r="O289" s="39"/>
      <c r="P289" s="39">
        <v>1</v>
      </c>
      <c r="Q289" s="39"/>
      <c r="R289" s="40" t="s">
        <v>95</v>
      </c>
      <c r="S289" s="41"/>
      <c r="T289" s="41"/>
      <c r="U289" s="41"/>
      <c r="V289" s="41"/>
      <c r="W289" s="41"/>
      <c r="X289" s="42" t="str">
        <f t="shared" si="147"/>
        <v>НФИбд</v>
      </c>
      <c r="Y289" s="39" t="s">
        <v>128</v>
      </c>
      <c r="Z289" s="39">
        <v>1</v>
      </c>
      <c r="AA289" s="39">
        <v>1</v>
      </c>
      <c r="AB289" s="42">
        <f t="shared" si="148"/>
        <v>0</v>
      </c>
      <c r="AC289" s="39"/>
      <c r="AD289" s="39"/>
      <c r="AE289" s="44">
        <f t="shared" si="149"/>
        <v>12</v>
      </c>
      <c r="AF289" s="45">
        <f t="shared" si="150"/>
        <v>0</v>
      </c>
      <c r="AG289" s="45">
        <f t="shared" si="151"/>
        <v>0</v>
      </c>
      <c r="AH289" s="46" t="s">
        <v>82</v>
      </c>
      <c r="AI289" s="40" t="s">
        <v>99</v>
      </c>
      <c r="AJ289" s="40" t="s">
        <v>116</v>
      </c>
      <c r="AK289" s="47" t="s">
        <v>120</v>
      </c>
      <c r="AL289" s="40"/>
      <c r="AM289" s="48">
        <f t="shared" si="152"/>
        <v>0</v>
      </c>
      <c r="AN289" s="48">
        <f t="shared" si="153"/>
        <v>0</v>
      </c>
      <c r="AO289" s="48">
        <f t="shared" si="154"/>
        <v>0</v>
      </c>
      <c r="AP289" s="48">
        <f t="shared" si="155"/>
        <v>0</v>
      </c>
      <c r="AQ289" s="48">
        <f t="shared" si="156"/>
        <v>0</v>
      </c>
      <c r="AR289" s="48">
        <f t="shared" si="157"/>
        <v>0</v>
      </c>
      <c r="AS289" s="48">
        <f t="shared" si="158"/>
        <v>0</v>
      </c>
      <c r="AT289" s="48">
        <f t="shared" si="159"/>
        <v>0</v>
      </c>
      <c r="AU289" s="48">
        <f t="shared" si="160"/>
        <v>0</v>
      </c>
      <c r="AV289" s="48">
        <f t="shared" si="161"/>
        <v>0</v>
      </c>
      <c r="AW289" s="48">
        <f>IF(N289="ПП",РПП*AB289*(V289/1.5),IF(N289="ВП",ВПр*AB289*(V289/1.5),IF(N289="РПА",РПА*AB289*(V289/1.5),IF(N289="КПА",кпа*AB289*(V289/1.5),0))))</f>
        <v>0</v>
      </c>
      <c r="AX289" s="48">
        <f t="shared" si="162"/>
        <v>0</v>
      </c>
      <c r="AY289" s="48">
        <f t="shared" si="163"/>
        <v>0</v>
      </c>
      <c r="AZ289" s="48">
        <f t="shared" si="164"/>
        <v>0</v>
      </c>
      <c r="BA289" s="48">
        <f t="shared" si="165"/>
        <v>0</v>
      </c>
      <c r="BB289" s="48">
        <f t="shared" si="166"/>
        <v>0</v>
      </c>
      <c r="BC289" s="48">
        <f t="shared" si="167"/>
        <v>0</v>
      </c>
      <c r="BD289" s="48">
        <f t="shared" si="168"/>
        <v>0</v>
      </c>
      <c r="BE289" s="48">
        <f t="shared" si="169"/>
        <v>0</v>
      </c>
      <c r="BF289" s="49">
        <f t="shared" si="170"/>
        <v>0</v>
      </c>
      <c r="BG289" s="50"/>
      <c r="BH289" s="51">
        <f t="shared" si="171"/>
        <v>0</v>
      </c>
      <c r="BI289" s="51">
        <f t="shared" si="172"/>
        <v>0</v>
      </c>
      <c r="BJ289" s="51">
        <f t="shared" si="173"/>
        <v>0</v>
      </c>
      <c r="BK289" s="52">
        <f t="shared" si="174"/>
        <v>0</v>
      </c>
      <c r="BL289" s="52">
        <f t="shared" si="175"/>
        <v>0</v>
      </c>
      <c r="BM289" s="52">
        <f t="shared" si="176"/>
        <v>0</v>
      </c>
    </row>
    <row r="290" spans="1:65" ht="30" customHeight="1" x14ac:dyDescent="0.25">
      <c r="A290" s="31" t="str">
        <f t="shared" si="142"/>
        <v>Д</v>
      </c>
      <c r="B290" s="31" t="str">
        <f t="shared" si="143"/>
        <v>Б</v>
      </c>
      <c r="C290" s="32" t="s">
        <v>211</v>
      </c>
      <c r="D290" s="33" t="str">
        <f t="shared" si="144"/>
        <v>Факультет физико-математических и естественных наук</v>
      </c>
      <c r="E290" s="34" t="str">
        <f t="shared" si="145"/>
        <v>'02.03.02</v>
      </c>
      <c r="F290" s="35" t="str">
        <f t="shared" si="146"/>
        <v>Фундаментальная информатика и информационные технологии</v>
      </c>
      <c r="G290" s="36" t="s">
        <v>76</v>
      </c>
      <c r="H290" s="36" t="s">
        <v>183</v>
      </c>
      <c r="I290" s="37"/>
      <c r="J290" s="37"/>
      <c r="K290" s="38" t="s">
        <v>162</v>
      </c>
      <c r="L290" s="39">
        <v>5</v>
      </c>
      <c r="M290" s="39">
        <v>18</v>
      </c>
      <c r="N290" s="40" t="s">
        <v>94</v>
      </c>
      <c r="O290" s="39"/>
      <c r="P290" s="39">
        <v>1</v>
      </c>
      <c r="Q290" s="39"/>
      <c r="R290" s="40" t="s">
        <v>95</v>
      </c>
      <c r="S290" s="41"/>
      <c r="T290" s="41"/>
      <c r="U290" s="41"/>
      <c r="V290" s="41"/>
      <c r="W290" s="41"/>
      <c r="X290" s="42" t="str">
        <f t="shared" si="147"/>
        <v>НФИбд</v>
      </c>
      <c r="Y290" s="39" t="s">
        <v>129</v>
      </c>
      <c r="Z290" s="39">
        <v>1</v>
      </c>
      <c r="AA290" s="39">
        <v>1</v>
      </c>
      <c r="AB290" s="42">
        <f t="shared" si="148"/>
        <v>28</v>
      </c>
      <c r="AC290" s="39">
        <v>20</v>
      </c>
      <c r="AD290" s="39">
        <v>8</v>
      </c>
      <c r="AE290" s="44">
        <f t="shared" si="149"/>
        <v>12</v>
      </c>
      <c r="AF290" s="45">
        <f t="shared" si="150"/>
        <v>1</v>
      </c>
      <c r="AG290" s="45">
        <f t="shared" si="151"/>
        <v>2.3333333333333335</v>
      </c>
      <c r="AH290" s="46" t="s">
        <v>82</v>
      </c>
      <c r="AI290" s="40" t="s">
        <v>99</v>
      </c>
      <c r="AJ290" s="40" t="s">
        <v>116</v>
      </c>
      <c r="AK290" s="47" t="s">
        <v>123</v>
      </c>
      <c r="AL290" s="40"/>
      <c r="AM290" s="48">
        <f t="shared" si="152"/>
        <v>0</v>
      </c>
      <c r="AN290" s="48">
        <f t="shared" si="153"/>
        <v>0</v>
      </c>
      <c r="AO290" s="48">
        <f t="shared" si="154"/>
        <v>18</v>
      </c>
      <c r="AP290" s="48">
        <f t="shared" si="155"/>
        <v>9.24</v>
      </c>
      <c r="AQ290" s="48">
        <f t="shared" si="156"/>
        <v>14</v>
      </c>
      <c r="AR290" s="48">
        <f t="shared" si="157"/>
        <v>1</v>
      </c>
      <c r="AS290" s="48">
        <f t="shared" si="158"/>
        <v>0</v>
      </c>
      <c r="AT290" s="48">
        <f t="shared" si="159"/>
        <v>0</v>
      </c>
      <c r="AU290" s="48">
        <f t="shared" si="160"/>
        <v>0</v>
      </c>
      <c r="AV290" s="48">
        <f t="shared" si="161"/>
        <v>0</v>
      </c>
      <c r="AW290" s="48">
        <f>IF(N290="ПП",РПП*AB290*(V290/1.5),IF(N290="ВП",ВПр*AB290*(V290/1.5),IF(N290="РПА",РПА*AB290*(V290/1.5),IF(N290="КПА",кпа*AB290*(V290/1.5),0))))</f>
        <v>0</v>
      </c>
      <c r="AX290" s="48">
        <f t="shared" si="162"/>
        <v>0</v>
      </c>
      <c r="AY290" s="48">
        <f t="shared" si="163"/>
        <v>0</v>
      </c>
      <c r="AZ290" s="48">
        <f t="shared" si="164"/>
        <v>0</v>
      </c>
      <c r="BA290" s="48">
        <f t="shared" si="165"/>
        <v>0</v>
      </c>
      <c r="BB290" s="48">
        <f t="shared" si="166"/>
        <v>0</v>
      </c>
      <c r="BC290" s="48">
        <f t="shared" si="167"/>
        <v>0</v>
      </c>
      <c r="BD290" s="48">
        <f t="shared" si="168"/>
        <v>0</v>
      </c>
      <c r="BE290" s="48">
        <f t="shared" si="169"/>
        <v>0</v>
      </c>
      <c r="BF290" s="49">
        <f t="shared" si="170"/>
        <v>42.24</v>
      </c>
      <c r="BG290" s="50"/>
      <c r="BH290" s="51">
        <f t="shared" si="171"/>
        <v>18</v>
      </c>
      <c r="BI290" s="51">
        <f t="shared" si="172"/>
        <v>0.5</v>
      </c>
      <c r="BJ290" s="51">
        <f t="shared" si="173"/>
        <v>24.240000000000002</v>
      </c>
      <c r="BK290" s="52">
        <f t="shared" si="174"/>
        <v>0</v>
      </c>
      <c r="BL290" s="52">
        <f t="shared" si="175"/>
        <v>0</v>
      </c>
      <c r="BM290" s="52">
        <f t="shared" si="176"/>
        <v>0</v>
      </c>
    </row>
    <row r="291" spans="1:65" ht="30" customHeight="1" x14ac:dyDescent="0.25">
      <c r="A291" s="31" t="str">
        <f t="shared" si="142"/>
        <v>Д</v>
      </c>
      <c r="B291" s="31" t="str">
        <f t="shared" si="143"/>
        <v>Б</v>
      </c>
      <c r="C291" s="32" t="s">
        <v>211</v>
      </c>
      <c r="D291" s="33" t="str">
        <f t="shared" si="144"/>
        <v>Факультет физико-математических и естественных наук</v>
      </c>
      <c r="E291" s="34" t="str">
        <f t="shared" si="145"/>
        <v>'02.03.02</v>
      </c>
      <c r="F291" s="35" t="str">
        <f t="shared" si="146"/>
        <v>Фундаментальная информатика и информационные технологии</v>
      </c>
      <c r="G291" s="36" t="s">
        <v>76</v>
      </c>
      <c r="H291" s="36" t="s">
        <v>183</v>
      </c>
      <c r="I291" s="37"/>
      <c r="J291" s="37"/>
      <c r="K291" s="38" t="s">
        <v>162</v>
      </c>
      <c r="L291" s="39">
        <v>5</v>
      </c>
      <c r="M291" s="39">
        <v>18</v>
      </c>
      <c r="N291" s="40" t="s">
        <v>94</v>
      </c>
      <c r="O291" s="39"/>
      <c r="P291" s="39">
        <v>1</v>
      </c>
      <c r="Q291" s="39"/>
      <c r="R291" s="40" t="s">
        <v>95</v>
      </c>
      <c r="S291" s="41"/>
      <c r="T291" s="41"/>
      <c r="U291" s="41"/>
      <c r="V291" s="41"/>
      <c r="W291" s="41"/>
      <c r="X291" s="42" t="str">
        <f t="shared" si="147"/>
        <v>НФИбд</v>
      </c>
      <c r="Y291" s="39" t="s">
        <v>129</v>
      </c>
      <c r="Z291" s="39">
        <v>1</v>
      </c>
      <c r="AA291" s="39">
        <v>1</v>
      </c>
      <c r="AB291" s="42">
        <f t="shared" si="148"/>
        <v>0</v>
      </c>
      <c r="AC291" s="39"/>
      <c r="AD291" s="39"/>
      <c r="AE291" s="44">
        <f t="shared" si="149"/>
        <v>12</v>
      </c>
      <c r="AF291" s="45">
        <f t="shared" si="150"/>
        <v>0</v>
      </c>
      <c r="AG291" s="45">
        <f t="shared" si="151"/>
        <v>0</v>
      </c>
      <c r="AH291" s="46" t="s">
        <v>82</v>
      </c>
      <c r="AI291" s="40" t="s">
        <v>99</v>
      </c>
      <c r="AJ291" s="40" t="s">
        <v>116</v>
      </c>
      <c r="AK291" s="47" t="s">
        <v>123</v>
      </c>
      <c r="AL291" s="40"/>
      <c r="AM291" s="48">
        <f t="shared" si="152"/>
        <v>0</v>
      </c>
      <c r="AN291" s="48">
        <f t="shared" si="153"/>
        <v>0</v>
      </c>
      <c r="AO291" s="48">
        <f t="shared" si="154"/>
        <v>0</v>
      </c>
      <c r="AP291" s="48">
        <f t="shared" si="155"/>
        <v>0</v>
      </c>
      <c r="AQ291" s="48">
        <f t="shared" si="156"/>
        <v>0</v>
      </c>
      <c r="AR291" s="48">
        <f t="shared" si="157"/>
        <v>0</v>
      </c>
      <c r="AS291" s="48">
        <f t="shared" si="158"/>
        <v>0</v>
      </c>
      <c r="AT291" s="48">
        <f t="shared" si="159"/>
        <v>0</v>
      </c>
      <c r="AU291" s="48">
        <f t="shared" si="160"/>
        <v>0</v>
      </c>
      <c r="AV291" s="48">
        <f t="shared" si="161"/>
        <v>0</v>
      </c>
      <c r="AW291" s="48">
        <f>IF(N291="ПП",РПП*AB291*(V291/1.5),IF(N291="ВП",ВПр*AB291*(V291/1.5),IF(N291="РПА",РПА*AB291*(V291/1.5),IF(N291="КПА",кпа*AB291*(V291/1.5),0))))</f>
        <v>0</v>
      </c>
      <c r="AX291" s="48">
        <f t="shared" si="162"/>
        <v>0</v>
      </c>
      <c r="AY291" s="48">
        <f t="shared" si="163"/>
        <v>0</v>
      </c>
      <c r="AZ291" s="48">
        <f t="shared" si="164"/>
        <v>0</v>
      </c>
      <c r="BA291" s="48">
        <f t="shared" si="165"/>
        <v>0</v>
      </c>
      <c r="BB291" s="48">
        <f t="shared" si="166"/>
        <v>0</v>
      </c>
      <c r="BC291" s="48">
        <f t="shared" si="167"/>
        <v>0</v>
      </c>
      <c r="BD291" s="48">
        <f t="shared" si="168"/>
        <v>0</v>
      </c>
      <c r="BE291" s="48">
        <f t="shared" si="169"/>
        <v>0</v>
      </c>
      <c r="BF291" s="49">
        <f t="shared" si="170"/>
        <v>0</v>
      </c>
      <c r="BG291" s="50"/>
      <c r="BH291" s="51">
        <f t="shared" si="171"/>
        <v>0</v>
      </c>
      <c r="BI291" s="51">
        <f t="shared" si="172"/>
        <v>0</v>
      </c>
      <c r="BJ291" s="51">
        <f t="shared" si="173"/>
        <v>0</v>
      </c>
      <c r="BK291" s="52">
        <f t="shared" si="174"/>
        <v>0</v>
      </c>
      <c r="BL291" s="52">
        <f t="shared" si="175"/>
        <v>0</v>
      </c>
      <c r="BM291" s="52">
        <f t="shared" si="176"/>
        <v>0</v>
      </c>
    </row>
    <row r="292" spans="1:65" ht="30" customHeight="1" x14ac:dyDescent="0.25">
      <c r="A292" s="31" t="str">
        <f t="shared" si="142"/>
        <v>Д</v>
      </c>
      <c r="B292" s="31" t="str">
        <f t="shared" si="143"/>
        <v>Б</v>
      </c>
      <c r="C292" s="32" t="s">
        <v>211</v>
      </c>
      <c r="D292" s="33" t="str">
        <f t="shared" si="144"/>
        <v>Факультет физико-математических и естественных наук</v>
      </c>
      <c r="E292" s="34" t="str">
        <f t="shared" si="145"/>
        <v>'02.03.02</v>
      </c>
      <c r="F292" s="35" t="str">
        <f t="shared" si="146"/>
        <v>Фундаментальная информатика и информационные технологии</v>
      </c>
      <c r="G292" s="36" t="s">
        <v>76</v>
      </c>
      <c r="H292" s="36" t="s">
        <v>183</v>
      </c>
      <c r="I292" s="37"/>
      <c r="J292" s="37"/>
      <c r="K292" s="38" t="s">
        <v>132</v>
      </c>
      <c r="L292" s="39">
        <v>5</v>
      </c>
      <c r="M292" s="39">
        <v>18</v>
      </c>
      <c r="N292" s="40" t="s">
        <v>79</v>
      </c>
      <c r="O292" s="39">
        <v>1</v>
      </c>
      <c r="P292" s="39"/>
      <c r="Q292" s="39"/>
      <c r="R292" s="40" t="s">
        <v>80</v>
      </c>
      <c r="S292" s="41"/>
      <c r="T292" s="41"/>
      <c r="U292" s="41"/>
      <c r="V292" s="41"/>
      <c r="W292" s="41"/>
      <c r="X292" s="42" t="str">
        <f t="shared" si="147"/>
        <v>НФИбд</v>
      </c>
      <c r="Y292" s="39" t="s">
        <v>212</v>
      </c>
      <c r="Z292" s="39">
        <v>4</v>
      </c>
      <c r="AA292" s="39">
        <v>2</v>
      </c>
      <c r="AB292" s="42">
        <f t="shared" si="148"/>
        <v>56</v>
      </c>
      <c r="AC292" s="39">
        <v>41</v>
      </c>
      <c r="AD292" s="39">
        <v>15</v>
      </c>
      <c r="AE292" s="44">
        <f t="shared" si="149"/>
        <v>56</v>
      </c>
      <c r="AF292" s="45">
        <f t="shared" si="150"/>
        <v>1</v>
      </c>
      <c r="AG292" s="45">
        <f t="shared" si="151"/>
        <v>1</v>
      </c>
      <c r="AH292" s="46" t="s">
        <v>82</v>
      </c>
      <c r="AI292" s="40" t="s">
        <v>83</v>
      </c>
      <c r="AJ292" s="40" t="s">
        <v>84</v>
      </c>
      <c r="AK292" s="47" t="s">
        <v>104</v>
      </c>
      <c r="AL292" s="40"/>
      <c r="AM292" s="48">
        <f t="shared" si="152"/>
        <v>18</v>
      </c>
      <c r="AN292" s="48">
        <f t="shared" si="153"/>
        <v>0</v>
      </c>
      <c r="AO292" s="48">
        <f t="shared" si="154"/>
        <v>0</v>
      </c>
      <c r="AP292" s="48">
        <f t="shared" si="155"/>
        <v>18.48</v>
      </c>
      <c r="AQ292" s="48">
        <f t="shared" si="156"/>
        <v>28</v>
      </c>
      <c r="AR292" s="48">
        <f t="shared" si="157"/>
        <v>2</v>
      </c>
      <c r="AS292" s="48">
        <f t="shared" si="158"/>
        <v>1.8</v>
      </c>
      <c r="AT292" s="48">
        <f t="shared" si="159"/>
        <v>0</v>
      </c>
      <c r="AU292" s="48">
        <f t="shared" si="160"/>
        <v>0</v>
      </c>
      <c r="AV292" s="48">
        <f t="shared" si="161"/>
        <v>0</v>
      </c>
      <c r="AW292" s="48">
        <f>IF(N292="ПП",РПП*AB292*(V292/1.5),IF(N292="ВП",ВПр*AB292*(V292/1.5),IF(N292="РПА",РПА*AB292*(V292/1.5),IF(N292="КПА",кпа*AB292*(V292/1.5),0))))</f>
        <v>0</v>
      </c>
      <c r="AX292" s="48">
        <f t="shared" si="162"/>
        <v>0</v>
      </c>
      <c r="AY292" s="48">
        <f t="shared" si="163"/>
        <v>0</v>
      </c>
      <c r="AZ292" s="48">
        <f t="shared" si="164"/>
        <v>0</v>
      </c>
      <c r="BA292" s="48">
        <f t="shared" si="165"/>
        <v>0</v>
      </c>
      <c r="BB292" s="48">
        <f t="shared" si="166"/>
        <v>0</v>
      </c>
      <c r="BC292" s="48">
        <f t="shared" si="167"/>
        <v>0</v>
      </c>
      <c r="BD292" s="48">
        <f t="shared" si="168"/>
        <v>0</v>
      </c>
      <c r="BE292" s="48">
        <f t="shared" si="169"/>
        <v>0</v>
      </c>
      <c r="BF292" s="49">
        <f t="shared" si="170"/>
        <v>68.28</v>
      </c>
      <c r="BG292" s="50"/>
      <c r="BH292" s="51">
        <f t="shared" si="171"/>
        <v>18</v>
      </c>
      <c r="BI292" s="51">
        <f t="shared" si="172"/>
        <v>0.5</v>
      </c>
      <c r="BJ292" s="51">
        <f t="shared" si="173"/>
        <v>50.28</v>
      </c>
      <c r="BK292" s="52">
        <f t="shared" si="174"/>
        <v>0</v>
      </c>
      <c r="BL292" s="52">
        <f t="shared" si="175"/>
        <v>0</v>
      </c>
      <c r="BM292" s="52">
        <f t="shared" si="176"/>
        <v>0</v>
      </c>
    </row>
    <row r="293" spans="1:65" ht="30" customHeight="1" x14ac:dyDescent="0.25">
      <c r="A293" s="31" t="str">
        <f t="shared" si="142"/>
        <v>Д</v>
      </c>
      <c r="B293" s="31" t="str">
        <f t="shared" si="143"/>
        <v>Б</v>
      </c>
      <c r="C293" s="32" t="s">
        <v>211</v>
      </c>
      <c r="D293" s="33" t="str">
        <f t="shared" si="144"/>
        <v>Факультет физико-математических и естественных наук</v>
      </c>
      <c r="E293" s="34" t="str">
        <f t="shared" si="145"/>
        <v>'02.03.02</v>
      </c>
      <c r="F293" s="35" t="str">
        <f t="shared" si="146"/>
        <v>Фундаментальная информатика и информационные технологии</v>
      </c>
      <c r="G293" s="36" t="s">
        <v>76</v>
      </c>
      <c r="H293" s="36" t="s">
        <v>183</v>
      </c>
      <c r="I293" s="37"/>
      <c r="J293" s="37"/>
      <c r="K293" s="38" t="s">
        <v>132</v>
      </c>
      <c r="L293" s="39">
        <v>5</v>
      </c>
      <c r="M293" s="39">
        <v>18</v>
      </c>
      <c r="N293" s="40" t="s">
        <v>94</v>
      </c>
      <c r="O293" s="39"/>
      <c r="P293" s="39">
        <v>2</v>
      </c>
      <c r="Q293" s="39"/>
      <c r="R293" s="40"/>
      <c r="S293" s="41"/>
      <c r="T293" s="41"/>
      <c r="U293" s="41"/>
      <c r="V293" s="41"/>
      <c r="W293" s="41"/>
      <c r="X293" s="42" t="str">
        <f t="shared" si="147"/>
        <v>НФИбд</v>
      </c>
      <c r="Y293" s="39" t="s">
        <v>128</v>
      </c>
      <c r="Z293" s="39">
        <v>1</v>
      </c>
      <c r="AA293" s="39">
        <v>1</v>
      </c>
      <c r="AB293" s="42">
        <f t="shared" si="148"/>
        <v>28</v>
      </c>
      <c r="AC293" s="39">
        <v>21</v>
      </c>
      <c r="AD293" s="39">
        <v>7</v>
      </c>
      <c r="AE293" s="44">
        <f t="shared" si="149"/>
        <v>12</v>
      </c>
      <c r="AF293" s="45">
        <f t="shared" si="150"/>
        <v>1</v>
      </c>
      <c r="AG293" s="45">
        <f t="shared" si="151"/>
        <v>2.3333333333333335</v>
      </c>
      <c r="AH293" s="46" t="s">
        <v>82</v>
      </c>
      <c r="AI293" s="40" t="s">
        <v>99</v>
      </c>
      <c r="AJ293" s="40" t="s">
        <v>116</v>
      </c>
      <c r="AK293" s="47" t="s">
        <v>123</v>
      </c>
      <c r="AL293" s="40"/>
      <c r="AM293" s="48">
        <f t="shared" si="152"/>
        <v>0</v>
      </c>
      <c r="AN293" s="48">
        <f t="shared" si="153"/>
        <v>0</v>
      </c>
      <c r="AO293" s="48">
        <f t="shared" si="154"/>
        <v>36</v>
      </c>
      <c r="AP293" s="48">
        <f t="shared" si="155"/>
        <v>0</v>
      </c>
      <c r="AQ293" s="48">
        <f t="shared" si="156"/>
        <v>0</v>
      </c>
      <c r="AR293" s="48">
        <f t="shared" si="157"/>
        <v>0</v>
      </c>
      <c r="AS293" s="48">
        <f t="shared" si="158"/>
        <v>0</v>
      </c>
      <c r="AT293" s="48">
        <f t="shared" si="159"/>
        <v>0</v>
      </c>
      <c r="AU293" s="48">
        <f t="shared" si="160"/>
        <v>0</v>
      </c>
      <c r="AV293" s="48">
        <f t="shared" si="161"/>
        <v>0</v>
      </c>
      <c r="AW293" s="48">
        <f>IF(N293="ПП",РПП*AB293*(V293/1.5),IF(N293="ВП",ВПр*AB293*(V293/1.5),IF(N293="РПА",РПА*AB293*(V293/1.5),IF(N293="КПА",кпа*AB293*(V293/1.5),0))))</f>
        <v>0</v>
      </c>
      <c r="AX293" s="48">
        <f t="shared" si="162"/>
        <v>0</v>
      </c>
      <c r="AY293" s="48">
        <f t="shared" si="163"/>
        <v>0</v>
      </c>
      <c r="AZ293" s="48">
        <f t="shared" si="164"/>
        <v>0</v>
      </c>
      <c r="BA293" s="48">
        <f t="shared" si="165"/>
        <v>0</v>
      </c>
      <c r="BB293" s="48">
        <f t="shared" si="166"/>
        <v>0</v>
      </c>
      <c r="BC293" s="48">
        <f t="shared" si="167"/>
        <v>0</v>
      </c>
      <c r="BD293" s="48">
        <f t="shared" si="168"/>
        <v>0</v>
      </c>
      <c r="BE293" s="48">
        <f t="shared" si="169"/>
        <v>0</v>
      </c>
      <c r="BF293" s="49">
        <f t="shared" si="170"/>
        <v>36</v>
      </c>
      <c r="BG293" s="50"/>
      <c r="BH293" s="51">
        <f t="shared" si="171"/>
        <v>36</v>
      </c>
      <c r="BI293" s="51">
        <f t="shared" si="172"/>
        <v>1</v>
      </c>
      <c r="BJ293" s="51">
        <f t="shared" si="173"/>
        <v>0</v>
      </c>
      <c r="BK293" s="52">
        <f t="shared" si="174"/>
        <v>0</v>
      </c>
      <c r="BL293" s="52">
        <f t="shared" si="175"/>
        <v>0</v>
      </c>
      <c r="BM293" s="52">
        <f t="shared" si="176"/>
        <v>0</v>
      </c>
    </row>
    <row r="294" spans="1:65" ht="30" customHeight="1" x14ac:dyDescent="0.25">
      <c r="A294" s="31" t="str">
        <f t="shared" si="142"/>
        <v>Д</v>
      </c>
      <c r="B294" s="31" t="str">
        <f t="shared" si="143"/>
        <v>Б</v>
      </c>
      <c r="C294" s="32" t="s">
        <v>211</v>
      </c>
      <c r="D294" s="33" t="str">
        <f t="shared" si="144"/>
        <v>Факультет физико-математических и естественных наук</v>
      </c>
      <c r="E294" s="34" t="str">
        <f t="shared" si="145"/>
        <v>'02.03.02</v>
      </c>
      <c r="F294" s="35" t="str">
        <f t="shared" si="146"/>
        <v>Фундаментальная информатика и информационные технологии</v>
      </c>
      <c r="G294" s="36" t="s">
        <v>76</v>
      </c>
      <c r="H294" s="36" t="s">
        <v>183</v>
      </c>
      <c r="I294" s="37"/>
      <c r="J294" s="37"/>
      <c r="K294" s="38" t="s">
        <v>132</v>
      </c>
      <c r="L294" s="39">
        <v>5</v>
      </c>
      <c r="M294" s="39">
        <v>18</v>
      </c>
      <c r="N294" s="40" t="s">
        <v>94</v>
      </c>
      <c r="O294" s="39"/>
      <c r="P294" s="39">
        <v>2</v>
      </c>
      <c r="Q294" s="39"/>
      <c r="R294" s="40"/>
      <c r="S294" s="41"/>
      <c r="T294" s="41"/>
      <c r="U294" s="41"/>
      <c r="V294" s="41"/>
      <c r="W294" s="41"/>
      <c r="X294" s="42" t="str">
        <f t="shared" si="147"/>
        <v>НФИбд</v>
      </c>
      <c r="Y294" s="39" t="s">
        <v>128</v>
      </c>
      <c r="Z294" s="39">
        <v>1</v>
      </c>
      <c r="AA294" s="39">
        <v>1</v>
      </c>
      <c r="AB294" s="42">
        <f t="shared" si="148"/>
        <v>0</v>
      </c>
      <c r="AC294" s="39"/>
      <c r="AD294" s="39"/>
      <c r="AE294" s="44">
        <f t="shared" si="149"/>
        <v>12</v>
      </c>
      <c r="AF294" s="45">
        <f t="shared" si="150"/>
        <v>0</v>
      </c>
      <c r="AG294" s="45">
        <f t="shared" si="151"/>
        <v>0</v>
      </c>
      <c r="AH294" s="46" t="s">
        <v>82</v>
      </c>
      <c r="AI294" s="40" t="s">
        <v>99</v>
      </c>
      <c r="AJ294" s="40" t="s">
        <v>116</v>
      </c>
      <c r="AK294" s="47" t="s">
        <v>123</v>
      </c>
      <c r="AL294" s="40"/>
      <c r="AM294" s="48">
        <f t="shared" si="152"/>
        <v>0</v>
      </c>
      <c r="AN294" s="48">
        <f t="shared" si="153"/>
        <v>0</v>
      </c>
      <c r="AO294" s="48">
        <f t="shared" si="154"/>
        <v>0</v>
      </c>
      <c r="AP294" s="48">
        <f t="shared" si="155"/>
        <v>0</v>
      </c>
      <c r="AQ294" s="48">
        <f t="shared" si="156"/>
        <v>0</v>
      </c>
      <c r="AR294" s="48">
        <f t="shared" si="157"/>
        <v>0</v>
      </c>
      <c r="AS294" s="48">
        <f t="shared" si="158"/>
        <v>0</v>
      </c>
      <c r="AT294" s="48">
        <f t="shared" si="159"/>
        <v>0</v>
      </c>
      <c r="AU294" s="48">
        <f t="shared" si="160"/>
        <v>0</v>
      </c>
      <c r="AV294" s="48">
        <f t="shared" si="161"/>
        <v>0</v>
      </c>
      <c r="AW294" s="48">
        <f>IF(N294="ПП",РПП*AB294*(V294/1.5),IF(N294="ВП",ВПр*AB294*(V294/1.5),IF(N294="РПА",РПА*AB294*(V294/1.5),IF(N294="КПА",кпа*AB294*(V294/1.5),0))))</f>
        <v>0</v>
      </c>
      <c r="AX294" s="48">
        <f t="shared" si="162"/>
        <v>0</v>
      </c>
      <c r="AY294" s="48">
        <f t="shared" si="163"/>
        <v>0</v>
      </c>
      <c r="AZ294" s="48">
        <f t="shared" si="164"/>
        <v>0</v>
      </c>
      <c r="BA294" s="48">
        <f t="shared" si="165"/>
        <v>0</v>
      </c>
      <c r="BB294" s="48">
        <f t="shared" si="166"/>
        <v>0</v>
      </c>
      <c r="BC294" s="48">
        <f t="shared" si="167"/>
        <v>0</v>
      </c>
      <c r="BD294" s="48">
        <f t="shared" si="168"/>
        <v>0</v>
      </c>
      <c r="BE294" s="48">
        <f t="shared" si="169"/>
        <v>0</v>
      </c>
      <c r="BF294" s="49">
        <f t="shared" si="170"/>
        <v>0</v>
      </c>
      <c r="BG294" s="50"/>
      <c r="BH294" s="51">
        <f t="shared" si="171"/>
        <v>0</v>
      </c>
      <c r="BI294" s="51">
        <f t="shared" si="172"/>
        <v>0</v>
      </c>
      <c r="BJ294" s="51">
        <f t="shared" si="173"/>
        <v>0</v>
      </c>
      <c r="BK294" s="52">
        <f t="shared" si="174"/>
        <v>0</v>
      </c>
      <c r="BL294" s="52">
        <f t="shared" si="175"/>
        <v>0</v>
      </c>
      <c r="BM294" s="52">
        <f t="shared" si="176"/>
        <v>0</v>
      </c>
    </row>
    <row r="295" spans="1:65" ht="30" customHeight="1" x14ac:dyDescent="0.25">
      <c r="A295" s="31" t="str">
        <f t="shared" si="142"/>
        <v>Д</v>
      </c>
      <c r="B295" s="31" t="str">
        <f t="shared" si="143"/>
        <v>Б</v>
      </c>
      <c r="C295" s="32" t="s">
        <v>211</v>
      </c>
      <c r="D295" s="33" t="str">
        <f t="shared" si="144"/>
        <v>Факультет физико-математических и естественных наук</v>
      </c>
      <c r="E295" s="34" t="str">
        <f t="shared" si="145"/>
        <v>'02.03.02</v>
      </c>
      <c r="F295" s="35" t="str">
        <f t="shared" si="146"/>
        <v>Фундаментальная информатика и информационные технологии</v>
      </c>
      <c r="G295" s="36" t="s">
        <v>76</v>
      </c>
      <c r="H295" s="36" t="s">
        <v>183</v>
      </c>
      <c r="I295" s="37"/>
      <c r="J295" s="37"/>
      <c r="K295" s="38" t="s">
        <v>132</v>
      </c>
      <c r="L295" s="39">
        <v>5</v>
      </c>
      <c r="M295" s="39">
        <v>18</v>
      </c>
      <c r="N295" s="40" t="s">
        <v>94</v>
      </c>
      <c r="O295" s="39"/>
      <c r="P295" s="39">
        <v>2</v>
      </c>
      <c r="Q295" s="39"/>
      <c r="R295" s="40"/>
      <c r="S295" s="41"/>
      <c r="T295" s="41"/>
      <c r="U295" s="41"/>
      <c r="V295" s="41"/>
      <c r="W295" s="41"/>
      <c r="X295" s="42" t="str">
        <f t="shared" si="147"/>
        <v>НФИбд</v>
      </c>
      <c r="Y295" s="39" t="s">
        <v>129</v>
      </c>
      <c r="Z295" s="39">
        <v>1</v>
      </c>
      <c r="AA295" s="39">
        <v>1</v>
      </c>
      <c r="AB295" s="42">
        <f t="shared" si="148"/>
        <v>28</v>
      </c>
      <c r="AC295" s="39">
        <v>20</v>
      </c>
      <c r="AD295" s="39">
        <v>8</v>
      </c>
      <c r="AE295" s="44">
        <f t="shared" si="149"/>
        <v>12</v>
      </c>
      <c r="AF295" s="45">
        <f t="shared" si="150"/>
        <v>1</v>
      </c>
      <c r="AG295" s="45">
        <f t="shared" si="151"/>
        <v>2.3333333333333335</v>
      </c>
      <c r="AH295" s="46" t="s">
        <v>82</v>
      </c>
      <c r="AI295" s="40" t="s">
        <v>99</v>
      </c>
      <c r="AJ295" s="40" t="s">
        <v>116</v>
      </c>
      <c r="AK295" s="47" t="s">
        <v>123</v>
      </c>
      <c r="AL295" s="40"/>
      <c r="AM295" s="48">
        <f t="shared" si="152"/>
        <v>0</v>
      </c>
      <c r="AN295" s="48">
        <f t="shared" si="153"/>
        <v>0</v>
      </c>
      <c r="AO295" s="48">
        <f t="shared" si="154"/>
        <v>36</v>
      </c>
      <c r="AP295" s="48">
        <f t="shared" si="155"/>
        <v>0</v>
      </c>
      <c r="AQ295" s="48">
        <f t="shared" si="156"/>
        <v>0</v>
      </c>
      <c r="AR295" s="48">
        <f t="shared" si="157"/>
        <v>0</v>
      </c>
      <c r="AS295" s="48">
        <f t="shared" si="158"/>
        <v>0</v>
      </c>
      <c r="AT295" s="48">
        <f t="shared" si="159"/>
        <v>0</v>
      </c>
      <c r="AU295" s="48">
        <f t="shared" si="160"/>
        <v>0</v>
      </c>
      <c r="AV295" s="48">
        <f t="shared" si="161"/>
        <v>0</v>
      </c>
      <c r="AW295" s="48">
        <f>IF(N295="ПП",РПП*AB295*(V295/1.5),IF(N295="ВП",ВПр*AB295*(V295/1.5),IF(N295="РПА",РПА*AB295*(V295/1.5),IF(N295="КПА",кпа*AB295*(V295/1.5),0))))</f>
        <v>0</v>
      </c>
      <c r="AX295" s="48">
        <f t="shared" si="162"/>
        <v>0</v>
      </c>
      <c r="AY295" s="48">
        <f t="shared" si="163"/>
        <v>0</v>
      </c>
      <c r="AZ295" s="48">
        <f t="shared" si="164"/>
        <v>0</v>
      </c>
      <c r="BA295" s="48">
        <f t="shared" si="165"/>
        <v>0</v>
      </c>
      <c r="BB295" s="48">
        <f t="shared" si="166"/>
        <v>0</v>
      </c>
      <c r="BC295" s="48">
        <f t="shared" si="167"/>
        <v>0</v>
      </c>
      <c r="BD295" s="48">
        <f t="shared" si="168"/>
        <v>0</v>
      </c>
      <c r="BE295" s="48">
        <f t="shared" si="169"/>
        <v>0</v>
      </c>
      <c r="BF295" s="49">
        <f t="shared" si="170"/>
        <v>36</v>
      </c>
      <c r="BG295" s="50"/>
      <c r="BH295" s="51">
        <f t="shared" si="171"/>
        <v>36</v>
      </c>
      <c r="BI295" s="51">
        <f t="shared" si="172"/>
        <v>1</v>
      </c>
      <c r="BJ295" s="51">
        <f t="shared" si="173"/>
        <v>0</v>
      </c>
      <c r="BK295" s="52">
        <f t="shared" si="174"/>
        <v>0</v>
      </c>
      <c r="BL295" s="52">
        <f t="shared" si="175"/>
        <v>0</v>
      </c>
      <c r="BM295" s="52">
        <f t="shared" si="176"/>
        <v>0</v>
      </c>
    </row>
    <row r="296" spans="1:65" ht="30" customHeight="1" x14ac:dyDescent="0.25">
      <c r="A296" s="31" t="str">
        <f t="shared" si="142"/>
        <v>Д</v>
      </c>
      <c r="B296" s="31" t="str">
        <f t="shared" si="143"/>
        <v>Б</v>
      </c>
      <c r="C296" s="32" t="s">
        <v>211</v>
      </c>
      <c r="D296" s="33" t="str">
        <f t="shared" si="144"/>
        <v>Факультет физико-математических и естественных наук</v>
      </c>
      <c r="E296" s="34" t="str">
        <f t="shared" si="145"/>
        <v>'02.03.02</v>
      </c>
      <c r="F296" s="35" t="str">
        <f t="shared" si="146"/>
        <v>Фундаментальная информатика и информационные технологии</v>
      </c>
      <c r="G296" s="36" t="s">
        <v>76</v>
      </c>
      <c r="H296" s="36" t="s">
        <v>183</v>
      </c>
      <c r="I296" s="37"/>
      <c r="J296" s="37"/>
      <c r="K296" s="38" t="s">
        <v>132</v>
      </c>
      <c r="L296" s="39">
        <v>5</v>
      </c>
      <c r="M296" s="39">
        <v>18</v>
      </c>
      <c r="N296" s="40" t="s">
        <v>94</v>
      </c>
      <c r="O296" s="39"/>
      <c r="P296" s="39">
        <v>2</v>
      </c>
      <c r="Q296" s="39"/>
      <c r="R296" s="40"/>
      <c r="S296" s="41"/>
      <c r="T296" s="41"/>
      <c r="U296" s="41"/>
      <c r="V296" s="41"/>
      <c r="W296" s="41"/>
      <c r="X296" s="42" t="str">
        <f t="shared" si="147"/>
        <v>НФИбд</v>
      </c>
      <c r="Y296" s="39" t="s">
        <v>129</v>
      </c>
      <c r="Z296" s="39">
        <v>1</v>
      </c>
      <c r="AA296" s="39">
        <v>1</v>
      </c>
      <c r="AB296" s="42">
        <f t="shared" si="148"/>
        <v>0</v>
      </c>
      <c r="AC296" s="39"/>
      <c r="AD296" s="39"/>
      <c r="AE296" s="44">
        <f t="shared" si="149"/>
        <v>12</v>
      </c>
      <c r="AF296" s="45">
        <f t="shared" si="150"/>
        <v>0</v>
      </c>
      <c r="AG296" s="45">
        <f t="shared" si="151"/>
        <v>0</v>
      </c>
      <c r="AH296" s="46" t="s">
        <v>82</v>
      </c>
      <c r="AI296" s="40" t="s">
        <v>99</v>
      </c>
      <c r="AJ296" s="40" t="s">
        <v>116</v>
      </c>
      <c r="AK296" s="47" t="s">
        <v>123</v>
      </c>
      <c r="AL296" s="40"/>
      <c r="AM296" s="48">
        <f t="shared" si="152"/>
        <v>0</v>
      </c>
      <c r="AN296" s="48">
        <f t="shared" si="153"/>
        <v>0</v>
      </c>
      <c r="AO296" s="48">
        <f t="shared" si="154"/>
        <v>0</v>
      </c>
      <c r="AP296" s="48">
        <f t="shared" si="155"/>
        <v>0</v>
      </c>
      <c r="AQ296" s="48">
        <f t="shared" si="156"/>
        <v>0</v>
      </c>
      <c r="AR296" s="48">
        <f t="shared" si="157"/>
        <v>0</v>
      </c>
      <c r="AS296" s="48">
        <f t="shared" si="158"/>
        <v>0</v>
      </c>
      <c r="AT296" s="48">
        <f t="shared" si="159"/>
        <v>0</v>
      </c>
      <c r="AU296" s="48">
        <f t="shared" si="160"/>
        <v>0</v>
      </c>
      <c r="AV296" s="48">
        <f t="shared" si="161"/>
        <v>0</v>
      </c>
      <c r="AW296" s="48">
        <f>IF(N296="ПП",РПП*AB296*(V296/1.5),IF(N296="ВП",ВПр*AB296*(V296/1.5),IF(N296="РПА",РПА*AB296*(V296/1.5),IF(N296="КПА",кпа*AB296*(V296/1.5),0))))</f>
        <v>0</v>
      </c>
      <c r="AX296" s="48">
        <f t="shared" si="162"/>
        <v>0</v>
      </c>
      <c r="AY296" s="48">
        <f t="shared" si="163"/>
        <v>0</v>
      </c>
      <c r="AZ296" s="48">
        <f t="shared" si="164"/>
        <v>0</v>
      </c>
      <c r="BA296" s="48">
        <f t="shared" si="165"/>
        <v>0</v>
      </c>
      <c r="BB296" s="48">
        <f t="shared" si="166"/>
        <v>0</v>
      </c>
      <c r="BC296" s="48">
        <f t="shared" si="167"/>
        <v>0</v>
      </c>
      <c r="BD296" s="48">
        <f t="shared" si="168"/>
        <v>0</v>
      </c>
      <c r="BE296" s="48">
        <f t="shared" si="169"/>
        <v>0</v>
      </c>
      <c r="BF296" s="49">
        <f t="shared" si="170"/>
        <v>0</v>
      </c>
      <c r="BG296" s="50"/>
      <c r="BH296" s="51">
        <f t="shared" si="171"/>
        <v>0</v>
      </c>
      <c r="BI296" s="51">
        <f t="shared" si="172"/>
        <v>0</v>
      </c>
      <c r="BJ296" s="51">
        <f t="shared" si="173"/>
        <v>0</v>
      </c>
      <c r="BK296" s="52">
        <f t="shared" si="174"/>
        <v>0</v>
      </c>
      <c r="BL296" s="52">
        <f t="shared" si="175"/>
        <v>0</v>
      </c>
      <c r="BM296" s="52">
        <f t="shared" si="176"/>
        <v>0</v>
      </c>
    </row>
    <row r="297" spans="1:65" ht="30" customHeight="1" x14ac:dyDescent="0.25">
      <c r="A297" s="31" t="str">
        <f t="shared" si="142"/>
        <v>Д</v>
      </c>
      <c r="B297" s="31" t="str">
        <f t="shared" si="143"/>
        <v>Б</v>
      </c>
      <c r="C297" s="32" t="s">
        <v>211</v>
      </c>
      <c r="D297" s="33" t="str">
        <f t="shared" si="144"/>
        <v>Факультет физико-математических и естественных наук</v>
      </c>
      <c r="E297" s="34" t="str">
        <f t="shared" si="145"/>
        <v>'02.03.02</v>
      </c>
      <c r="F297" s="35" t="str">
        <f t="shared" si="146"/>
        <v>Фундаментальная информатика и информационные технологии</v>
      </c>
      <c r="G297" s="36" t="s">
        <v>76</v>
      </c>
      <c r="H297" s="36" t="s">
        <v>183</v>
      </c>
      <c r="I297" s="37"/>
      <c r="J297" s="37"/>
      <c r="K297" s="38" t="s">
        <v>131</v>
      </c>
      <c r="L297" s="39">
        <v>5</v>
      </c>
      <c r="M297" s="39">
        <v>18</v>
      </c>
      <c r="N297" s="40" t="s">
        <v>79</v>
      </c>
      <c r="O297" s="39">
        <v>1</v>
      </c>
      <c r="P297" s="39"/>
      <c r="Q297" s="39"/>
      <c r="R297" s="40"/>
      <c r="S297" s="41"/>
      <c r="T297" s="41"/>
      <c r="U297" s="41"/>
      <c r="V297" s="41"/>
      <c r="W297" s="41"/>
      <c r="X297" s="42" t="str">
        <f t="shared" si="147"/>
        <v>НФИбд</v>
      </c>
      <c r="Y297" s="39" t="s">
        <v>212</v>
      </c>
      <c r="Z297" s="39">
        <v>4</v>
      </c>
      <c r="AA297" s="39">
        <v>2</v>
      </c>
      <c r="AB297" s="42">
        <f t="shared" si="148"/>
        <v>56</v>
      </c>
      <c r="AC297" s="39">
        <v>41</v>
      </c>
      <c r="AD297" s="39">
        <v>15</v>
      </c>
      <c r="AE297" s="44">
        <f t="shared" si="149"/>
        <v>56</v>
      </c>
      <c r="AF297" s="45">
        <f t="shared" si="150"/>
        <v>1</v>
      </c>
      <c r="AG297" s="45">
        <f t="shared" si="151"/>
        <v>1</v>
      </c>
      <c r="AH297" s="46" t="s">
        <v>82</v>
      </c>
      <c r="AI297" s="40" t="s">
        <v>83</v>
      </c>
      <c r="AJ297" s="40" t="s">
        <v>84</v>
      </c>
      <c r="AK297" s="47" t="s">
        <v>204</v>
      </c>
      <c r="AL297" s="40"/>
      <c r="AM297" s="48">
        <f t="shared" si="152"/>
        <v>18</v>
      </c>
      <c r="AN297" s="48">
        <f t="shared" si="153"/>
        <v>0</v>
      </c>
      <c r="AO297" s="48">
        <f t="shared" si="154"/>
        <v>0</v>
      </c>
      <c r="AP297" s="48">
        <f t="shared" si="155"/>
        <v>0</v>
      </c>
      <c r="AQ297" s="48">
        <f t="shared" si="156"/>
        <v>0</v>
      </c>
      <c r="AR297" s="48">
        <f t="shared" si="157"/>
        <v>0</v>
      </c>
      <c r="AS297" s="48">
        <f t="shared" si="158"/>
        <v>1.8</v>
      </c>
      <c r="AT297" s="48">
        <f t="shared" si="159"/>
        <v>0</v>
      </c>
      <c r="AU297" s="48">
        <f t="shared" si="160"/>
        <v>0</v>
      </c>
      <c r="AV297" s="48">
        <f t="shared" si="161"/>
        <v>0</v>
      </c>
      <c r="AW297" s="48">
        <f>IF(N297="ПП",РПП*AB297*(V297/1.5),IF(N297="ВП",ВПр*AB297*(V297/1.5),IF(N297="РПА",РПА*AB297*(V297/1.5),IF(N297="КПА",кпа*AB297*(V297/1.5),0))))</f>
        <v>0</v>
      </c>
      <c r="AX297" s="48">
        <f t="shared" si="162"/>
        <v>0</v>
      </c>
      <c r="AY297" s="48">
        <f t="shared" si="163"/>
        <v>0</v>
      </c>
      <c r="AZ297" s="48">
        <f t="shared" si="164"/>
        <v>0</v>
      </c>
      <c r="BA297" s="48">
        <f t="shared" si="165"/>
        <v>0</v>
      </c>
      <c r="BB297" s="48">
        <f t="shared" si="166"/>
        <v>0</v>
      </c>
      <c r="BC297" s="48">
        <f t="shared" si="167"/>
        <v>0</v>
      </c>
      <c r="BD297" s="48">
        <f t="shared" si="168"/>
        <v>0</v>
      </c>
      <c r="BE297" s="48">
        <f t="shared" si="169"/>
        <v>0</v>
      </c>
      <c r="BF297" s="49">
        <f t="shared" si="170"/>
        <v>19.8</v>
      </c>
      <c r="BG297" s="50"/>
      <c r="BH297" s="51">
        <f t="shared" si="171"/>
        <v>18</v>
      </c>
      <c r="BI297" s="51">
        <f t="shared" si="172"/>
        <v>0.5</v>
      </c>
      <c r="BJ297" s="51">
        <f t="shared" si="173"/>
        <v>1.8</v>
      </c>
      <c r="BK297" s="52">
        <f t="shared" si="174"/>
        <v>0</v>
      </c>
      <c r="BL297" s="52">
        <f t="shared" si="175"/>
        <v>0</v>
      </c>
      <c r="BM297" s="52">
        <f t="shared" si="176"/>
        <v>0</v>
      </c>
    </row>
    <row r="298" spans="1:65" ht="30" customHeight="1" x14ac:dyDescent="0.25">
      <c r="A298" s="31" t="str">
        <f t="shared" si="142"/>
        <v>Д</v>
      </c>
      <c r="B298" s="31" t="str">
        <f t="shared" si="143"/>
        <v>Б</v>
      </c>
      <c r="C298" s="32" t="s">
        <v>211</v>
      </c>
      <c r="D298" s="33" t="str">
        <f t="shared" si="144"/>
        <v>Факультет физико-математических и естественных наук</v>
      </c>
      <c r="E298" s="34" t="str">
        <f t="shared" si="145"/>
        <v>'02.03.02</v>
      </c>
      <c r="F298" s="35" t="str">
        <f t="shared" si="146"/>
        <v>Фундаментальная информатика и информационные технологии</v>
      </c>
      <c r="G298" s="36" t="s">
        <v>76</v>
      </c>
      <c r="H298" s="36" t="s">
        <v>183</v>
      </c>
      <c r="I298" s="37"/>
      <c r="J298" s="37"/>
      <c r="K298" s="38" t="s">
        <v>131</v>
      </c>
      <c r="L298" s="39">
        <v>5</v>
      </c>
      <c r="M298" s="39">
        <v>18</v>
      </c>
      <c r="N298" s="40" t="s">
        <v>94</v>
      </c>
      <c r="O298" s="39"/>
      <c r="P298" s="39">
        <v>2</v>
      </c>
      <c r="Q298" s="39"/>
      <c r="R298" s="40" t="s">
        <v>95</v>
      </c>
      <c r="S298" s="41"/>
      <c r="T298" s="41"/>
      <c r="U298" s="41"/>
      <c r="V298" s="41"/>
      <c r="W298" s="41"/>
      <c r="X298" s="42" t="str">
        <f t="shared" si="147"/>
        <v>НФИбд</v>
      </c>
      <c r="Y298" s="39" t="s">
        <v>128</v>
      </c>
      <c r="Z298" s="39">
        <v>1</v>
      </c>
      <c r="AA298" s="39">
        <v>1</v>
      </c>
      <c r="AB298" s="42">
        <f t="shared" si="148"/>
        <v>28</v>
      </c>
      <c r="AC298" s="39">
        <v>21</v>
      </c>
      <c r="AD298" s="39">
        <v>7</v>
      </c>
      <c r="AE298" s="44">
        <f t="shared" si="149"/>
        <v>12</v>
      </c>
      <c r="AF298" s="45">
        <f t="shared" si="150"/>
        <v>1</v>
      </c>
      <c r="AG298" s="45">
        <f t="shared" si="151"/>
        <v>2.3333333333333335</v>
      </c>
      <c r="AH298" s="46" t="s">
        <v>82</v>
      </c>
      <c r="AI298" s="40" t="s">
        <v>83</v>
      </c>
      <c r="AJ298" s="40" t="s">
        <v>84</v>
      </c>
      <c r="AK298" s="47" t="s">
        <v>204</v>
      </c>
      <c r="AL298" s="40"/>
      <c r="AM298" s="48">
        <f t="shared" si="152"/>
        <v>0</v>
      </c>
      <c r="AN298" s="48">
        <f t="shared" si="153"/>
        <v>0</v>
      </c>
      <c r="AO298" s="48">
        <f t="shared" si="154"/>
        <v>36</v>
      </c>
      <c r="AP298" s="48">
        <f t="shared" si="155"/>
        <v>9.24</v>
      </c>
      <c r="AQ298" s="48">
        <f t="shared" si="156"/>
        <v>14</v>
      </c>
      <c r="AR298" s="48">
        <f t="shared" si="157"/>
        <v>1</v>
      </c>
      <c r="AS298" s="48">
        <f t="shared" si="158"/>
        <v>0</v>
      </c>
      <c r="AT298" s="48">
        <f t="shared" si="159"/>
        <v>0</v>
      </c>
      <c r="AU298" s="48">
        <f t="shared" si="160"/>
        <v>0</v>
      </c>
      <c r="AV298" s="48">
        <f t="shared" si="161"/>
        <v>0</v>
      </c>
      <c r="AW298" s="48">
        <f>IF(N298="ПП",РПП*AB298*(V298/1.5),IF(N298="ВП",ВПр*AB298*(V298/1.5),IF(N298="РПА",РПА*AB298*(V298/1.5),IF(N298="КПА",кпа*AB298*(V298/1.5),0))))</f>
        <v>0</v>
      </c>
      <c r="AX298" s="48">
        <f t="shared" si="162"/>
        <v>0</v>
      </c>
      <c r="AY298" s="48">
        <f t="shared" si="163"/>
        <v>0</v>
      </c>
      <c r="AZ298" s="48">
        <f t="shared" si="164"/>
        <v>0</v>
      </c>
      <c r="BA298" s="48">
        <f t="shared" si="165"/>
        <v>0</v>
      </c>
      <c r="BB298" s="48">
        <f t="shared" si="166"/>
        <v>0</v>
      </c>
      <c r="BC298" s="48">
        <f t="shared" si="167"/>
        <v>0</v>
      </c>
      <c r="BD298" s="48">
        <f t="shared" si="168"/>
        <v>0</v>
      </c>
      <c r="BE298" s="48">
        <f t="shared" si="169"/>
        <v>0</v>
      </c>
      <c r="BF298" s="49">
        <f t="shared" si="170"/>
        <v>60.24</v>
      </c>
      <c r="BG298" s="50"/>
      <c r="BH298" s="51">
        <f t="shared" si="171"/>
        <v>36</v>
      </c>
      <c r="BI298" s="51">
        <f t="shared" si="172"/>
        <v>1</v>
      </c>
      <c r="BJ298" s="51">
        <f t="shared" si="173"/>
        <v>24.240000000000002</v>
      </c>
      <c r="BK298" s="52">
        <f t="shared" si="174"/>
        <v>0</v>
      </c>
      <c r="BL298" s="52">
        <f t="shared" si="175"/>
        <v>0</v>
      </c>
      <c r="BM298" s="52">
        <f t="shared" si="176"/>
        <v>0</v>
      </c>
    </row>
    <row r="299" spans="1:65" ht="30" customHeight="1" x14ac:dyDescent="0.25">
      <c r="A299" s="31" t="str">
        <f t="shared" si="142"/>
        <v>Д</v>
      </c>
      <c r="B299" s="31" t="str">
        <f t="shared" si="143"/>
        <v>Б</v>
      </c>
      <c r="C299" s="32" t="s">
        <v>211</v>
      </c>
      <c r="D299" s="33" t="str">
        <f t="shared" si="144"/>
        <v>Факультет физико-математических и естественных наук</v>
      </c>
      <c r="E299" s="34" t="str">
        <f t="shared" si="145"/>
        <v>'02.03.02</v>
      </c>
      <c r="F299" s="35" t="str">
        <f t="shared" si="146"/>
        <v>Фундаментальная информатика и информационные технологии</v>
      </c>
      <c r="G299" s="36" t="s">
        <v>76</v>
      </c>
      <c r="H299" s="36" t="s">
        <v>183</v>
      </c>
      <c r="I299" s="37"/>
      <c r="J299" s="37"/>
      <c r="K299" s="38" t="s">
        <v>131</v>
      </c>
      <c r="L299" s="39">
        <v>5</v>
      </c>
      <c r="M299" s="39">
        <v>18</v>
      </c>
      <c r="N299" s="40" t="s">
        <v>94</v>
      </c>
      <c r="O299" s="39"/>
      <c r="P299" s="39">
        <v>2</v>
      </c>
      <c r="Q299" s="39"/>
      <c r="R299" s="40" t="s">
        <v>95</v>
      </c>
      <c r="S299" s="41"/>
      <c r="T299" s="41"/>
      <c r="U299" s="41"/>
      <c r="V299" s="41"/>
      <c r="W299" s="41"/>
      <c r="X299" s="42" t="str">
        <f t="shared" si="147"/>
        <v>НФИбд</v>
      </c>
      <c r="Y299" s="39" t="s">
        <v>128</v>
      </c>
      <c r="Z299" s="39">
        <v>1</v>
      </c>
      <c r="AA299" s="39">
        <v>1</v>
      </c>
      <c r="AB299" s="42">
        <f t="shared" si="148"/>
        <v>0</v>
      </c>
      <c r="AC299" s="39"/>
      <c r="AD299" s="39"/>
      <c r="AE299" s="44">
        <f t="shared" si="149"/>
        <v>12</v>
      </c>
      <c r="AF299" s="45">
        <f t="shared" si="150"/>
        <v>0</v>
      </c>
      <c r="AG299" s="45">
        <f t="shared" si="151"/>
        <v>0</v>
      </c>
      <c r="AH299" s="46" t="s">
        <v>82</v>
      </c>
      <c r="AI299" s="40" t="s">
        <v>83</v>
      </c>
      <c r="AJ299" s="40" t="s">
        <v>84</v>
      </c>
      <c r="AK299" s="47" t="s">
        <v>204</v>
      </c>
      <c r="AL299" s="40"/>
      <c r="AM299" s="48">
        <f t="shared" si="152"/>
        <v>0</v>
      </c>
      <c r="AN299" s="48">
        <f t="shared" si="153"/>
        <v>0</v>
      </c>
      <c r="AO299" s="48">
        <f t="shared" si="154"/>
        <v>0</v>
      </c>
      <c r="AP299" s="48">
        <f t="shared" si="155"/>
        <v>0</v>
      </c>
      <c r="AQ299" s="48">
        <f t="shared" si="156"/>
        <v>0</v>
      </c>
      <c r="AR299" s="48">
        <f t="shared" si="157"/>
        <v>0</v>
      </c>
      <c r="AS299" s="48">
        <f t="shared" si="158"/>
        <v>0</v>
      </c>
      <c r="AT299" s="48">
        <f t="shared" si="159"/>
        <v>0</v>
      </c>
      <c r="AU299" s="48">
        <f t="shared" si="160"/>
        <v>0</v>
      </c>
      <c r="AV299" s="48">
        <f t="shared" si="161"/>
        <v>0</v>
      </c>
      <c r="AW299" s="48">
        <f>IF(N299="ПП",РПП*AB299*(V299/1.5),IF(N299="ВП",ВПр*AB299*(V299/1.5),IF(N299="РПА",РПА*AB299*(V299/1.5),IF(N299="КПА",кпа*AB299*(V299/1.5),0))))</f>
        <v>0</v>
      </c>
      <c r="AX299" s="48">
        <f t="shared" si="162"/>
        <v>0</v>
      </c>
      <c r="AY299" s="48">
        <f t="shared" si="163"/>
        <v>0</v>
      </c>
      <c r="AZ299" s="48">
        <f t="shared" si="164"/>
        <v>0</v>
      </c>
      <c r="BA299" s="48">
        <f t="shared" si="165"/>
        <v>0</v>
      </c>
      <c r="BB299" s="48">
        <f t="shared" si="166"/>
        <v>0</v>
      </c>
      <c r="BC299" s="48">
        <f t="shared" si="167"/>
        <v>0</v>
      </c>
      <c r="BD299" s="48">
        <f t="shared" si="168"/>
        <v>0</v>
      </c>
      <c r="BE299" s="48">
        <f t="shared" si="169"/>
        <v>0</v>
      </c>
      <c r="BF299" s="49">
        <f t="shared" si="170"/>
        <v>0</v>
      </c>
      <c r="BG299" s="50"/>
      <c r="BH299" s="51">
        <f t="shared" si="171"/>
        <v>0</v>
      </c>
      <c r="BI299" s="51">
        <f t="shared" si="172"/>
        <v>0</v>
      </c>
      <c r="BJ299" s="51">
        <f t="shared" si="173"/>
        <v>0</v>
      </c>
      <c r="BK299" s="52">
        <f t="shared" si="174"/>
        <v>0</v>
      </c>
      <c r="BL299" s="52">
        <f t="shared" si="175"/>
        <v>0</v>
      </c>
      <c r="BM299" s="52">
        <f t="shared" si="176"/>
        <v>0</v>
      </c>
    </row>
    <row r="300" spans="1:65" ht="30" customHeight="1" x14ac:dyDescent="0.25">
      <c r="A300" s="31" t="str">
        <f t="shared" si="142"/>
        <v>Д</v>
      </c>
      <c r="B300" s="31" t="str">
        <f t="shared" si="143"/>
        <v>Б</v>
      </c>
      <c r="C300" s="32" t="s">
        <v>211</v>
      </c>
      <c r="D300" s="33" t="str">
        <f t="shared" si="144"/>
        <v>Факультет физико-математических и естественных наук</v>
      </c>
      <c r="E300" s="34" t="str">
        <f t="shared" si="145"/>
        <v>'02.03.02</v>
      </c>
      <c r="F300" s="35" t="str">
        <f t="shared" si="146"/>
        <v>Фундаментальная информатика и информационные технологии</v>
      </c>
      <c r="G300" s="36" t="s">
        <v>76</v>
      </c>
      <c r="H300" s="36" t="s">
        <v>183</v>
      </c>
      <c r="I300" s="37"/>
      <c r="J300" s="37"/>
      <c r="K300" s="38" t="s">
        <v>131</v>
      </c>
      <c r="L300" s="39">
        <v>5</v>
      </c>
      <c r="M300" s="39">
        <v>18</v>
      </c>
      <c r="N300" s="40" t="s">
        <v>94</v>
      </c>
      <c r="O300" s="39"/>
      <c r="P300" s="39">
        <v>2</v>
      </c>
      <c r="Q300" s="39"/>
      <c r="R300" s="40" t="s">
        <v>95</v>
      </c>
      <c r="S300" s="41"/>
      <c r="T300" s="41"/>
      <c r="U300" s="41"/>
      <c r="V300" s="41"/>
      <c r="W300" s="41"/>
      <c r="X300" s="42" t="str">
        <f t="shared" si="147"/>
        <v>НФИбд</v>
      </c>
      <c r="Y300" s="39" t="s">
        <v>129</v>
      </c>
      <c r="Z300" s="39">
        <v>1</v>
      </c>
      <c r="AA300" s="39">
        <v>1</v>
      </c>
      <c r="AB300" s="42">
        <f t="shared" si="148"/>
        <v>28</v>
      </c>
      <c r="AC300" s="39">
        <v>20</v>
      </c>
      <c r="AD300" s="39">
        <v>8</v>
      </c>
      <c r="AE300" s="44">
        <f t="shared" si="149"/>
        <v>12</v>
      </c>
      <c r="AF300" s="45">
        <f t="shared" si="150"/>
        <v>1</v>
      </c>
      <c r="AG300" s="45">
        <f t="shared" si="151"/>
        <v>2.3333333333333335</v>
      </c>
      <c r="AH300" s="46" t="s">
        <v>82</v>
      </c>
      <c r="AI300" s="40" t="s">
        <v>83</v>
      </c>
      <c r="AJ300" s="40" t="s">
        <v>84</v>
      </c>
      <c r="AK300" s="47" t="s">
        <v>204</v>
      </c>
      <c r="AL300" s="40"/>
      <c r="AM300" s="48">
        <f t="shared" si="152"/>
        <v>0</v>
      </c>
      <c r="AN300" s="48">
        <f t="shared" si="153"/>
        <v>0</v>
      </c>
      <c r="AO300" s="48">
        <f t="shared" si="154"/>
        <v>36</v>
      </c>
      <c r="AP300" s="48">
        <f t="shared" si="155"/>
        <v>9.24</v>
      </c>
      <c r="AQ300" s="48">
        <f t="shared" si="156"/>
        <v>14</v>
      </c>
      <c r="AR300" s="48">
        <f t="shared" si="157"/>
        <v>1</v>
      </c>
      <c r="AS300" s="48">
        <f t="shared" si="158"/>
        <v>0</v>
      </c>
      <c r="AT300" s="48">
        <f t="shared" si="159"/>
        <v>0</v>
      </c>
      <c r="AU300" s="48">
        <f t="shared" si="160"/>
        <v>0</v>
      </c>
      <c r="AV300" s="48">
        <f t="shared" si="161"/>
        <v>0</v>
      </c>
      <c r="AW300" s="48">
        <f>IF(N300="ПП",РПП*AB300*(V300/1.5),IF(N300="ВП",ВПр*AB300*(V300/1.5),IF(N300="РПА",РПА*AB300*(V300/1.5),IF(N300="КПА",кпа*AB300*(V300/1.5),0))))</f>
        <v>0</v>
      </c>
      <c r="AX300" s="48">
        <f t="shared" si="162"/>
        <v>0</v>
      </c>
      <c r="AY300" s="48">
        <f t="shared" si="163"/>
        <v>0</v>
      </c>
      <c r="AZ300" s="48">
        <f t="shared" si="164"/>
        <v>0</v>
      </c>
      <c r="BA300" s="48">
        <f t="shared" si="165"/>
        <v>0</v>
      </c>
      <c r="BB300" s="48">
        <f t="shared" si="166"/>
        <v>0</v>
      </c>
      <c r="BC300" s="48">
        <f t="shared" si="167"/>
        <v>0</v>
      </c>
      <c r="BD300" s="48">
        <f t="shared" si="168"/>
        <v>0</v>
      </c>
      <c r="BE300" s="48">
        <f t="shared" si="169"/>
        <v>0</v>
      </c>
      <c r="BF300" s="49">
        <f t="shared" si="170"/>
        <v>60.24</v>
      </c>
      <c r="BG300" s="50"/>
      <c r="BH300" s="51">
        <f t="shared" si="171"/>
        <v>36</v>
      </c>
      <c r="BI300" s="51">
        <f t="shared" si="172"/>
        <v>1</v>
      </c>
      <c r="BJ300" s="51">
        <f t="shared" si="173"/>
        <v>24.240000000000002</v>
      </c>
      <c r="BK300" s="52">
        <f t="shared" si="174"/>
        <v>0</v>
      </c>
      <c r="BL300" s="52">
        <f t="shared" si="175"/>
        <v>0</v>
      </c>
      <c r="BM300" s="52">
        <f t="shared" si="176"/>
        <v>0</v>
      </c>
    </row>
    <row r="301" spans="1:65" ht="30" customHeight="1" x14ac:dyDescent="0.25">
      <c r="A301" s="31" t="str">
        <f t="shared" si="142"/>
        <v>Д</v>
      </c>
      <c r="B301" s="31" t="str">
        <f t="shared" si="143"/>
        <v>Б</v>
      </c>
      <c r="C301" s="32" t="s">
        <v>211</v>
      </c>
      <c r="D301" s="33" t="str">
        <f t="shared" si="144"/>
        <v>Факультет физико-математических и естественных наук</v>
      </c>
      <c r="E301" s="34" t="str">
        <f t="shared" si="145"/>
        <v>'02.03.02</v>
      </c>
      <c r="F301" s="35" t="str">
        <f t="shared" si="146"/>
        <v>Фундаментальная информатика и информационные технологии</v>
      </c>
      <c r="G301" s="36" t="s">
        <v>76</v>
      </c>
      <c r="H301" s="36" t="s">
        <v>183</v>
      </c>
      <c r="I301" s="37"/>
      <c r="J301" s="37"/>
      <c r="K301" s="38" t="s">
        <v>131</v>
      </c>
      <c r="L301" s="39">
        <v>5</v>
      </c>
      <c r="M301" s="39">
        <v>18</v>
      </c>
      <c r="N301" s="40" t="s">
        <v>94</v>
      </c>
      <c r="O301" s="39"/>
      <c r="P301" s="39">
        <v>2</v>
      </c>
      <c r="Q301" s="39"/>
      <c r="R301" s="40" t="s">
        <v>95</v>
      </c>
      <c r="S301" s="41"/>
      <c r="T301" s="41"/>
      <c r="U301" s="41"/>
      <c r="V301" s="41"/>
      <c r="W301" s="41"/>
      <c r="X301" s="42" t="str">
        <f t="shared" si="147"/>
        <v>НФИбд</v>
      </c>
      <c r="Y301" s="39" t="s">
        <v>129</v>
      </c>
      <c r="Z301" s="39">
        <v>1</v>
      </c>
      <c r="AA301" s="39">
        <v>1</v>
      </c>
      <c r="AB301" s="42">
        <f t="shared" si="148"/>
        <v>0</v>
      </c>
      <c r="AC301" s="39"/>
      <c r="AD301" s="39"/>
      <c r="AE301" s="44">
        <f t="shared" si="149"/>
        <v>12</v>
      </c>
      <c r="AF301" s="45">
        <f t="shared" si="150"/>
        <v>0</v>
      </c>
      <c r="AG301" s="45">
        <f t="shared" si="151"/>
        <v>0</v>
      </c>
      <c r="AH301" s="46" t="s">
        <v>82</v>
      </c>
      <c r="AI301" s="40" t="s">
        <v>83</v>
      </c>
      <c r="AJ301" s="40" t="s">
        <v>84</v>
      </c>
      <c r="AK301" s="47" t="s">
        <v>204</v>
      </c>
      <c r="AL301" s="40"/>
      <c r="AM301" s="48">
        <f t="shared" si="152"/>
        <v>0</v>
      </c>
      <c r="AN301" s="48">
        <f t="shared" si="153"/>
        <v>0</v>
      </c>
      <c r="AO301" s="48">
        <f t="shared" si="154"/>
        <v>0</v>
      </c>
      <c r="AP301" s="48">
        <f t="shared" si="155"/>
        <v>0</v>
      </c>
      <c r="AQ301" s="48">
        <f t="shared" si="156"/>
        <v>0</v>
      </c>
      <c r="AR301" s="48">
        <f t="shared" si="157"/>
        <v>0</v>
      </c>
      <c r="AS301" s="48">
        <f t="shared" si="158"/>
        <v>0</v>
      </c>
      <c r="AT301" s="48">
        <f t="shared" si="159"/>
        <v>0</v>
      </c>
      <c r="AU301" s="48">
        <f t="shared" si="160"/>
        <v>0</v>
      </c>
      <c r="AV301" s="48">
        <f t="shared" si="161"/>
        <v>0</v>
      </c>
      <c r="AW301" s="48">
        <f>IF(N301="ПП",РПП*AB301*(V301/1.5),IF(N301="ВП",ВПр*AB301*(V301/1.5),IF(N301="РПА",РПА*AB301*(V301/1.5),IF(N301="КПА",кпа*AB301*(V301/1.5),0))))</f>
        <v>0</v>
      </c>
      <c r="AX301" s="48">
        <f t="shared" si="162"/>
        <v>0</v>
      </c>
      <c r="AY301" s="48">
        <f t="shared" si="163"/>
        <v>0</v>
      </c>
      <c r="AZ301" s="48">
        <f t="shared" si="164"/>
        <v>0</v>
      </c>
      <c r="BA301" s="48">
        <f t="shared" si="165"/>
        <v>0</v>
      </c>
      <c r="BB301" s="48">
        <f t="shared" si="166"/>
        <v>0</v>
      </c>
      <c r="BC301" s="48">
        <f t="shared" si="167"/>
        <v>0</v>
      </c>
      <c r="BD301" s="48">
        <f t="shared" si="168"/>
        <v>0</v>
      </c>
      <c r="BE301" s="48">
        <f t="shared" si="169"/>
        <v>0</v>
      </c>
      <c r="BF301" s="49">
        <f t="shared" si="170"/>
        <v>0</v>
      </c>
      <c r="BG301" s="50"/>
      <c r="BH301" s="51">
        <f t="shared" si="171"/>
        <v>0</v>
      </c>
      <c r="BI301" s="51">
        <f t="shared" si="172"/>
        <v>0</v>
      </c>
      <c r="BJ301" s="51">
        <f t="shared" si="173"/>
        <v>0</v>
      </c>
      <c r="BK301" s="52">
        <f t="shared" si="174"/>
        <v>0</v>
      </c>
      <c r="BL301" s="52">
        <f t="shared" si="175"/>
        <v>0</v>
      </c>
      <c r="BM301" s="52">
        <f t="shared" si="176"/>
        <v>0</v>
      </c>
    </row>
    <row r="302" spans="1:65" ht="30" customHeight="1" x14ac:dyDescent="0.25">
      <c r="A302" s="31" t="str">
        <f t="shared" si="142"/>
        <v>Д</v>
      </c>
      <c r="B302" s="31" t="str">
        <f t="shared" si="143"/>
        <v>Б</v>
      </c>
      <c r="C302" s="32" t="s">
        <v>211</v>
      </c>
      <c r="D302" s="33" t="str">
        <f t="shared" si="144"/>
        <v>Факультет физико-математических и естественных наук</v>
      </c>
      <c r="E302" s="34" t="str">
        <f t="shared" si="145"/>
        <v>'02.03.02</v>
      </c>
      <c r="F302" s="35" t="str">
        <f t="shared" si="146"/>
        <v>Фундаментальная информатика и информационные технологии</v>
      </c>
      <c r="G302" s="36" t="s">
        <v>76</v>
      </c>
      <c r="H302" s="36" t="s">
        <v>135</v>
      </c>
      <c r="I302" s="37"/>
      <c r="J302" s="37" t="s">
        <v>154</v>
      </c>
      <c r="K302" s="38" t="s">
        <v>133</v>
      </c>
      <c r="L302" s="39">
        <v>5</v>
      </c>
      <c r="M302" s="39">
        <v>18</v>
      </c>
      <c r="N302" s="40" t="s">
        <v>79</v>
      </c>
      <c r="O302" s="39">
        <v>1</v>
      </c>
      <c r="P302" s="39"/>
      <c r="Q302" s="39"/>
      <c r="R302" s="40"/>
      <c r="S302" s="41"/>
      <c r="T302" s="41"/>
      <c r="U302" s="41"/>
      <c r="V302" s="41"/>
      <c r="W302" s="41"/>
      <c r="X302" s="42" t="str">
        <f t="shared" si="147"/>
        <v>НФИбд</v>
      </c>
      <c r="Y302" s="39" t="s">
        <v>212</v>
      </c>
      <c r="Z302" s="39">
        <v>4</v>
      </c>
      <c r="AA302" s="39">
        <v>2</v>
      </c>
      <c r="AB302" s="42">
        <f t="shared" si="148"/>
        <v>16</v>
      </c>
      <c r="AC302" s="39">
        <v>11</v>
      </c>
      <c r="AD302" s="39">
        <v>5</v>
      </c>
      <c r="AE302" s="44">
        <f t="shared" si="149"/>
        <v>16</v>
      </c>
      <c r="AF302" s="45">
        <f t="shared" si="150"/>
        <v>1</v>
      </c>
      <c r="AG302" s="45">
        <f t="shared" si="151"/>
        <v>1</v>
      </c>
      <c r="AH302" s="46" t="s">
        <v>82</v>
      </c>
      <c r="AI302" s="40" t="s">
        <v>99</v>
      </c>
      <c r="AJ302" s="40" t="s">
        <v>84</v>
      </c>
      <c r="AK302" s="47" t="s">
        <v>134</v>
      </c>
      <c r="AL302" s="40"/>
      <c r="AM302" s="48">
        <f t="shared" si="152"/>
        <v>18</v>
      </c>
      <c r="AN302" s="48">
        <f t="shared" si="153"/>
        <v>0</v>
      </c>
      <c r="AO302" s="48">
        <f t="shared" si="154"/>
        <v>0</v>
      </c>
      <c r="AP302" s="48">
        <f t="shared" si="155"/>
        <v>0</v>
      </c>
      <c r="AQ302" s="48">
        <f t="shared" si="156"/>
        <v>0</v>
      </c>
      <c r="AR302" s="48">
        <f t="shared" si="157"/>
        <v>0</v>
      </c>
      <c r="AS302" s="48">
        <f t="shared" si="158"/>
        <v>1.8</v>
      </c>
      <c r="AT302" s="48">
        <f t="shared" si="159"/>
        <v>0</v>
      </c>
      <c r="AU302" s="48">
        <f t="shared" si="160"/>
        <v>0</v>
      </c>
      <c r="AV302" s="48">
        <f t="shared" si="161"/>
        <v>0</v>
      </c>
      <c r="AW302" s="48">
        <f>IF(N302="ПП",РПП*AB302*(V302/1.5),IF(N302="ВП",ВПр*AB302*(V302/1.5),IF(N302="РПА",РПА*AB302*(V302/1.5),IF(N302="КПА",кпа*AB302*(V302/1.5),0))))</f>
        <v>0</v>
      </c>
      <c r="AX302" s="48">
        <f t="shared" si="162"/>
        <v>0</v>
      </c>
      <c r="AY302" s="48">
        <f t="shared" si="163"/>
        <v>0</v>
      </c>
      <c r="AZ302" s="48">
        <f t="shared" si="164"/>
        <v>0</v>
      </c>
      <c r="BA302" s="48">
        <f t="shared" si="165"/>
        <v>0</v>
      </c>
      <c r="BB302" s="48">
        <f t="shared" si="166"/>
        <v>0</v>
      </c>
      <c r="BC302" s="48">
        <f t="shared" si="167"/>
        <v>0</v>
      </c>
      <c r="BD302" s="48">
        <f t="shared" si="168"/>
        <v>0</v>
      </c>
      <c r="BE302" s="48">
        <f t="shared" si="169"/>
        <v>0</v>
      </c>
      <c r="BF302" s="49">
        <f t="shared" si="170"/>
        <v>19.8</v>
      </c>
      <c r="BG302" s="50"/>
      <c r="BH302" s="51">
        <f t="shared" si="171"/>
        <v>18</v>
      </c>
      <c r="BI302" s="51">
        <f t="shared" si="172"/>
        <v>0.5</v>
      </c>
      <c r="BJ302" s="51">
        <f t="shared" si="173"/>
        <v>1.8</v>
      </c>
      <c r="BK302" s="52">
        <f t="shared" si="174"/>
        <v>0</v>
      </c>
      <c r="BL302" s="52">
        <f t="shared" si="175"/>
        <v>0</v>
      </c>
      <c r="BM302" s="52">
        <f t="shared" si="176"/>
        <v>0</v>
      </c>
    </row>
    <row r="303" spans="1:65" ht="30" customHeight="1" x14ac:dyDescent="0.25">
      <c r="A303" s="31" t="str">
        <f t="shared" si="142"/>
        <v>Д</v>
      </c>
      <c r="B303" s="31" t="str">
        <f t="shared" si="143"/>
        <v>Б</v>
      </c>
      <c r="C303" s="32" t="s">
        <v>211</v>
      </c>
      <c r="D303" s="33" t="str">
        <f t="shared" si="144"/>
        <v>Факультет физико-математических и естественных наук</v>
      </c>
      <c r="E303" s="34" t="str">
        <f t="shared" si="145"/>
        <v>'02.03.02</v>
      </c>
      <c r="F303" s="35" t="str">
        <f t="shared" si="146"/>
        <v>Фундаментальная информатика и информационные технологии</v>
      </c>
      <c r="G303" s="36" t="s">
        <v>76</v>
      </c>
      <c r="H303" s="36" t="s">
        <v>135</v>
      </c>
      <c r="I303" s="37"/>
      <c r="J303" s="37" t="s">
        <v>154</v>
      </c>
      <c r="K303" s="38" t="s">
        <v>133</v>
      </c>
      <c r="L303" s="39">
        <v>5</v>
      </c>
      <c r="M303" s="39">
        <v>18</v>
      </c>
      <c r="N303" s="40" t="s">
        <v>86</v>
      </c>
      <c r="O303" s="39"/>
      <c r="P303" s="39"/>
      <c r="Q303" s="39">
        <v>1</v>
      </c>
      <c r="R303" s="40" t="s">
        <v>95</v>
      </c>
      <c r="S303" s="41"/>
      <c r="T303" s="41"/>
      <c r="U303" s="41"/>
      <c r="V303" s="41"/>
      <c r="W303" s="41"/>
      <c r="X303" s="42" t="str">
        <f t="shared" si="147"/>
        <v>НФИбд</v>
      </c>
      <c r="Y303" s="39" t="s">
        <v>212</v>
      </c>
      <c r="Z303" s="39">
        <v>4</v>
      </c>
      <c r="AA303" s="39">
        <v>2</v>
      </c>
      <c r="AB303" s="42">
        <f t="shared" si="148"/>
        <v>16</v>
      </c>
      <c r="AC303" s="39">
        <v>11</v>
      </c>
      <c r="AD303" s="39">
        <v>5</v>
      </c>
      <c r="AE303" s="44">
        <f t="shared" si="149"/>
        <v>24</v>
      </c>
      <c r="AF303" s="45">
        <f t="shared" si="150"/>
        <v>0.66666666666666663</v>
      </c>
      <c r="AG303" s="45">
        <f t="shared" si="151"/>
        <v>0.66666666666666663</v>
      </c>
      <c r="AH303" s="46" t="s">
        <v>82</v>
      </c>
      <c r="AI303" s="40" t="s">
        <v>99</v>
      </c>
      <c r="AJ303" s="40" t="s">
        <v>84</v>
      </c>
      <c r="AK303" s="47" t="s">
        <v>134</v>
      </c>
      <c r="AL303" s="40"/>
      <c r="AM303" s="48">
        <f t="shared" si="152"/>
        <v>0</v>
      </c>
      <c r="AN303" s="48">
        <f t="shared" si="153"/>
        <v>12</v>
      </c>
      <c r="AO303" s="48">
        <f t="shared" si="154"/>
        <v>0</v>
      </c>
      <c r="AP303" s="48">
        <f t="shared" si="155"/>
        <v>5.28</v>
      </c>
      <c r="AQ303" s="48">
        <f t="shared" si="156"/>
        <v>8</v>
      </c>
      <c r="AR303" s="48">
        <f t="shared" si="157"/>
        <v>0.66666666666666663</v>
      </c>
      <c r="AS303" s="48">
        <f t="shared" si="158"/>
        <v>0</v>
      </c>
      <c r="AT303" s="48">
        <f t="shared" si="159"/>
        <v>0</v>
      </c>
      <c r="AU303" s="48">
        <f t="shared" si="160"/>
        <v>0</v>
      </c>
      <c r="AV303" s="48">
        <f t="shared" si="161"/>
        <v>0</v>
      </c>
      <c r="AW303" s="48">
        <f>IF(N303="ПП",РПП*AB303*(V303/1.5),IF(N303="ВП",ВПр*AB303*(V303/1.5),IF(N303="РПА",РПА*AB303*(V303/1.5),IF(N303="КПА",кпа*AB303*(V303/1.5),0))))</f>
        <v>0</v>
      </c>
      <c r="AX303" s="48">
        <f t="shared" si="162"/>
        <v>0</v>
      </c>
      <c r="AY303" s="48">
        <f t="shared" si="163"/>
        <v>0</v>
      </c>
      <c r="AZ303" s="48">
        <f t="shared" si="164"/>
        <v>0</v>
      </c>
      <c r="BA303" s="48">
        <f t="shared" si="165"/>
        <v>0</v>
      </c>
      <c r="BB303" s="48">
        <f t="shared" si="166"/>
        <v>0</v>
      </c>
      <c r="BC303" s="48">
        <f t="shared" si="167"/>
        <v>0</v>
      </c>
      <c r="BD303" s="48">
        <f t="shared" si="168"/>
        <v>0</v>
      </c>
      <c r="BE303" s="48">
        <f t="shared" si="169"/>
        <v>0</v>
      </c>
      <c r="BF303" s="49">
        <f t="shared" si="170"/>
        <v>25.946666666666669</v>
      </c>
      <c r="BG303" s="50"/>
      <c r="BH303" s="51">
        <f t="shared" si="171"/>
        <v>12</v>
      </c>
      <c r="BI303" s="51">
        <f t="shared" si="172"/>
        <v>0.5</v>
      </c>
      <c r="BJ303" s="51">
        <f t="shared" si="173"/>
        <v>13.946666666666667</v>
      </c>
      <c r="BK303" s="52">
        <f t="shared" si="174"/>
        <v>0</v>
      </c>
      <c r="BL303" s="52">
        <f t="shared" si="175"/>
        <v>0</v>
      </c>
      <c r="BM303" s="52">
        <f t="shared" si="176"/>
        <v>0</v>
      </c>
    </row>
    <row r="304" spans="1:65" ht="30" customHeight="1" x14ac:dyDescent="0.25">
      <c r="A304" s="31" t="str">
        <f t="shared" ref="A304:A360" si="177">IF(C304&gt;0, VLOOKUP(C304,Код_ООП,11,FALSE()),0)</f>
        <v>Д</v>
      </c>
      <c r="B304" s="31" t="str">
        <f t="shared" ref="B304:B360" si="178">IF(C304&gt;0, VLOOKUP(C304,Код_ООП,12,FALSE()),0)</f>
        <v>Б</v>
      </c>
      <c r="C304" s="32" t="s">
        <v>211</v>
      </c>
      <c r="D304" s="33" t="str">
        <f t="shared" ref="D304:D360" si="179">IF(C304&gt;0,VLOOKUP(LEFT(C304,1),ОУП,2,FALSE()),0)</f>
        <v>Факультет физико-математических и естественных наук</v>
      </c>
      <c r="E304" s="34" t="str">
        <f t="shared" ref="E304:E360" si="180">IF(C304&gt;0, VLOOKUP(C304,Код_ООП,2,FALSE()),0)</f>
        <v>'02.03.02</v>
      </c>
      <c r="F304" s="35" t="str">
        <f t="shared" ref="F304:F360" si="181">IF(C304&gt;0, VLOOKUP(C304,Код_ООП,13,FALSE()),0)</f>
        <v>Фундаментальная информатика и информационные технологии</v>
      </c>
      <c r="G304" s="36" t="s">
        <v>76</v>
      </c>
      <c r="H304" s="36" t="s">
        <v>135</v>
      </c>
      <c r="I304" s="37"/>
      <c r="J304" s="37" t="s">
        <v>137</v>
      </c>
      <c r="K304" s="38" t="s">
        <v>142</v>
      </c>
      <c r="L304" s="39">
        <v>5</v>
      </c>
      <c r="M304" s="39">
        <v>18</v>
      </c>
      <c r="N304" s="40" t="s">
        <v>79</v>
      </c>
      <c r="O304" s="39">
        <v>1</v>
      </c>
      <c r="P304" s="39"/>
      <c r="Q304" s="39"/>
      <c r="R304" s="40" t="s">
        <v>80</v>
      </c>
      <c r="S304" s="41"/>
      <c r="T304" s="41"/>
      <c r="U304" s="41"/>
      <c r="V304" s="41"/>
      <c r="W304" s="41"/>
      <c r="X304" s="42" t="str">
        <f t="shared" ref="X304:X360" si="182">MID(C304,1,5)</f>
        <v>НФИбд</v>
      </c>
      <c r="Y304" s="39" t="s">
        <v>212</v>
      </c>
      <c r="Z304" s="39">
        <v>4</v>
      </c>
      <c r="AA304" s="39">
        <v>2</v>
      </c>
      <c r="AB304" s="42">
        <f t="shared" ref="AB304:AB360" si="183">AC304+AD304</f>
        <v>15</v>
      </c>
      <c r="AC304" s="39">
        <v>12</v>
      </c>
      <c r="AD304" s="39">
        <v>3</v>
      </c>
      <c r="AE304" s="44">
        <f t="shared" ref="AE304:AE360" si="184">IF(N304="сп",6,IF(N304="клн",8,IF(OR(N304="лаб",N304="ия"),12,IF(OR(N304="пр",N304="ТЕСТ"),IF(OR(B304="Б",B304="С"),24,12),IF(N304="лек",AB304,1)))))</f>
        <v>15</v>
      </c>
      <c r="AF304" s="45">
        <f t="shared" ref="AF304:AF360" si="185">IF(AG304&gt;1,1,AG304)</f>
        <v>1</v>
      </c>
      <c r="AG304" s="45">
        <f t="shared" ref="AG304:AG360" si="186">AB304/AE304</f>
        <v>1</v>
      </c>
      <c r="AH304" s="46" t="s">
        <v>82</v>
      </c>
      <c r="AI304" s="40" t="s">
        <v>83</v>
      </c>
      <c r="AJ304" s="40" t="s">
        <v>116</v>
      </c>
      <c r="AK304" s="59" t="s">
        <v>146</v>
      </c>
      <c r="AL304" s="40"/>
      <c r="AM304" s="48">
        <f t="shared" ref="AM304:AM360" si="187">IF(AB304&gt;0,IF(OR(N304="лек",N304="ТУИС"),O304*M304,0),0)</f>
        <v>18</v>
      </c>
      <c r="AN304" s="48">
        <f t="shared" ref="AN304:AN360" si="188">IF(OR(N304="пр",N304="ия",N304="сп"),Q304*AF304*M304,0)</f>
        <v>0</v>
      </c>
      <c r="AO304" s="48">
        <f t="shared" ref="AO304:AO360" si="189">IF(OR(N304="лаб",N304="клн"),P304*AF304*M304,0)</f>
        <v>0</v>
      </c>
      <c r="AP304" s="48">
        <f t="shared" ref="AP304:AP360" si="190">(IF((AND(OR(L304=1,L304=2,L304=3,L304=4,L304=5,L304=6,L304=7,L304=8,L304=9,L304=10,L304=11,L304=12),OR(R304="Зач",R304="Экз"))),ТКиРА*AB304,0)+IF(SUM(O304:Q304)&lt;&gt;0,IF(R304="ТК",ТКиРА*AB304,0),0))*(IF(G304="ФТД",0,1))</f>
        <v>4.95</v>
      </c>
      <c r="AQ304" s="48">
        <f t="shared" ref="AQ304:AQ360" si="191">IF(SUM(P304:Q304)&lt;&gt;0,IF(R304="Зач",ПАБРС*AB304,0),0)+IF(O304&lt;&gt;0,IF(R304="Экз",ПАБРС*AB304,0),0)</f>
        <v>7.5</v>
      </c>
      <c r="AR304" s="48">
        <f t="shared" ref="AR304:AR360" si="192">(IF(AQ304&lt;&gt;0,ОфВед*(IF(OR(N304="лек",N304="лаб"),AA304,AF304)),0))*(IF(G304="ФТД",0,1))</f>
        <v>2</v>
      </c>
      <c r="AS304" s="48">
        <f t="shared" ref="AS304:AS360" si="193">(IF(A304="Д",ТКЛД,IF(A304="В",ТКЛВ,IF(A304="З",ТКЛЗ,0))))*(IF(G304="ФТД",0,IF(B304="ЦМ",O304*M304,AM304)))*AA304</f>
        <v>1.8</v>
      </c>
      <c r="AT304" s="48">
        <f t="shared" ref="AT304:AT360" si="194">IF(S304="К",AB304*ВПКР,IF(S304="М",AB304*ВПИБ,0))</f>
        <v>0</v>
      </c>
      <c r="AU304" s="48">
        <f t="shared" ref="AU304:AU360" si="195">IF(OR(N304="лаб",N304="пр"),IF(T304="К",AB304*ВПКП,0),0)</f>
        <v>0</v>
      </c>
      <c r="AV304" s="48">
        <f t="shared" ref="AV304:AV360" si="196">IF(N304="УП",U304/1.5*AB304*РУП,IF(N304="УПМ",U304/1.5*AB304*РУПЛеч,0))</f>
        <v>0</v>
      </c>
      <c r="AW304" s="48">
        <f>IF(N304="ПП",РПП*AB304*(V304/1.5),IF(N304="ВП",ВПр*AB304*(V304/1.5),IF(N304="РПА",РПА*AB304*(V304/1.5),IF(N304="КПА",кпа*AB304*(V304/1.5),0))))</f>
        <v>0</v>
      </c>
      <c r="AX304" s="48">
        <f t="shared" ref="AX304:AX360" si="197">IF(N304="НР",(AC304*НИРМ+AD304*НИРМИн)*(W304/1.5),IF(N304="НИ",(AC304*НИРА+AD304*НИРАИ)*(W304/1.5),0))</f>
        <v>0</v>
      </c>
      <c r="AY304" s="48">
        <f t="shared" ref="AY304:AY360" si="198">IF(AND(N304="ЦП",B304="ЦМ"),AB304*ЦП,0)</f>
        <v>0</v>
      </c>
      <c r="AZ304" s="48">
        <f t="shared" ref="AZ304:AZ360" si="199">IF(B304="А",IF(N304="РР",AB304*РефАсп,IF(N304="РРФ",AB304*РефФил,0)),0)</f>
        <v>0</v>
      </c>
      <c r="BA304" s="48">
        <f t="shared" ref="BA304:BA360" si="200">IF(AND(R304="КЭ",N304="ЧК"),AB304*КдЭк,0)</f>
        <v>0</v>
      </c>
      <c r="BB304" s="48">
        <f t="shared" ref="BB304:BB360" si="201">IF(AND(N304="НКД",B304="Д"),AB304*НКД,0)+IF(AND(N304="РПЛ",B304="А"),AB304*РукПЛ,0)+IF(AND(N304="РСтж",B304="А"),AC304*РукСт+AD304*РукИСт,0)+IF(N304="ФГТ",AC304*РукРФа+AD304*РукИна,0)</f>
        <v>0</v>
      </c>
      <c r="BC304" s="48">
        <f t="shared" ref="BC304:BC360" si="202">IF(N304="РК",IF(OR(B304="С",B304="М",B304="ЦМ"),(AC304*РСМ+AD304*РСМИ),0),0)+IF(N304="РК",IF(B304="Б",(AC304*РБ+AD304*РБИ),0),0)+IF(N304="РК",IF(B304="А",(AC304*РНКР+AD304*РНКРИн),0),0)+IF(AND(R304="ПАкр"),AB304*0.3)</f>
        <v>0</v>
      </c>
      <c r="BD304" s="48">
        <f t="shared" ref="BD304:BD360" si="203">IF(N304="РДП",IF(B304="А",AB304*РРА,IF(OR(B304="С",B304="М",B304="ЦМ"),AB304*РРСМ,IF(B304="Б",AB304*РРБ,0))),IF(N304="РДИ",AB304*РДП,0))</f>
        <v>0</v>
      </c>
      <c r="BE304" s="48">
        <f t="shared" ref="BE304:BE360" si="204">IF(N304="ЧГ",AB304*ЧГ,IF(N304="ПГ",AB304*ПГ,IF(N304="ТЕСТ",ТГИЭ*AF304,IF(N304="СГ",AB304*СГ,0))))</f>
        <v>0</v>
      </c>
      <c r="BF304" s="49">
        <f t="shared" ref="BF304:BF360" si="205">SUM(AM304:BE304)</f>
        <v>34.25</v>
      </c>
      <c r="BG304" s="50"/>
      <c r="BH304" s="51">
        <f t="shared" ref="BH304:BH360" si="206">IF(OR(L304="1;1",L304="1;2",L304=1,L304="3;1",L304="3;2",L304=3,L304="5;1",L304="5;2",L304=5,L304="7;1",L304="7;2",L304=7,L304="9;1",L304="9;2",L304=9,L304=11),SUM(AM304:AO304),0)</f>
        <v>18</v>
      </c>
      <c r="BI304" s="51">
        <f t="shared" ref="BI304:BI360" si="207">IF(BH304&lt;&gt;0,SUM(O304:Q304)/2,0)</f>
        <v>0.5</v>
      </c>
      <c r="BJ304" s="51">
        <f t="shared" ref="BJ304:BJ360" si="208">IF(OR(L304="1;1",L304="1;2",L304=1,L304="3;1",L304="3;2",L304=3,L304="5;1",L304="5;2",L304=5,L304="7;1",L304="7;2",L304=7,L304="9;1",L304="9;2",L304=9,L304=11),SUM(AP304:BE304),0)</f>
        <v>16.25</v>
      </c>
      <c r="BK304" s="52">
        <f t="shared" ref="BK304:BK360" si="209">IF(OR(L304="2;3",L304="2;4",L304=2,L304="4;3",L304="4;4",L304=4,L304="6;3",L304="6;4",L304=6,L304="8;3",L304="8;4",L304=8,L304="10;3",L304="10;4",L304=10,L304=12),SUM(AM304:AO304),0)</f>
        <v>0</v>
      </c>
      <c r="BL304" s="52">
        <f t="shared" ref="BL304:BL360" si="210">IF(BK304&lt;&gt;0,SUM(O304:Q304)/2,0)</f>
        <v>0</v>
      </c>
      <c r="BM304" s="52">
        <f t="shared" ref="BM304:BM360" si="211">IF(OR(L304="2;3",L304="2;4",L304=2,L304="4;3",L304="4;4",L304=4,L304="6;3",L304="6;4",L304=6,L304="8;3",L304="8;4",L304=8,L304="10;3",L304="10;4",L304=10,L304=12),SUM(AP304:BE304),0)</f>
        <v>0</v>
      </c>
    </row>
    <row r="305" spans="1:65" ht="30" customHeight="1" x14ac:dyDescent="0.25">
      <c r="A305" s="31" t="str">
        <f t="shared" si="177"/>
        <v>Д</v>
      </c>
      <c r="B305" s="31" t="str">
        <f t="shared" si="178"/>
        <v>Б</v>
      </c>
      <c r="C305" s="32" t="s">
        <v>211</v>
      </c>
      <c r="D305" s="33" t="str">
        <f t="shared" si="179"/>
        <v>Факультет физико-математических и естественных наук</v>
      </c>
      <c r="E305" s="34" t="str">
        <f t="shared" si="180"/>
        <v>'02.03.02</v>
      </c>
      <c r="F305" s="35" t="str">
        <f t="shared" si="181"/>
        <v>Фундаментальная информатика и информационные технологии</v>
      </c>
      <c r="G305" s="36" t="s">
        <v>76</v>
      </c>
      <c r="H305" s="36" t="s">
        <v>135</v>
      </c>
      <c r="I305" s="37"/>
      <c r="J305" s="37" t="s">
        <v>137</v>
      </c>
      <c r="K305" s="38" t="s">
        <v>142</v>
      </c>
      <c r="L305" s="39">
        <v>5</v>
      </c>
      <c r="M305" s="39">
        <v>18</v>
      </c>
      <c r="N305" s="40" t="s">
        <v>86</v>
      </c>
      <c r="O305" s="39"/>
      <c r="P305" s="39"/>
      <c r="Q305" s="39">
        <v>2</v>
      </c>
      <c r="R305" s="40"/>
      <c r="S305" s="41"/>
      <c r="T305" s="41"/>
      <c r="U305" s="41"/>
      <c r="V305" s="41"/>
      <c r="W305" s="41"/>
      <c r="X305" s="42" t="str">
        <f t="shared" si="182"/>
        <v>НФИбд</v>
      </c>
      <c r="Y305" s="39" t="s">
        <v>212</v>
      </c>
      <c r="Z305" s="39">
        <v>4</v>
      </c>
      <c r="AA305" s="39">
        <v>2</v>
      </c>
      <c r="AB305" s="42">
        <f t="shared" si="183"/>
        <v>15</v>
      </c>
      <c r="AC305" s="39">
        <v>12</v>
      </c>
      <c r="AD305" s="39">
        <v>3</v>
      </c>
      <c r="AE305" s="44">
        <f t="shared" si="184"/>
        <v>24</v>
      </c>
      <c r="AF305" s="45">
        <f t="shared" si="185"/>
        <v>0.625</v>
      </c>
      <c r="AG305" s="45">
        <f t="shared" si="186"/>
        <v>0.625</v>
      </c>
      <c r="AH305" s="46" t="s">
        <v>82</v>
      </c>
      <c r="AI305" s="40" t="s">
        <v>83</v>
      </c>
      <c r="AJ305" s="40" t="s">
        <v>116</v>
      </c>
      <c r="AK305" s="59" t="s">
        <v>146</v>
      </c>
      <c r="AL305" s="40"/>
      <c r="AM305" s="48">
        <f t="shared" si="187"/>
        <v>0</v>
      </c>
      <c r="AN305" s="48">
        <f t="shared" si="188"/>
        <v>22.5</v>
      </c>
      <c r="AO305" s="48">
        <f t="shared" si="189"/>
        <v>0</v>
      </c>
      <c r="AP305" s="48">
        <f t="shared" si="190"/>
        <v>0</v>
      </c>
      <c r="AQ305" s="48">
        <f t="shared" si="191"/>
        <v>0</v>
      </c>
      <c r="AR305" s="48">
        <f t="shared" si="192"/>
        <v>0</v>
      </c>
      <c r="AS305" s="48">
        <f t="shared" si="193"/>
        <v>0</v>
      </c>
      <c r="AT305" s="48">
        <f t="shared" si="194"/>
        <v>0</v>
      </c>
      <c r="AU305" s="48">
        <f t="shared" si="195"/>
        <v>0</v>
      </c>
      <c r="AV305" s="48">
        <f t="shared" si="196"/>
        <v>0</v>
      </c>
      <c r="AW305" s="48">
        <f>IF(N305="ПП",РПП*AB305*(V305/1.5),IF(N305="ВП",ВПр*AB305*(V305/1.5),IF(N305="РПА",РПА*AB305*(V305/1.5),IF(N305="КПА",кпа*AB305*(V305/1.5),0))))</f>
        <v>0</v>
      </c>
      <c r="AX305" s="48">
        <f t="shared" si="197"/>
        <v>0</v>
      </c>
      <c r="AY305" s="48">
        <f t="shared" si="198"/>
        <v>0</v>
      </c>
      <c r="AZ305" s="48">
        <f t="shared" si="199"/>
        <v>0</v>
      </c>
      <c r="BA305" s="48">
        <f t="shared" si="200"/>
        <v>0</v>
      </c>
      <c r="BB305" s="48">
        <f t="shared" si="201"/>
        <v>0</v>
      </c>
      <c r="BC305" s="48">
        <f t="shared" si="202"/>
        <v>0</v>
      </c>
      <c r="BD305" s="48">
        <f t="shared" si="203"/>
        <v>0</v>
      </c>
      <c r="BE305" s="48">
        <f t="shared" si="204"/>
        <v>0</v>
      </c>
      <c r="BF305" s="49">
        <f t="shared" si="205"/>
        <v>22.5</v>
      </c>
      <c r="BG305" s="50"/>
      <c r="BH305" s="51">
        <f t="shared" si="206"/>
        <v>22.5</v>
      </c>
      <c r="BI305" s="51">
        <f t="shared" si="207"/>
        <v>1</v>
      </c>
      <c r="BJ305" s="51">
        <f t="shared" si="208"/>
        <v>0</v>
      </c>
      <c r="BK305" s="52">
        <f t="shared" si="209"/>
        <v>0</v>
      </c>
      <c r="BL305" s="52">
        <f t="shared" si="210"/>
        <v>0</v>
      </c>
      <c r="BM305" s="52">
        <f t="shared" si="211"/>
        <v>0</v>
      </c>
    </row>
    <row r="306" spans="1:65" ht="30" customHeight="1" x14ac:dyDescent="0.25">
      <c r="A306" s="31" t="str">
        <f t="shared" si="177"/>
        <v>Д</v>
      </c>
      <c r="B306" s="31" t="str">
        <f t="shared" si="178"/>
        <v>Б</v>
      </c>
      <c r="C306" s="32" t="s">
        <v>211</v>
      </c>
      <c r="D306" s="33" t="str">
        <f t="shared" si="179"/>
        <v>Факультет физико-математических и естественных наук</v>
      </c>
      <c r="E306" s="34" t="str">
        <f t="shared" si="180"/>
        <v>'02.03.02</v>
      </c>
      <c r="F306" s="35" t="str">
        <f t="shared" si="181"/>
        <v>Фундаментальная информатика и информационные технологии</v>
      </c>
      <c r="G306" s="36" t="s">
        <v>76</v>
      </c>
      <c r="H306" s="36" t="s">
        <v>135</v>
      </c>
      <c r="I306" s="37"/>
      <c r="J306" s="37" t="s">
        <v>137</v>
      </c>
      <c r="K306" s="38" t="s">
        <v>213</v>
      </c>
      <c r="L306" s="39">
        <v>5</v>
      </c>
      <c r="M306" s="39">
        <v>18</v>
      </c>
      <c r="N306" s="40" t="s">
        <v>79</v>
      </c>
      <c r="O306" s="39">
        <v>1</v>
      </c>
      <c r="P306" s="39"/>
      <c r="Q306" s="39"/>
      <c r="R306" s="40" t="s">
        <v>80</v>
      </c>
      <c r="S306" s="41"/>
      <c r="T306" s="41"/>
      <c r="U306" s="41"/>
      <c r="V306" s="41"/>
      <c r="W306" s="41"/>
      <c r="X306" s="42" t="str">
        <f t="shared" si="182"/>
        <v>НФИбд</v>
      </c>
      <c r="Y306" s="39" t="s">
        <v>212</v>
      </c>
      <c r="Z306" s="39">
        <v>4</v>
      </c>
      <c r="AA306" s="39">
        <v>2</v>
      </c>
      <c r="AB306" s="42">
        <f t="shared" si="183"/>
        <v>15</v>
      </c>
      <c r="AC306" s="39">
        <v>12</v>
      </c>
      <c r="AD306" s="39">
        <v>3</v>
      </c>
      <c r="AE306" s="44">
        <f t="shared" si="184"/>
        <v>15</v>
      </c>
      <c r="AF306" s="45">
        <f t="shared" si="185"/>
        <v>1</v>
      </c>
      <c r="AG306" s="45">
        <f t="shared" si="186"/>
        <v>1</v>
      </c>
      <c r="AH306" s="46" t="s">
        <v>82</v>
      </c>
      <c r="AI306" s="40" t="s">
        <v>83</v>
      </c>
      <c r="AJ306" s="40" t="s">
        <v>116</v>
      </c>
      <c r="AK306" s="59" t="s">
        <v>146</v>
      </c>
      <c r="AL306" s="40"/>
      <c r="AM306" s="48">
        <f t="shared" si="187"/>
        <v>18</v>
      </c>
      <c r="AN306" s="48">
        <f t="shared" si="188"/>
        <v>0</v>
      </c>
      <c r="AO306" s="48">
        <f t="shared" si="189"/>
        <v>0</v>
      </c>
      <c r="AP306" s="48">
        <f t="shared" si="190"/>
        <v>4.95</v>
      </c>
      <c r="AQ306" s="48">
        <f t="shared" si="191"/>
        <v>7.5</v>
      </c>
      <c r="AR306" s="48">
        <f t="shared" si="192"/>
        <v>2</v>
      </c>
      <c r="AS306" s="48">
        <f t="shared" si="193"/>
        <v>1.8</v>
      </c>
      <c r="AT306" s="48">
        <f t="shared" si="194"/>
        <v>0</v>
      </c>
      <c r="AU306" s="48">
        <f t="shared" si="195"/>
        <v>0</v>
      </c>
      <c r="AV306" s="48">
        <f t="shared" si="196"/>
        <v>0</v>
      </c>
      <c r="AW306" s="48">
        <f>IF(N306="ПП",РПП*AB306*(V306/1.5),IF(N306="ВП",ВПр*AB306*(V306/1.5),IF(N306="РПА",РПА*AB306*(V306/1.5),IF(N306="КПА",кпа*AB306*(V306/1.5),0))))</f>
        <v>0</v>
      </c>
      <c r="AX306" s="48">
        <f t="shared" si="197"/>
        <v>0</v>
      </c>
      <c r="AY306" s="48">
        <f t="shared" si="198"/>
        <v>0</v>
      </c>
      <c r="AZ306" s="48">
        <f t="shared" si="199"/>
        <v>0</v>
      </c>
      <c r="BA306" s="48">
        <f t="shared" si="200"/>
        <v>0</v>
      </c>
      <c r="BB306" s="48">
        <f t="shared" si="201"/>
        <v>0</v>
      </c>
      <c r="BC306" s="48">
        <f t="shared" si="202"/>
        <v>0</v>
      </c>
      <c r="BD306" s="48">
        <f t="shared" si="203"/>
        <v>0</v>
      </c>
      <c r="BE306" s="48">
        <f t="shared" si="204"/>
        <v>0</v>
      </c>
      <c r="BF306" s="49">
        <f t="shared" si="205"/>
        <v>34.25</v>
      </c>
      <c r="BG306" s="50"/>
      <c r="BH306" s="51">
        <f t="shared" si="206"/>
        <v>18</v>
      </c>
      <c r="BI306" s="51">
        <f t="shared" si="207"/>
        <v>0.5</v>
      </c>
      <c r="BJ306" s="51">
        <f t="shared" si="208"/>
        <v>16.25</v>
      </c>
      <c r="BK306" s="52">
        <f t="shared" si="209"/>
        <v>0</v>
      </c>
      <c r="BL306" s="52">
        <f t="shared" si="210"/>
        <v>0</v>
      </c>
      <c r="BM306" s="52">
        <f t="shared" si="211"/>
        <v>0</v>
      </c>
    </row>
    <row r="307" spans="1:65" ht="30" customHeight="1" x14ac:dyDescent="0.25">
      <c r="A307" s="31" t="str">
        <f t="shared" si="177"/>
        <v>Д</v>
      </c>
      <c r="B307" s="31" t="str">
        <f t="shared" si="178"/>
        <v>Б</v>
      </c>
      <c r="C307" s="32" t="s">
        <v>211</v>
      </c>
      <c r="D307" s="33" t="str">
        <f t="shared" si="179"/>
        <v>Факультет физико-математических и естественных наук</v>
      </c>
      <c r="E307" s="34" t="str">
        <f t="shared" si="180"/>
        <v>'02.03.02</v>
      </c>
      <c r="F307" s="35" t="str">
        <f t="shared" si="181"/>
        <v>Фундаментальная информатика и информационные технологии</v>
      </c>
      <c r="G307" s="36" t="s">
        <v>76</v>
      </c>
      <c r="H307" s="36" t="s">
        <v>135</v>
      </c>
      <c r="I307" s="37"/>
      <c r="J307" s="37" t="s">
        <v>137</v>
      </c>
      <c r="K307" s="38" t="s">
        <v>213</v>
      </c>
      <c r="L307" s="39">
        <v>5</v>
      </c>
      <c r="M307" s="39">
        <v>18</v>
      </c>
      <c r="N307" s="40" t="s">
        <v>86</v>
      </c>
      <c r="O307" s="39"/>
      <c r="P307" s="39"/>
      <c r="Q307" s="39">
        <v>1</v>
      </c>
      <c r="R307" s="40"/>
      <c r="S307" s="41"/>
      <c r="T307" s="41"/>
      <c r="U307" s="41"/>
      <c r="V307" s="41"/>
      <c r="W307" s="41"/>
      <c r="X307" s="42" t="str">
        <f t="shared" si="182"/>
        <v>НФИбд</v>
      </c>
      <c r="Y307" s="39" t="s">
        <v>212</v>
      </c>
      <c r="Z307" s="39">
        <v>4</v>
      </c>
      <c r="AA307" s="39">
        <v>2</v>
      </c>
      <c r="AB307" s="42">
        <f t="shared" si="183"/>
        <v>15</v>
      </c>
      <c r="AC307" s="39">
        <v>12</v>
      </c>
      <c r="AD307" s="39">
        <v>3</v>
      </c>
      <c r="AE307" s="44">
        <f t="shared" si="184"/>
        <v>24</v>
      </c>
      <c r="AF307" s="45">
        <f t="shared" si="185"/>
        <v>0.625</v>
      </c>
      <c r="AG307" s="45">
        <f t="shared" si="186"/>
        <v>0.625</v>
      </c>
      <c r="AH307" s="46" t="s">
        <v>82</v>
      </c>
      <c r="AI307" s="40" t="s">
        <v>83</v>
      </c>
      <c r="AJ307" s="40" t="s">
        <v>116</v>
      </c>
      <c r="AK307" s="59" t="s">
        <v>146</v>
      </c>
      <c r="AL307" s="40"/>
      <c r="AM307" s="48">
        <f t="shared" si="187"/>
        <v>0</v>
      </c>
      <c r="AN307" s="48">
        <f t="shared" si="188"/>
        <v>11.25</v>
      </c>
      <c r="AO307" s="48">
        <f t="shared" si="189"/>
        <v>0</v>
      </c>
      <c r="AP307" s="48">
        <f t="shared" si="190"/>
        <v>0</v>
      </c>
      <c r="AQ307" s="48">
        <f t="shared" si="191"/>
        <v>0</v>
      </c>
      <c r="AR307" s="48">
        <f t="shared" si="192"/>
        <v>0</v>
      </c>
      <c r="AS307" s="48">
        <f t="shared" si="193"/>
        <v>0</v>
      </c>
      <c r="AT307" s="48">
        <f t="shared" si="194"/>
        <v>0</v>
      </c>
      <c r="AU307" s="48">
        <f t="shared" si="195"/>
        <v>0</v>
      </c>
      <c r="AV307" s="48">
        <f t="shared" si="196"/>
        <v>0</v>
      </c>
      <c r="AW307" s="48">
        <f>IF(N307="ПП",РПП*AB307*(V307/1.5),IF(N307="ВП",ВПр*AB307*(V307/1.5),IF(N307="РПА",РПА*AB307*(V307/1.5),IF(N307="КПА",кпа*AB307*(V307/1.5),0))))</f>
        <v>0</v>
      </c>
      <c r="AX307" s="48">
        <f t="shared" si="197"/>
        <v>0</v>
      </c>
      <c r="AY307" s="48">
        <f t="shared" si="198"/>
        <v>0</v>
      </c>
      <c r="AZ307" s="48">
        <f t="shared" si="199"/>
        <v>0</v>
      </c>
      <c r="BA307" s="48">
        <f t="shared" si="200"/>
        <v>0</v>
      </c>
      <c r="BB307" s="48">
        <f t="shared" si="201"/>
        <v>0</v>
      </c>
      <c r="BC307" s="48">
        <f t="shared" si="202"/>
        <v>0</v>
      </c>
      <c r="BD307" s="48">
        <f t="shared" si="203"/>
        <v>0</v>
      </c>
      <c r="BE307" s="48">
        <f t="shared" si="204"/>
        <v>0</v>
      </c>
      <c r="BF307" s="49">
        <f t="shared" si="205"/>
        <v>11.25</v>
      </c>
      <c r="BG307" s="50"/>
      <c r="BH307" s="51">
        <f t="shared" si="206"/>
        <v>11.25</v>
      </c>
      <c r="BI307" s="51">
        <f t="shared" si="207"/>
        <v>0.5</v>
      </c>
      <c r="BJ307" s="51">
        <f t="shared" si="208"/>
        <v>0</v>
      </c>
      <c r="BK307" s="52">
        <f t="shared" si="209"/>
        <v>0</v>
      </c>
      <c r="BL307" s="52">
        <f t="shared" si="210"/>
        <v>0</v>
      </c>
      <c r="BM307" s="52">
        <f t="shared" si="211"/>
        <v>0</v>
      </c>
    </row>
    <row r="308" spans="1:65" ht="30" customHeight="1" x14ac:dyDescent="0.25">
      <c r="A308" s="31" t="str">
        <f t="shared" si="177"/>
        <v>Д</v>
      </c>
      <c r="B308" s="31" t="str">
        <f t="shared" si="178"/>
        <v>Б</v>
      </c>
      <c r="C308" s="32" t="s">
        <v>211</v>
      </c>
      <c r="D308" s="33" t="str">
        <f t="shared" si="179"/>
        <v>Факультет физико-математических и естественных наук</v>
      </c>
      <c r="E308" s="34" t="str">
        <f t="shared" si="180"/>
        <v>'02.03.02</v>
      </c>
      <c r="F308" s="35" t="str">
        <f t="shared" si="181"/>
        <v>Фундаментальная информатика и информационные технологии</v>
      </c>
      <c r="G308" s="36" t="s">
        <v>76</v>
      </c>
      <c r="H308" s="36" t="s">
        <v>135</v>
      </c>
      <c r="I308" s="37"/>
      <c r="J308" s="37" t="s">
        <v>137</v>
      </c>
      <c r="K308" s="38" t="s">
        <v>143</v>
      </c>
      <c r="L308" s="39">
        <v>5</v>
      </c>
      <c r="M308" s="39">
        <v>18</v>
      </c>
      <c r="N308" s="40" t="s">
        <v>79</v>
      </c>
      <c r="O308" s="39">
        <v>1</v>
      </c>
      <c r="P308" s="39"/>
      <c r="Q308" s="39"/>
      <c r="R308" s="40"/>
      <c r="S308" s="41"/>
      <c r="T308" s="41"/>
      <c r="U308" s="41"/>
      <c r="V308" s="41"/>
      <c r="W308" s="41"/>
      <c r="X308" s="42" t="str">
        <f t="shared" si="182"/>
        <v>НФИбд</v>
      </c>
      <c r="Y308" s="39" t="s">
        <v>212</v>
      </c>
      <c r="Z308" s="39">
        <v>4</v>
      </c>
      <c r="AA308" s="39">
        <v>2</v>
      </c>
      <c r="AB308" s="42">
        <f t="shared" si="183"/>
        <v>15</v>
      </c>
      <c r="AC308" s="39">
        <v>12</v>
      </c>
      <c r="AD308" s="39">
        <v>3</v>
      </c>
      <c r="AE308" s="44">
        <f t="shared" si="184"/>
        <v>15</v>
      </c>
      <c r="AF308" s="45">
        <f t="shared" si="185"/>
        <v>1</v>
      </c>
      <c r="AG308" s="45">
        <f t="shared" si="186"/>
        <v>1</v>
      </c>
      <c r="AH308" s="46" t="s">
        <v>82</v>
      </c>
      <c r="AI308" s="40" t="s">
        <v>99</v>
      </c>
      <c r="AJ308" s="40" t="s">
        <v>84</v>
      </c>
      <c r="AK308" s="47" t="s">
        <v>134</v>
      </c>
      <c r="AL308" s="40"/>
      <c r="AM308" s="48">
        <f t="shared" si="187"/>
        <v>18</v>
      </c>
      <c r="AN308" s="48">
        <f t="shared" si="188"/>
        <v>0</v>
      </c>
      <c r="AO308" s="48">
        <f t="shared" si="189"/>
        <v>0</v>
      </c>
      <c r="AP308" s="48">
        <f t="shared" si="190"/>
        <v>0</v>
      </c>
      <c r="AQ308" s="48">
        <f t="shared" si="191"/>
        <v>0</v>
      </c>
      <c r="AR308" s="48">
        <f t="shared" si="192"/>
        <v>0</v>
      </c>
      <c r="AS308" s="48">
        <f t="shared" si="193"/>
        <v>1.8</v>
      </c>
      <c r="AT308" s="48">
        <f t="shared" si="194"/>
        <v>0</v>
      </c>
      <c r="AU308" s="48">
        <f t="shared" si="195"/>
        <v>0</v>
      </c>
      <c r="AV308" s="48">
        <f t="shared" si="196"/>
        <v>0</v>
      </c>
      <c r="AW308" s="48">
        <f>IF(N308="ПП",РПП*AB308*(V308/1.5),IF(N308="ВП",ВПр*AB308*(V308/1.5),IF(N308="РПА",РПА*AB308*(V308/1.5),IF(N308="КПА",кпа*AB308*(V308/1.5),0))))</f>
        <v>0</v>
      </c>
      <c r="AX308" s="48">
        <f t="shared" si="197"/>
        <v>0</v>
      </c>
      <c r="AY308" s="48">
        <f t="shared" si="198"/>
        <v>0</v>
      </c>
      <c r="AZ308" s="48">
        <f t="shared" si="199"/>
        <v>0</v>
      </c>
      <c r="BA308" s="48">
        <f t="shared" si="200"/>
        <v>0</v>
      </c>
      <c r="BB308" s="48">
        <f t="shared" si="201"/>
        <v>0</v>
      </c>
      <c r="BC308" s="48">
        <f t="shared" si="202"/>
        <v>0</v>
      </c>
      <c r="BD308" s="48">
        <f t="shared" si="203"/>
        <v>0</v>
      </c>
      <c r="BE308" s="48">
        <f t="shared" si="204"/>
        <v>0</v>
      </c>
      <c r="BF308" s="49">
        <f t="shared" si="205"/>
        <v>19.8</v>
      </c>
      <c r="BG308" s="50"/>
      <c r="BH308" s="51">
        <f t="shared" si="206"/>
        <v>18</v>
      </c>
      <c r="BI308" s="51">
        <f t="shared" si="207"/>
        <v>0.5</v>
      </c>
      <c r="BJ308" s="51">
        <f t="shared" si="208"/>
        <v>1.8</v>
      </c>
      <c r="BK308" s="52">
        <f t="shared" si="209"/>
        <v>0</v>
      </c>
      <c r="BL308" s="52">
        <f t="shared" si="210"/>
        <v>0</v>
      </c>
      <c r="BM308" s="52">
        <f t="shared" si="211"/>
        <v>0</v>
      </c>
    </row>
    <row r="309" spans="1:65" ht="30" customHeight="1" x14ac:dyDescent="0.25">
      <c r="A309" s="31" t="str">
        <f t="shared" si="177"/>
        <v>Д</v>
      </c>
      <c r="B309" s="31" t="str">
        <f t="shared" si="178"/>
        <v>Б</v>
      </c>
      <c r="C309" s="32" t="s">
        <v>211</v>
      </c>
      <c r="D309" s="33" t="str">
        <f t="shared" si="179"/>
        <v>Факультет физико-математических и естественных наук</v>
      </c>
      <c r="E309" s="34" t="str">
        <f t="shared" si="180"/>
        <v>'02.03.02</v>
      </c>
      <c r="F309" s="35" t="str">
        <f t="shared" si="181"/>
        <v>Фундаментальная информатика и информационные технологии</v>
      </c>
      <c r="G309" s="36" t="s">
        <v>76</v>
      </c>
      <c r="H309" s="36" t="s">
        <v>135</v>
      </c>
      <c r="I309" s="37"/>
      <c r="J309" s="37" t="s">
        <v>137</v>
      </c>
      <c r="K309" s="38" t="s">
        <v>143</v>
      </c>
      <c r="L309" s="39">
        <v>5</v>
      </c>
      <c r="M309" s="39">
        <v>18</v>
      </c>
      <c r="N309" s="40" t="s">
        <v>86</v>
      </c>
      <c r="O309" s="39"/>
      <c r="P309" s="39"/>
      <c r="Q309" s="39">
        <v>2</v>
      </c>
      <c r="R309" s="40"/>
      <c r="S309" s="41"/>
      <c r="T309" s="41"/>
      <c r="U309" s="41"/>
      <c r="V309" s="41"/>
      <c r="W309" s="41"/>
      <c r="X309" s="42" t="str">
        <f t="shared" si="182"/>
        <v>НФИбд</v>
      </c>
      <c r="Y309" s="39" t="s">
        <v>212</v>
      </c>
      <c r="Z309" s="39">
        <v>4</v>
      </c>
      <c r="AA309" s="39">
        <v>2</v>
      </c>
      <c r="AB309" s="42">
        <f t="shared" si="183"/>
        <v>15</v>
      </c>
      <c r="AC309" s="39">
        <v>12</v>
      </c>
      <c r="AD309" s="39">
        <v>3</v>
      </c>
      <c r="AE309" s="44">
        <f t="shared" si="184"/>
        <v>24</v>
      </c>
      <c r="AF309" s="45">
        <f t="shared" si="185"/>
        <v>0.625</v>
      </c>
      <c r="AG309" s="45">
        <f t="shared" si="186"/>
        <v>0.625</v>
      </c>
      <c r="AH309" s="46" t="s">
        <v>82</v>
      </c>
      <c r="AI309" s="40" t="s">
        <v>99</v>
      </c>
      <c r="AJ309" s="40" t="s">
        <v>84</v>
      </c>
      <c r="AK309" s="47" t="s">
        <v>134</v>
      </c>
      <c r="AL309" s="40"/>
      <c r="AM309" s="48">
        <f t="shared" si="187"/>
        <v>0</v>
      </c>
      <c r="AN309" s="48">
        <f t="shared" si="188"/>
        <v>22.5</v>
      </c>
      <c r="AO309" s="48">
        <f t="shared" si="189"/>
        <v>0</v>
      </c>
      <c r="AP309" s="48">
        <f t="shared" si="190"/>
        <v>0</v>
      </c>
      <c r="AQ309" s="48">
        <f t="shared" si="191"/>
        <v>0</v>
      </c>
      <c r="AR309" s="48">
        <f t="shared" si="192"/>
        <v>0</v>
      </c>
      <c r="AS309" s="48">
        <f t="shared" si="193"/>
        <v>0</v>
      </c>
      <c r="AT309" s="48">
        <f t="shared" si="194"/>
        <v>0</v>
      </c>
      <c r="AU309" s="48">
        <f t="shared" si="195"/>
        <v>0</v>
      </c>
      <c r="AV309" s="48">
        <f t="shared" si="196"/>
        <v>0</v>
      </c>
      <c r="AW309" s="48">
        <f>IF(N309="ПП",РПП*AB309*(V309/1.5),IF(N309="ВП",ВПр*AB309*(V309/1.5),IF(N309="РПА",РПА*AB309*(V309/1.5),IF(N309="КПА",кпа*AB309*(V309/1.5),0))))</f>
        <v>0</v>
      </c>
      <c r="AX309" s="48">
        <f t="shared" si="197"/>
        <v>0</v>
      </c>
      <c r="AY309" s="48">
        <f t="shared" si="198"/>
        <v>0</v>
      </c>
      <c r="AZ309" s="48">
        <f t="shared" si="199"/>
        <v>0</v>
      </c>
      <c r="BA309" s="48">
        <f t="shared" si="200"/>
        <v>0</v>
      </c>
      <c r="BB309" s="48">
        <f t="shared" si="201"/>
        <v>0</v>
      </c>
      <c r="BC309" s="48">
        <f t="shared" si="202"/>
        <v>0</v>
      </c>
      <c r="BD309" s="48">
        <f t="shared" si="203"/>
        <v>0</v>
      </c>
      <c r="BE309" s="48">
        <f t="shared" si="204"/>
        <v>0</v>
      </c>
      <c r="BF309" s="49">
        <f t="shared" si="205"/>
        <v>22.5</v>
      </c>
      <c r="BG309" s="50"/>
      <c r="BH309" s="51">
        <f t="shared" si="206"/>
        <v>22.5</v>
      </c>
      <c r="BI309" s="51">
        <f t="shared" si="207"/>
        <v>1</v>
      </c>
      <c r="BJ309" s="51">
        <f t="shared" si="208"/>
        <v>0</v>
      </c>
      <c r="BK309" s="52">
        <f t="shared" si="209"/>
        <v>0</v>
      </c>
      <c r="BL309" s="52">
        <f t="shared" si="210"/>
        <v>0</v>
      </c>
      <c r="BM309" s="52">
        <f t="shared" si="211"/>
        <v>0</v>
      </c>
    </row>
    <row r="310" spans="1:65" ht="30" customHeight="1" x14ac:dyDescent="0.25">
      <c r="A310" s="31" t="str">
        <f t="shared" si="177"/>
        <v>Д</v>
      </c>
      <c r="B310" s="31" t="str">
        <f t="shared" si="178"/>
        <v>Б</v>
      </c>
      <c r="C310" s="32" t="s">
        <v>211</v>
      </c>
      <c r="D310" s="33" t="str">
        <f t="shared" si="179"/>
        <v>Факультет физико-математических и естественных наук</v>
      </c>
      <c r="E310" s="34" t="str">
        <f t="shared" si="180"/>
        <v>'02.03.02</v>
      </c>
      <c r="F310" s="35" t="str">
        <f t="shared" si="181"/>
        <v>Фундаментальная информатика и информационные технологии</v>
      </c>
      <c r="G310" s="36" t="s">
        <v>76</v>
      </c>
      <c r="H310" s="36" t="s">
        <v>135</v>
      </c>
      <c r="I310" s="37"/>
      <c r="J310" s="37" t="s">
        <v>137</v>
      </c>
      <c r="K310" s="38" t="s">
        <v>140</v>
      </c>
      <c r="L310" s="39">
        <v>5</v>
      </c>
      <c r="M310" s="39">
        <v>18</v>
      </c>
      <c r="N310" s="40" t="s">
        <v>79</v>
      </c>
      <c r="O310" s="39">
        <v>1</v>
      </c>
      <c r="P310" s="39"/>
      <c r="Q310" s="39"/>
      <c r="R310" s="40"/>
      <c r="S310" s="41"/>
      <c r="T310" s="41"/>
      <c r="U310" s="41"/>
      <c r="V310" s="41"/>
      <c r="W310" s="41"/>
      <c r="X310" s="42" t="str">
        <f t="shared" si="182"/>
        <v>НФИбд</v>
      </c>
      <c r="Y310" s="39" t="s">
        <v>212</v>
      </c>
      <c r="Z310" s="39">
        <v>4</v>
      </c>
      <c r="AA310" s="39">
        <v>2</v>
      </c>
      <c r="AB310" s="42">
        <f t="shared" si="183"/>
        <v>15</v>
      </c>
      <c r="AC310" s="39">
        <v>12</v>
      </c>
      <c r="AD310" s="39">
        <v>3</v>
      </c>
      <c r="AE310" s="44">
        <f t="shared" si="184"/>
        <v>15</v>
      </c>
      <c r="AF310" s="45">
        <f t="shared" si="185"/>
        <v>1</v>
      </c>
      <c r="AG310" s="45">
        <f t="shared" si="186"/>
        <v>1</v>
      </c>
      <c r="AH310" s="46" t="s">
        <v>82</v>
      </c>
      <c r="AI310" s="40" t="s">
        <v>83</v>
      </c>
      <c r="AJ310" s="40" t="s">
        <v>84</v>
      </c>
      <c r="AK310" s="47" t="s">
        <v>204</v>
      </c>
      <c r="AL310" s="40"/>
      <c r="AM310" s="48">
        <f t="shared" si="187"/>
        <v>18</v>
      </c>
      <c r="AN310" s="48">
        <f t="shared" si="188"/>
        <v>0</v>
      </c>
      <c r="AO310" s="48">
        <f t="shared" si="189"/>
        <v>0</v>
      </c>
      <c r="AP310" s="48">
        <f t="shared" si="190"/>
        <v>0</v>
      </c>
      <c r="AQ310" s="48">
        <f t="shared" si="191"/>
        <v>0</v>
      </c>
      <c r="AR310" s="48">
        <f t="shared" si="192"/>
        <v>0</v>
      </c>
      <c r="AS310" s="48">
        <f t="shared" si="193"/>
        <v>1.8</v>
      </c>
      <c r="AT310" s="48">
        <f t="shared" si="194"/>
        <v>0</v>
      </c>
      <c r="AU310" s="48">
        <f t="shared" si="195"/>
        <v>0</v>
      </c>
      <c r="AV310" s="48">
        <f t="shared" si="196"/>
        <v>0</v>
      </c>
      <c r="AW310" s="48">
        <f>IF(N310="ПП",РПП*AB310*(V310/1.5),IF(N310="ВП",ВПр*AB310*(V310/1.5),IF(N310="РПА",РПА*AB310*(V310/1.5),IF(N310="КПА",кпа*AB310*(V310/1.5),0))))</f>
        <v>0</v>
      </c>
      <c r="AX310" s="48">
        <f t="shared" si="197"/>
        <v>0</v>
      </c>
      <c r="AY310" s="48">
        <f t="shared" si="198"/>
        <v>0</v>
      </c>
      <c r="AZ310" s="48">
        <f t="shared" si="199"/>
        <v>0</v>
      </c>
      <c r="BA310" s="48">
        <f t="shared" si="200"/>
        <v>0</v>
      </c>
      <c r="BB310" s="48">
        <f t="shared" si="201"/>
        <v>0</v>
      </c>
      <c r="BC310" s="48">
        <f t="shared" si="202"/>
        <v>0</v>
      </c>
      <c r="BD310" s="48">
        <f t="shared" si="203"/>
        <v>0</v>
      </c>
      <c r="BE310" s="48">
        <f t="shared" si="204"/>
        <v>0</v>
      </c>
      <c r="BF310" s="49">
        <f t="shared" si="205"/>
        <v>19.8</v>
      </c>
      <c r="BG310" s="50"/>
      <c r="BH310" s="51">
        <f t="shared" si="206"/>
        <v>18</v>
      </c>
      <c r="BI310" s="51">
        <f t="shared" si="207"/>
        <v>0.5</v>
      </c>
      <c r="BJ310" s="51">
        <f t="shared" si="208"/>
        <v>1.8</v>
      </c>
      <c r="BK310" s="52">
        <f t="shared" si="209"/>
        <v>0</v>
      </c>
      <c r="BL310" s="52">
        <f t="shared" si="210"/>
        <v>0</v>
      </c>
      <c r="BM310" s="52">
        <f t="shared" si="211"/>
        <v>0</v>
      </c>
    </row>
    <row r="311" spans="1:65" ht="30" customHeight="1" x14ac:dyDescent="0.25">
      <c r="A311" s="31" t="str">
        <f t="shared" si="177"/>
        <v>Д</v>
      </c>
      <c r="B311" s="31" t="str">
        <f t="shared" si="178"/>
        <v>Б</v>
      </c>
      <c r="C311" s="32" t="s">
        <v>211</v>
      </c>
      <c r="D311" s="33" t="str">
        <f t="shared" si="179"/>
        <v>Факультет физико-математических и естественных наук</v>
      </c>
      <c r="E311" s="34" t="str">
        <f t="shared" si="180"/>
        <v>'02.03.02</v>
      </c>
      <c r="F311" s="35" t="str">
        <f t="shared" si="181"/>
        <v>Фундаментальная информатика и информационные технологии</v>
      </c>
      <c r="G311" s="36" t="s">
        <v>76</v>
      </c>
      <c r="H311" s="36" t="s">
        <v>135</v>
      </c>
      <c r="I311" s="37"/>
      <c r="J311" s="37" t="s">
        <v>137</v>
      </c>
      <c r="K311" s="38" t="s">
        <v>140</v>
      </c>
      <c r="L311" s="39">
        <v>5</v>
      </c>
      <c r="M311" s="39">
        <v>18</v>
      </c>
      <c r="N311" s="40" t="s">
        <v>86</v>
      </c>
      <c r="O311" s="39"/>
      <c r="P311" s="39"/>
      <c r="Q311" s="39">
        <v>1</v>
      </c>
      <c r="R311" s="40" t="s">
        <v>95</v>
      </c>
      <c r="S311" s="41"/>
      <c r="T311" s="41"/>
      <c r="U311" s="41"/>
      <c r="V311" s="41"/>
      <c r="W311" s="41"/>
      <c r="X311" s="42" t="str">
        <f t="shared" si="182"/>
        <v>НФИбд</v>
      </c>
      <c r="Y311" s="39" t="s">
        <v>212</v>
      </c>
      <c r="Z311" s="39">
        <v>4</v>
      </c>
      <c r="AA311" s="39">
        <v>2</v>
      </c>
      <c r="AB311" s="42">
        <f t="shared" si="183"/>
        <v>15</v>
      </c>
      <c r="AC311" s="39">
        <v>12</v>
      </c>
      <c r="AD311" s="39">
        <v>3</v>
      </c>
      <c r="AE311" s="44">
        <f t="shared" si="184"/>
        <v>24</v>
      </c>
      <c r="AF311" s="45">
        <f t="shared" si="185"/>
        <v>0.625</v>
      </c>
      <c r="AG311" s="45">
        <f t="shared" si="186"/>
        <v>0.625</v>
      </c>
      <c r="AH311" s="46" t="s">
        <v>82</v>
      </c>
      <c r="AI311" s="40" t="s">
        <v>83</v>
      </c>
      <c r="AJ311" s="40" t="s">
        <v>84</v>
      </c>
      <c r="AK311" s="47" t="s">
        <v>204</v>
      </c>
      <c r="AL311" s="40"/>
      <c r="AM311" s="48">
        <f t="shared" si="187"/>
        <v>0</v>
      </c>
      <c r="AN311" s="48">
        <f t="shared" si="188"/>
        <v>11.25</v>
      </c>
      <c r="AO311" s="48">
        <f t="shared" si="189"/>
        <v>0</v>
      </c>
      <c r="AP311" s="48">
        <f t="shared" si="190"/>
        <v>4.95</v>
      </c>
      <c r="AQ311" s="48">
        <f t="shared" si="191"/>
        <v>7.5</v>
      </c>
      <c r="AR311" s="48">
        <f t="shared" si="192"/>
        <v>0.625</v>
      </c>
      <c r="AS311" s="48">
        <f t="shared" si="193"/>
        <v>0</v>
      </c>
      <c r="AT311" s="48">
        <f t="shared" si="194"/>
        <v>0</v>
      </c>
      <c r="AU311" s="48">
        <f t="shared" si="195"/>
        <v>0</v>
      </c>
      <c r="AV311" s="48">
        <f t="shared" si="196"/>
        <v>0</v>
      </c>
      <c r="AW311" s="48">
        <f>IF(N311="ПП",РПП*AB311*(V311/1.5),IF(N311="ВП",ВПр*AB311*(V311/1.5),IF(N311="РПА",РПА*AB311*(V311/1.5),IF(N311="КПА",кпа*AB311*(V311/1.5),0))))</f>
        <v>0</v>
      </c>
      <c r="AX311" s="48">
        <f t="shared" si="197"/>
        <v>0</v>
      </c>
      <c r="AY311" s="48">
        <f t="shared" si="198"/>
        <v>0</v>
      </c>
      <c r="AZ311" s="48">
        <f t="shared" si="199"/>
        <v>0</v>
      </c>
      <c r="BA311" s="48">
        <f t="shared" si="200"/>
        <v>0</v>
      </c>
      <c r="BB311" s="48">
        <f t="shared" si="201"/>
        <v>0</v>
      </c>
      <c r="BC311" s="48">
        <f t="shared" si="202"/>
        <v>0</v>
      </c>
      <c r="BD311" s="48">
        <f t="shared" si="203"/>
        <v>0</v>
      </c>
      <c r="BE311" s="48">
        <f t="shared" si="204"/>
        <v>0</v>
      </c>
      <c r="BF311" s="49">
        <f t="shared" si="205"/>
        <v>24.324999999999999</v>
      </c>
      <c r="BG311" s="50"/>
      <c r="BH311" s="51">
        <f t="shared" si="206"/>
        <v>11.25</v>
      </c>
      <c r="BI311" s="51">
        <f t="shared" si="207"/>
        <v>0.5</v>
      </c>
      <c r="BJ311" s="51">
        <f t="shared" si="208"/>
        <v>13.074999999999999</v>
      </c>
      <c r="BK311" s="52">
        <f t="shared" si="209"/>
        <v>0</v>
      </c>
      <c r="BL311" s="52">
        <f t="shared" si="210"/>
        <v>0</v>
      </c>
      <c r="BM311" s="52">
        <f t="shared" si="211"/>
        <v>0</v>
      </c>
    </row>
    <row r="312" spans="1:65" ht="30" customHeight="1" x14ac:dyDescent="0.25">
      <c r="A312" s="31" t="str">
        <f t="shared" si="177"/>
        <v>Д</v>
      </c>
      <c r="B312" s="31" t="str">
        <f t="shared" si="178"/>
        <v>Б</v>
      </c>
      <c r="C312" s="32" t="s">
        <v>211</v>
      </c>
      <c r="D312" s="33" t="str">
        <f t="shared" si="179"/>
        <v>Факультет физико-математических и естественных наук</v>
      </c>
      <c r="E312" s="34" t="str">
        <f t="shared" si="180"/>
        <v>'02.03.02</v>
      </c>
      <c r="F312" s="35" t="str">
        <f t="shared" si="181"/>
        <v>Фундаментальная информатика и информационные технологии</v>
      </c>
      <c r="G312" s="36" t="s">
        <v>76</v>
      </c>
      <c r="H312" s="36" t="s">
        <v>135</v>
      </c>
      <c r="I312" s="37"/>
      <c r="J312" s="37" t="s">
        <v>137</v>
      </c>
      <c r="K312" s="38" t="s">
        <v>151</v>
      </c>
      <c r="L312" s="39">
        <v>6</v>
      </c>
      <c r="M312" s="39">
        <v>18</v>
      </c>
      <c r="N312" s="40" t="s">
        <v>79</v>
      </c>
      <c r="O312" s="39">
        <v>1</v>
      </c>
      <c r="P312" s="39"/>
      <c r="Q312" s="39"/>
      <c r="R312" s="40" t="s">
        <v>80</v>
      </c>
      <c r="S312" s="41"/>
      <c r="T312" s="41"/>
      <c r="U312" s="41"/>
      <c r="V312" s="41"/>
      <c r="W312" s="41"/>
      <c r="X312" s="42" t="str">
        <f t="shared" si="182"/>
        <v>НФИбд</v>
      </c>
      <c r="Y312" s="39" t="s">
        <v>212</v>
      </c>
      <c r="Z312" s="39">
        <v>4</v>
      </c>
      <c r="AA312" s="39">
        <v>2</v>
      </c>
      <c r="AB312" s="42">
        <f t="shared" si="183"/>
        <v>15</v>
      </c>
      <c r="AC312" s="39">
        <v>12</v>
      </c>
      <c r="AD312" s="39">
        <v>3</v>
      </c>
      <c r="AE312" s="44">
        <f t="shared" si="184"/>
        <v>15</v>
      </c>
      <c r="AF312" s="45">
        <f t="shared" si="185"/>
        <v>1</v>
      </c>
      <c r="AG312" s="45">
        <f t="shared" si="186"/>
        <v>1</v>
      </c>
      <c r="AH312" s="46" t="s">
        <v>82</v>
      </c>
      <c r="AI312" s="40" t="s">
        <v>83</v>
      </c>
      <c r="AJ312" s="40" t="s">
        <v>84</v>
      </c>
      <c r="AK312" s="47" t="s">
        <v>144</v>
      </c>
      <c r="AL312" s="40"/>
      <c r="AM312" s="48">
        <f t="shared" si="187"/>
        <v>18</v>
      </c>
      <c r="AN312" s="48">
        <f t="shared" si="188"/>
        <v>0</v>
      </c>
      <c r="AO312" s="48">
        <f t="shared" si="189"/>
        <v>0</v>
      </c>
      <c r="AP312" s="48">
        <f t="shared" si="190"/>
        <v>4.95</v>
      </c>
      <c r="AQ312" s="48">
        <f t="shared" si="191"/>
        <v>7.5</v>
      </c>
      <c r="AR312" s="48">
        <f t="shared" si="192"/>
        <v>2</v>
      </c>
      <c r="AS312" s="48">
        <f t="shared" si="193"/>
        <v>1.8</v>
      </c>
      <c r="AT312" s="48">
        <f t="shared" si="194"/>
        <v>0</v>
      </c>
      <c r="AU312" s="48">
        <f t="shared" si="195"/>
        <v>0</v>
      </c>
      <c r="AV312" s="48">
        <f t="shared" si="196"/>
        <v>0</v>
      </c>
      <c r="AW312" s="48">
        <f>IF(N312="ПП",РПП*AB312*(V312/1.5),IF(N312="ВП",ВПр*AB312*(V312/1.5),IF(N312="РПА",РПА*AB312*(V312/1.5),IF(N312="КПА",кпа*AB312*(V312/1.5),0))))</f>
        <v>0</v>
      </c>
      <c r="AX312" s="48">
        <f t="shared" si="197"/>
        <v>0</v>
      </c>
      <c r="AY312" s="48">
        <f t="shared" si="198"/>
        <v>0</v>
      </c>
      <c r="AZ312" s="48">
        <f t="shared" si="199"/>
        <v>0</v>
      </c>
      <c r="BA312" s="48">
        <f t="shared" si="200"/>
        <v>0</v>
      </c>
      <c r="BB312" s="48">
        <f t="shared" si="201"/>
        <v>0</v>
      </c>
      <c r="BC312" s="48">
        <f t="shared" si="202"/>
        <v>0</v>
      </c>
      <c r="BD312" s="48">
        <f t="shared" si="203"/>
        <v>0</v>
      </c>
      <c r="BE312" s="48">
        <f t="shared" si="204"/>
        <v>0</v>
      </c>
      <c r="BF312" s="49">
        <f t="shared" si="205"/>
        <v>34.25</v>
      </c>
      <c r="BG312" s="50"/>
      <c r="BH312" s="51">
        <f t="shared" si="206"/>
        <v>0</v>
      </c>
      <c r="BI312" s="51">
        <f t="shared" si="207"/>
        <v>0</v>
      </c>
      <c r="BJ312" s="51">
        <f t="shared" si="208"/>
        <v>0</v>
      </c>
      <c r="BK312" s="52">
        <f t="shared" si="209"/>
        <v>18</v>
      </c>
      <c r="BL312" s="52">
        <f t="shared" si="210"/>
        <v>0.5</v>
      </c>
      <c r="BM312" s="52">
        <f t="shared" si="211"/>
        <v>16.25</v>
      </c>
    </row>
    <row r="313" spans="1:65" ht="30" customHeight="1" x14ac:dyDescent="0.25">
      <c r="A313" s="31" t="str">
        <f t="shared" si="177"/>
        <v>Д</v>
      </c>
      <c r="B313" s="31" t="str">
        <f t="shared" si="178"/>
        <v>Б</v>
      </c>
      <c r="C313" s="32" t="s">
        <v>211</v>
      </c>
      <c r="D313" s="33" t="str">
        <f t="shared" si="179"/>
        <v>Факультет физико-математических и естественных наук</v>
      </c>
      <c r="E313" s="34" t="str">
        <f t="shared" si="180"/>
        <v>'02.03.02</v>
      </c>
      <c r="F313" s="35" t="str">
        <f t="shared" si="181"/>
        <v>Фундаментальная информатика и информационные технологии</v>
      </c>
      <c r="G313" s="36" t="s">
        <v>76</v>
      </c>
      <c r="H313" s="36" t="s">
        <v>135</v>
      </c>
      <c r="I313" s="37"/>
      <c r="J313" s="37" t="s">
        <v>137</v>
      </c>
      <c r="K313" s="38" t="s">
        <v>151</v>
      </c>
      <c r="L313" s="39">
        <v>6</v>
      </c>
      <c r="M313" s="39">
        <v>18</v>
      </c>
      <c r="N313" s="40" t="s">
        <v>94</v>
      </c>
      <c r="O313" s="39"/>
      <c r="P313" s="39">
        <v>2</v>
      </c>
      <c r="Q313" s="39"/>
      <c r="R313" s="40"/>
      <c r="S313" s="41"/>
      <c r="T313" s="41"/>
      <c r="U313" s="41"/>
      <c r="V313" s="41"/>
      <c r="W313" s="41"/>
      <c r="X313" s="42" t="str">
        <f t="shared" si="182"/>
        <v>НФИбд</v>
      </c>
      <c r="Y313" s="39" t="s">
        <v>212</v>
      </c>
      <c r="Z313" s="39">
        <v>4</v>
      </c>
      <c r="AA313" s="39">
        <v>2</v>
      </c>
      <c r="AB313" s="42">
        <f t="shared" si="183"/>
        <v>15</v>
      </c>
      <c r="AC313" s="39">
        <v>12</v>
      </c>
      <c r="AD313" s="39">
        <v>3</v>
      </c>
      <c r="AE313" s="44">
        <f t="shared" si="184"/>
        <v>12</v>
      </c>
      <c r="AF313" s="45">
        <f t="shared" si="185"/>
        <v>1</v>
      </c>
      <c r="AG313" s="45">
        <f t="shared" si="186"/>
        <v>1.25</v>
      </c>
      <c r="AH313" s="46" t="s">
        <v>82</v>
      </c>
      <c r="AI313" s="40" t="s">
        <v>83</v>
      </c>
      <c r="AJ313" s="40" t="s">
        <v>84</v>
      </c>
      <c r="AK313" s="47" t="s">
        <v>144</v>
      </c>
      <c r="AL313" s="40"/>
      <c r="AM313" s="48">
        <f t="shared" si="187"/>
        <v>0</v>
      </c>
      <c r="AN313" s="48">
        <f t="shared" si="188"/>
        <v>0</v>
      </c>
      <c r="AO313" s="48">
        <f t="shared" si="189"/>
        <v>36</v>
      </c>
      <c r="AP313" s="48">
        <f t="shared" si="190"/>
        <v>0</v>
      </c>
      <c r="AQ313" s="48">
        <f t="shared" si="191"/>
        <v>0</v>
      </c>
      <c r="AR313" s="48">
        <f t="shared" si="192"/>
        <v>0</v>
      </c>
      <c r="AS313" s="48">
        <f t="shared" si="193"/>
        <v>0</v>
      </c>
      <c r="AT313" s="48">
        <f t="shared" si="194"/>
        <v>0</v>
      </c>
      <c r="AU313" s="48">
        <f t="shared" si="195"/>
        <v>0</v>
      </c>
      <c r="AV313" s="48">
        <f t="shared" si="196"/>
        <v>0</v>
      </c>
      <c r="AW313" s="48">
        <f>IF(N313="ПП",РПП*AB313*(V313/1.5),IF(N313="ВП",ВПр*AB313*(V313/1.5),IF(N313="РПА",РПА*AB313*(V313/1.5),IF(N313="КПА",кпа*AB313*(V313/1.5),0))))</f>
        <v>0</v>
      </c>
      <c r="AX313" s="48">
        <f t="shared" si="197"/>
        <v>0</v>
      </c>
      <c r="AY313" s="48">
        <f t="shared" si="198"/>
        <v>0</v>
      </c>
      <c r="AZ313" s="48">
        <f t="shared" si="199"/>
        <v>0</v>
      </c>
      <c r="BA313" s="48">
        <f t="shared" si="200"/>
        <v>0</v>
      </c>
      <c r="BB313" s="48">
        <f t="shared" si="201"/>
        <v>0</v>
      </c>
      <c r="BC313" s="48">
        <f t="shared" si="202"/>
        <v>0</v>
      </c>
      <c r="BD313" s="48">
        <f t="shared" si="203"/>
        <v>0</v>
      </c>
      <c r="BE313" s="48">
        <f t="shared" si="204"/>
        <v>0</v>
      </c>
      <c r="BF313" s="49">
        <f t="shared" si="205"/>
        <v>36</v>
      </c>
      <c r="BG313" s="50"/>
      <c r="BH313" s="51">
        <f t="shared" si="206"/>
        <v>0</v>
      </c>
      <c r="BI313" s="51">
        <f t="shared" si="207"/>
        <v>0</v>
      </c>
      <c r="BJ313" s="51">
        <f t="shared" si="208"/>
        <v>0</v>
      </c>
      <c r="BK313" s="52">
        <f t="shared" si="209"/>
        <v>36</v>
      </c>
      <c r="BL313" s="52">
        <f t="shared" si="210"/>
        <v>1</v>
      </c>
      <c r="BM313" s="52">
        <f t="shared" si="211"/>
        <v>0</v>
      </c>
    </row>
    <row r="314" spans="1:65" ht="30" customHeight="1" x14ac:dyDescent="0.25">
      <c r="A314" s="31" t="str">
        <f t="shared" si="177"/>
        <v>Д</v>
      </c>
      <c r="B314" s="31" t="str">
        <f t="shared" si="178"/>
        <v>Б</v>
      </c>
      <c r="C314" s="32" t="s">
        <v>211</v>
      </c>
      <c r="D314" s="33" t="str">
        <f t="shared" si="179"/>
        <v>Факультет физико-математических и естественных наук</v>
      </c>
      <c r="E314" s="34" t="str">
        <f t="shared" si="180"/>
        <v>'02.03.02</v>
      </c>
      <c r="F314" s="35" t="str">
        <f t="shared" si="181"/>
        <v>Фундаментальная информатика и информационные технологии</v>
      </c>
      <c r="G314" s="36" t="s">
        <v>76</v>
      </c>
      <c r="H314" s="36" t="s">
        <v>135</v>
      </c>
      <c r="I314" s="37"/>
      <c r="J314" s="37" t="s">
        <v>137</v>
      </c>
      <c r="K314" s="38" t="s">
        <v>152</v>
      </c>
      <c r="L314" s="39">
        <v>6</v>
      </c>
      <c r="M314" s="39">
        <v>18</v>
      </c>
      <c r="N314" s="40" t="s">
        <v>79</v>
      </c>
      <c r="O314" s="39">
        <v>1</v>
      </c>
      <c r="P314" s="39"/>
      <c r="Q314" s="39"/>
      <c r="R314" s="40" t="s">
        <v>80</v>
      </c>
      <c r="S314" s="41"/>
      <c r="T314" s="41"/>
      <c r="U314" s="41"/>
      <c r="V314" s="41"/>
      <c r="W314" s="41"/>
      <c r="X314" s="42" t="str">
        <f t="shared" si="182"/>
        <v>НФИбд</v>
      </c>
      <c r="Y314" s="39" t="s">
        <v>212</v>
      </c>
      <c r="Z314" s="39">
        <v>4</v>
      </c>
      <c r="AA314" s="39">
        <v>2</v>
      </c>
      <c r="AB314" s="42">
        <f t="shared" si="183"/>
        <v>15</v>
      </c>
      <c r="AC314" s="39">
        <v>12</v>
      </c>
      <c r="AD314" s="39">
        <v>3</v>
      </c>
      <c r="AE314" s="44">
        <f t="shared" si="184"/>
        <v>15</v>
      </c>
      <c r="AF314" s="45">
        <f t="shared" si="185"/>
        <v>1</v>
      </c>
      <c r="AG314" s="45">
        <f t="shared" si="186"/>
        <v>1</v>
      </c>
      <c r="AH314" s="46" t="s">
        <v>82</v>
      </c>
      <c r="AI314" s="40" t="s">
        <v>83</v>
      </c>
      <c r="AJ314" s="40" t="s">
        <v>116</v>
      </c>
      <c r="AK314" s="47" t="s">
        <v>146</v>
      </c>
      <c r="AL314" s="40"/>
      <c r="AM314" s="48">
        <f t="shared" si="187"/>
        <v>18</v>
      </c>
      <c r="AN314" s="48">
        <f t="shared" si="188"/>
        <v>0</v>
      </c>
      <c r="AO314" s="48">
        <f t="shared" si="189"/>
        <v>0</v>
      </c>
      <c r="AP314" s="48">
        <f t="shared" si="190"/>
        <v>4.95</v>
      </c>
      <c r="AQ314" s="48">
        <f t="shared" si="191"/>
        <v>7.5</v>
      </c>
      <c r="AR314" s="48">
        <f t="shared" si="192"/>
        <v>2</v>
      </c>
      <c r="AS314" s="48">
        <f t="shared" si="193"/>
        <v>1.8</v>
      </c>
      <c r="AT314" s="48">
        <f t="shared" si="194"/>
        <v>0</v>
      </c>
      <c r="AU314" s="48">
        <f t="shared" si="195"/>
        <v>0</v>
      </c>
      <c r="AV314" s="48">
        <f t="shared" si="196"/>
        <v>0</v>
      </c>
      <c r="AW314" s="48">
        <f>IF(N314="ПП",РПП*AB314*(V314/1.5),IF(N314="ВП",ВПр*AB314*(V314/1.5),IF(N314="РПА",РПА*AB314*(V314/1.5),IF(N314="КПА",кпа*AB314*(V314/1.5),0))))</f>
        <v>0</v>
      </c>
      <c r="AX314" s="48">
        <f t="shared" si="197"/>
        <v>0</v>
      </c>
      <c r="AY314" s="48">
        <f t="shared" si="198"/>
        <v>0</v>
      </c>
      <c r="AZ314" s="48">
        <f t="shared" si="199"/>
        <v>0</v>
      </c>
      <c r="BA314" s="48">
        <f t="shared" si="200"/>
        <v>0</v>
      </c>
      <c r="BB314" s="48">
        <f t="shared" si="201"/>
        <v>0</v>
      </c>
      <c r="BC314" s="48">
        <f t="shared" si="202"/>
        <v>0</v>
      </c>
      <c r="BD314" s="48">
        <f t="shared" si="203"/>
        <v>0</v>
      </c>
      <c r="BE314" s="48">
        <f t="shared" si="204"/>
        <v>0</v>
      </c>
      <c r="BF314" s="49">
        <f t="shared" si="205"/>
        <v>34.25</v>
      </c>
      <c r="BG314" s="50"/>
      <c r="BH314" s="51">
        <f t="shared" si="206"/>
        <v>0</v>
      </c>
      <c r="BI314" s="51">
        <f t="shared" si="207"/>
        <v>0</v>
      </c>
      <c r="BJ314" s="51">
        <f t="shared" si="208"/>
        <v>0</v>
      </c>
      <c r="BK314" s="52">
        <f t="shared" si="209"/>
        <v>18</v>
      </c>
      <c r="BL314" s="52">
        <f t="shared" si="210"/>
        <v>0.5</v>
      </c>
      <c r="BM314" s="52">
        <f t="shared" si="211"/>
        <v>16.25</v>
      </c>
    </row>
    <row r="315" spans="1:65" ht="30" customHeight="1" x14ac:dyDescent="0.25">
      <c r="A315" s="31" t="str">
        <f t="shared" si="177"/>
        <v>Д</v>
      </c>
      <c r="B315" s="31" t="str">
        <f t="shared" si="178"/>
        <v>Б</v>
      </c>
      <c r="C315" s="32" t="s">
        <v>211</v>
      </c>
      <c r="D315" s="33" t="str">
        <f t="shared" si="179"/>
        <v>Факультет физико-математических и естественных наук</v>
      </c>
      <c r="E315" s="34" t="str">
        <f t="shared" si="180"/>
        <v>'02.03.02</v>
      </c>
      <c r="F315" s="35" t="str">
        <f t="shared" si="181"/>
        <v>Фундаментальная информатика и информационные технологии</v>
      </c>
      <c r="G315" s="36" t="s">
        <v>76</v>
      </c>
      <c r="H315" s="36" t="s">
        <v>135</v>
      </c>
      <c r="I315" s="37"/>
      <c r="J315" s="37" t="s">
        <v>137</v>
      </c>
      <c r="K315" s="38" t="s">
        <v>152</v>
      </c>
      <c r="L315" s="39">
        <v>6</v>
      </c>
      <c r="M315" s="39">
        <v>18</v>
      </c>
      <c r="N315" s="40" t="s">
        <v>86</v>
      </c>
      <c r="O315" s="39"/>
      <c r="P315" s="39"/>
      <c r="Q315" s="39">
        <v>2</v>
      </c>
      <c r="R315" s="40"/>
      <c r="S315" s="41"/>
      <c r="T315" s="41"/>
      <c r="U315" s="41"/>
      <c r="V315" s="41"/>
      <c r="W315" s="41"/>
      <c r="X315" s="42" t="str">
        <f t="shared" si="182"/>
        <v>НФИбд</v>
      </c>
      <c r="Y315" s="39" t="s">
        <v>212</v>
      </c>
      <c r="Z315" s="39">
        <v>4</v>
      </c>
      <c r="AA315" s="39">
        <v>2</v>
      </c>
      <c r="AB315" s="42">
        <f t="shared" si="183"/>
        <v>15</v>
      </c>
      <c r="AC315" s="39">
        <v>12</v>
      </c>
      <c r="AD315" s="39">
        <v>3</v>
      </c>
      <c r="AE315" s="44">
        <f t="shared" si="184"/>
        <v>24</v>
      </c>
      <c r="AF315" s="45">
        <f t="shared" si="185"/>
        <v>0.625</v>
      </c>
      <c r="AG315" s="45">
        <f t="shared" si="186"/>
        <v>0.625</v>
      </c>
      <c r="AH315" s="46" t="s">
        <v>82</v>
      </c>
      <c r="AI315" s="40" t="s">
        <v>83</v>
      </c>
      <c r="AJ315" s="40" t="s">
        <v>116</v>
      </c>
      <c r="AK315" s="47" t="s">
        <v>146</v>
      </c>
      <c r="AL315" s="40"/>
      <c r="AM315" s="48">
        <f t="shared" si="187"/>
        <v>0</v>
      </c>
      <c r="AN315" s="48">
        <f t="shared" si="188"/>
        <v>22.5</v>
      </c>
      <c r="AO315" s="48">
        <f t="shared" si="189"/>
        <v>0</v>
      </c>
      <c r="AP315" s="48">
        <f t="shared" si="190"/>
        <v>0</v>
      </c>
      <c r="AQ315" s="48">
        <f t="shared" si="191"/>
        <v>0</v>
      </c>
      <c r="AR315" s="48">
        <f t="shared" si="192"/>
        <v>0</v>
      </c>
      <c r="AS315" s="48">
        <f t="shared" si="193"/>
        <v>0</v>
      </c>
      <c r="AT315" s="48">
        <f t="shared" si="194"/>
        <v>0</v>
      </c>
      <c r="AU315" s="48">
        <f t="shared" si="195"/>
        <v>0</v>
      </c>
      <c r="AV315" s="48">
        <f t="shared" si="196"/>
        <v>0</v>
      </c>
      <c r="AW315" s="48">
        <f>IF(N315="ПП",РПП*AB315*(V315/1.5),IF(N315="ВП",ВПр*AB315*(V315/1.5),IF(N315="РПА",РПА*AB315*(V315/1.5),IF(N315="КПА",кпа*AB315*(V315/1.5),0))))</f>
        <v>0</v>
      </c>
      <c r="AX315" s="48">
        <f t="shared" si="197"/>
        <v>0</v>
      </c>
      <c r="AY315" s="48">
        <f t="shared" si="198"/>
        <v>0</v>
      </c>
      <c r="AZ315" s="48">
        <f t="shared" si="199"/>
        <v>0</v>
      </c>
      <c r="BA315" s="48">
        <f t="shared" si="200"/>
        <v>0</v>
      </c>
      <c r="BB315" s="48">
        <f t="shared" si="201"/>
        <v>0</v>
      </c>
      <c r="BC315" s="48">
        <f t="shared" si="202"/>
        <v>0</v>
      </c>
      <c r="BD315" s="48">
        <f t="shared" si="203"/>
        <v>0</v>
      </c>
      <c r="BE315" s="48">
        <f t="shared" si="204"/>
        <v>0</v>
      </c>
      <c r="BF315" s="49">
        <f t="shared" si="205"/>
        <v>22.5</v>
      </c>
      <c r="BG315" s="50"/>
      <c r="BH315" s="51">
        <f t="shared" si="206"/>
        <v>0</v>
      </c>
      <c r="BI315" s="51">
        <f t="shared" si="207"/>
        <v>0</v>
      </c>
      <c r="BJ315" s="51">
        <f t="shared" si="208"/>
        <v>0</v>
      </c>
      <c r="BK315" s="52">
        <f t="shared" si="209"/>
        <v>22.5</v>
      </c>
      <c r="BL315" s="52">
        <f t="shared" si="210"/>
        <v>1</v>
      </c>
      <c r="BM315" s="52">
        <f t="shared" si="211"/>
        <v>0</v>
      </c>
    </row>
    <row r="316" spans="1:65" ht="30" customHeight="1" x14ac:dyDescent="0.25">
      <c r="A316" s="31" t="str">
        <f t="shared" si="177"/>
        <v>Д</v>
      </c>
      <c r="B316" s="31" t="str">
        <f t="shared" si="178"/>
        <v>Б</v>
      </c>
      <c r="C316" s="32" t="s">
        <v>211</v>
      </c>
      <c r="D316" s="33" t="str">
        <f t="shared" si="179"/>
        <v>Факультет физико-математических и естественных наук</v>
      </c>
      <c r="E316" s="34" t="str">
        <f t="shared" si="180"/>
        <v>'02.03.02</v>
      </c>
      <c r="F316" s="35" t="str">
        <f t="shared" si="181"/>
        <v>Фундаментальная информатика и информационные технологии</v>
      </c>
      <c r="G316" s="36" t="s">
        <v>76</v>
      </c>
      <c r="H316" s="36" t="s">
        <v>135</v>
      </c>
      <c r="I316" s="37"/>
      <c r="J316" s="37" t="s">
        <v>154</v>
      </c>
      <c r="K316" s="38" t="s">
        <v>150</v>
      </c>
      <c r="L316" s="39">
        <v>6</v>
      </c>
      <c r="M316" s="39">
        <v>18</v>
      </c>
      <c r="N316" s="40" t="s">
        <v>79</v>
      </c>
      <c r="O316" s="39">
        <v>1</v>
      </c>
      <c r="P316" s="39"/>
      <c r="Q316" s="39"/>
      <c r="R316" s="40"/>
      <c r="S316" s="41"/>
      <c r="T316" s="41"/>
      <c r="U316" s="41"/>
      <c r="V316" s="41"/>
      <c r="W316" s="41"/>
      <c r="X316" s="42" t="str">
        <f t="shared" si="182"/>
        <v>НФИбд</v>
      </c>
      <c r="Y316" s="39" t="s">
        <v>212</v>
      </c>
      <c r="Z316" s="39">
        <v>4</v>
      </c>
      <c r="AA316" s="39">
        <v>2</v>
      </c>
      <c r="AB316" s="42">
        <f t="shared" si="183"/>
        <v>16</v>
      </c>
      <c r="AC316" s="39">
        <v>11</v>
      </c>
      <c r="AD316" s="39">
        <v>5</v>
      </c>
      <c r="AE316" s="44">
        <f t="shared" si="184"/>
        <v>16</v>
      </c>
      <c r="AF316" s="45">
        <f t="shared" si="185"/>
        <v>1</v>
      </c>
      <c r="AG316" s="45">
        <f t="shared" si="186"/>
        <v>1</v>
      </c>
      <c r="AH316" s="46" t="s">
        <v>82</v>
      </c>
      <c r="AI316" s="40" t="s">
        <v>83</v>
      </c>
      <c r="AJ316" s="40" t="s">
        <v>84</v>
      </c>
      <c r="AK316" s="47" t="s">
        <v>141</v>
      </c>
      <c r="AL316" s="40"/>
      <c r="AM316" s="48">
        <f t="shared" si="187"/>
        <v>18</v>
      </c>
      <c r="AN316" s="48">
        <f t="shared" si="188"/>
        <v>0</v>
      </c>
      <c r="AO316" s="48">
        <f t="shared" si="189"/>
        <v>0</v>
      </c>
      <c r="AP316" s="48">
        <f t="shared" si="190"/>
        <v>0</v>
      </c>
      <c r="AQ316" s="48">
        <f t="shared" si="191"/>
        <v>0</v>
      </c>
      <c r="AR316" s="48">
        <f t="shared" si="192"/>
        <v>0</v>
      </c>
      <c r="AS316" s="48">
        <f t="shared" si="193"/>
        <v>1.8</v>
      </c>
      <c r="AT316" s="48">
        <f t="shared" si="194"/>
        <v>0</v>
      </c>
      <c r="AU316" s="48">
        <f t="shared" si="195"/>
        <v>0</v>
      </c>
      <c r="AV316" s="48">
        <f t="shared" si="196"/>
        <v>0</v>
      </c>
      <c r="AW316" s="48">
        <f>IF(N316="ПП",РПП*AB316*(V316/1.5),IF(N316="ВП",ВПр*AB316*(V316/1.5),IF(N316="РПА",РПА*AB316*(V316/1.5),IF(N316="КПА",кпа*AB316*(V316/1.5),0))))</f>
        <v>0</v>
      </c>
      <c r="AX316" s="48">
        <f t="shared" si="197"/>
        <v>0</v>
      </c>
      <c r="AY316" s="48">
        <f t="shared" si="198"/>
        <v>0</v>
      </c>
      <c r="AZ316" s="48">
        <f t="shared" si="199"/>
        <v>0</v>
      </c>
      <c r="BA316" s="48">
        <f t="shared" si="200"/>
        <v>0</v>
      </c>
      <c r="BB316" s="48">
        <f t="shared" si="201"/>
        <v>0</v>
      </c>
      <c r="BC316" s="48">
        <f t="shared" si="202"/>
        <v>0</v>
      </c>
      <c r="BD316" s="48">
        <f t="shared" si="203"/>
        <v>0</v>
      </c>
      <c r="BE316" s="48">
        <f t="shared" si="204"/>
        <v>0</v>
      </c>
      <c r="BF316" s="49">
        <f t="shared" si="205"/>
        <v>19.8</v>
      </c>
      <c r="BG316" s="50"/>
      <c r="BH316" s="51">
        <f t="shared" si="206"/>
        <v>0</v>
      </c>
      <c r="BI316" s="51">
        <f t="shared" si="207"/>
        <v>0</v>
      </c>
      <c r="BJ316" s="51">
        <f t="shared" si="208"/>
        <v>0</v>
      </c>
      <c r="BK316" s="52">
        <f t="shared" si="209"/>
        <v>18</v>
      </c>
      <c r="BL316" s="52">
        <f t="shared" si="210"/>
        <v>0.5</v>
      </c>
      <c r="BM316" s="52">
        <f t="shared" si="211"/>
        <v>1.8</v>
      </c>
    </row>
    <row r="317" spans="1:65" ht="30" customHeight="1" x14ac:dyDescent="0.25">
      <c r="A317" s="31" t="str">
        <f t="shared" si="177"/>
        <v>Д</v>
      </c>
      <c r="B317" s="31" t="str">
        <f t="shared" si="178"/>
        <v>Б</v>
      </c>
      <c r="C317" s="32" t="s">
        <v>211</v>
      </c>
      <c r="D317" s="33" t="str">
        <f t="shared" si="179"/>
        <v>Факультет физико-математических и естественных наук</v>
      </c>
      <c r="E317" s="34" t="str">
        <f t="shared" si="180"/>
        <v>'02.03.02</v>
      </c>
      <c r="F317" s="35" t="str">
        <f t="shared" si="181"/>
        <v>Фундаментальная информатика и информационные технологии</v>
      </c>
      <c r="G317" s="36" t="s">
        <v>76</v>
      </c>
      <c r="H317" s="36" t="s">
        <v>135</v>
      </c>
      <c r="I317" s="37"/>
      <c r="J317" s="37" t="s">
        <v>154</v>
      </c>
      <c r="K317" s="38" t="s">
        <v>150</v>
      </c>
      <c r="L317" s="39">
        <v>6</v>
      </c>
      <c r="M317" s="39">
        <v>18</v>
      </c>
      <c r="N317" s="40" t="s">
        <v>86</v>
      </c>
      <c r="O317" s="39"/>
      <c r="P317" s="39"/>
      <c r="Q317" s="39">
        <v>2</v>
      </c>
      <c r="R317" s="40" t="s">
        <v>95</v>
      </c>
      <c r="S317" s="41"/>
      <c r="T317" s="41"/>
      <c r="U317" s="41"/>
      <c r="V317" s="41"/>
      <c r="W317" s="41"/>
      <c r="X317" s="42" t="str">
        <f t="shared" si="182"/>
        <v>НФИбд</v>
      </c>
      <c r="Y317" s="39" t="s">
        <v>212</v>
      </c>
      <c r="Z317" s="39">
        <v>4</v>
      </c>
      <c r="AA317" s="39">
        <v>2</v>
      </c>
      <c r="AB317" s="42">
        <f t="shared" si="183"/>
        <v>16</v>
      </c>
      <c r="AC317" s="39">
        <v>11</v>
      </c>
      <c r="AD317" s="39">
        <v>5</v>
      </c>
      <c r="AE317" s="44">
        <f t="shared" si="184"/>
        <v>24</v>
      </c>
      <c r="AF317" s="45">
        <f t="shared" si="185"/>
        <v>0.66666666666666663</v>
      </c>
      <c r="AG317" s="45">
        <f t="shared" si="186"/>
        <v>0.66666666666666663</v>
      </c>
      <c r="AH317" s="46" t="s">
        <v>82</v>
      </c>
      <c r="AI317" s="40" t="s">
        <v>99</v>
      </c>
      <c r="AJ317" s="40" t="s">
        <v>116</v>
      </c>
      <c r="AK317" s="47" t="s">
        <v>141</v>
      </c>
      <c r="AL317" s="40"/>
      <c r="AM317" s="48">
        <f t="shared" si="187"/>
        <v>0</v>
      </c>
      <c r="AN317" s="48">
        <f t="shared" si="188"/>
        <v>24</v>
      </c>
      <c r="AO317" s="48">
        <f t="shared" si="189"/>
        <v>0</v>
      </c>
      <c r="AP317" s="48">
        <f t="shared" si="190"/>
        <v>5.28</v>
      </c>
      <c r="AQ317" s="48">
        <f t="shared" si="191"/>
        <v>8</v>
      </c>
      <c r="AR317" s="48">
        <f t="shared" si="192"/>
        <v>0.66666666666666663</v>
      </c>
      <c r="AS317" s="48">
        <f t="shared" si="193"/>
        <v>0</v>
      </c>
      <c r="AT317" s="48">
        <f t="shared" si="194"/>
        <v>0</v>
      </c>
      <c r="AU317" s="48">
        <f t="shared" si="195"/>
        <v>0</v>
      </c>
      <c r="AV317" s="48">
        <f t="shared" si="196"/>
        <v>0</v>
      </c>
      <c r="AW317" s="48">
        <f>IF(N317="ПП",РПП*AB317*(V317/1.5),IF(N317="ВП",ВПр*AB317*(V317/1.5),IF(N317="РПА",РПА*AB317*(V317/1.5),IF(N317="КПА",кпа*AB317*(V317/1.5),0))))</f>
        <v>0</v>
      </c>
      <c r="AX317" s="48">
        <f t="shared" si="197"/>
        <v>0</v>
      </c>
      <c r="AY317" s="48">
        <f t="shared" si="198"/>
        <v>0</v>
      </c>
      <c r="AZ317" s="48">
        <f t="shared" si="199"/>
        <v>0</v>
      </c>
      <c r="BA317" s="48">
        <f t="shared" si="200"/>
        <v>0</v>
      </c>
      <c r="BB317" s="48">
        <f t="shared" si="201"/>
        <v>0</v>
      </c>
      <c r="BC317" s="48">
        <f t="shared" si="202"/>
        <v>0</v>
      </c>
      <c r="BD317" s="48">
        <f t="shared" si="203"/>
        <v>0</v>
      </c>
      <c r="BE317" s="48">
        <f t="shared" si="204"/>
        <v>0</v>
      </c>
      <c r="BF317" s="49">
        <f t="shared" si="205"/>
        <v>37.946666666666665</v>
      </c>
      <c r="BG317" s="50"/>
      <c r="BH317" s="51">
        <f t="shared" si="206"/>
        <v>0</v>
      </c>
      <c r="BI317" s="51">
        <f t="shared" si="207"/>
        <v>0</v>
      </c>
      <c r="BJ317" s="51">
        <f t="shared" si="208"/>
        <v>0</v>
      </c>
      <c r="BK317" s="52">
        <f t="shared" si="209"/>
        <v>24</v>
      </c>
      <c r="BL317" s="52">
        <f t="shared" si="210"/>
        <v>1</v>
      </c>
      <c r="BM317" s="52">
        <f t="shared" si="211"/>
        <v>13.946666666666667</v>
      </c>
    </row>
    <row r="318" spans="1:65" ht="30" customHeight="1" x14ac:dyDescent="0.25">
      <c r="A318" s="31" t="str">
        <f t="shared" si="177"/>
        <v>Д</v>
      </c>
      <c r="B318" s="31" t="str">
        <f t="shared" si="178"/>
        <v>Б</v>
      </c>
      <c r="C318" s="32" t="s">
        <v>211</v>
      </c>
      <c r="D318" s="33" t="str">
        <f t="shared" si="179"/>
        <v>Факультет физико-математических и естественных наук</v>
      </c>
      <c r="E318" s="34" t="str">
        <f t="shared" si="180"/>
        <v>'02.03.02</v>
      </c>
      <c r="F318" s="35" t="str">
        <f t="shared" si="181"/>
        <v>Фундаментальная информатика и информационные технологии</v>
      </c>
      <c r="G318" s="36" t="s">
        <v>76</v>
      </c>
      <c r="H318" s="36" t="s">
        <v>135</v>
      </c>
      <c r="I318" s="37"/>
      <c r="J318" s="37" t="s">
        <v>154</v>
      </c>
      <c r="K318" s="38" t="s">
        <v>206</v>
      </c>
      <c r="L318" s="39">
        <v>6</v>
      </c>
      <c r="M318" s="39">
        <v>18</v>
      </c>
      <c r="N318" s="40" t="s">
        <v>94</v>
      </c>
      <c r="O318" s="39"/>
      <c r="P318" s="39">
        <v>2</v>
      </c>
      <c r="Q318" s="39"/>
      <c r="R318" s="40" t="s">
        <v>95</v>
      </c>
      <c r="S318" s="41"/>
      <c r="T318" s="41"/>
      <c r="U318" s="41"/>
      <c r="V318" s="41"/>
      <c r="W318" s="41"/>
      <c r="X318" s="42" t="str">
        <f t="shared" si="182"/>
        <v>НФИбд</v>
      </c>
      <c r="Y318" s="43" t="s">
        <v>128</v>
      </c>
      <c r="Z318" s="39">
        <v>4</v>
      </c>
      <c r="AA318" s="39">
        <v>2</v>
      </c>
      <c r="AB318" s="42">
        <f t="shared" si="183"/>
        <v>29</v>
      </c>
      <c r="AC318" s="122">
        <v>19</v>
      </c>
      <c r="AD318" s="122">
        <v>10</v>
      </c>
      <c r="AE318" s="44">
        <f t="shared" si="184"/>
        <v>12</v>
      </c>
      <c r="AF318" s="45">
        <f t="shared" si="185"/>
        <v>1</v>
      </c>
      <c r="AG318" s="45">
        <f t="shared" si="186"/>
        <v>2.4166666666666665</v>
      </c>
      <c r="AH318" s="46" t="s">
        <v>82</v>
      </c>
      <c r="AI318" s="40" t="s">
        <v>99</v>
      </c>
      <c r="AJ318" s="40" t="s">
        <v>116</v>
      </c>
      <c r="AK318" s="59" t="s">
        <v>214</v>
      </c>
      <c r="AL318" s="40"/>
      <c r="AM318" s="48">
        <f t="shared" si="187"/>
        <v>0</v>
      </c>
      <c r="AN318" s="48">
        <f t="shared" si="188"/>
        <v>0</v>
      </c>
      <c r="AO318" s="48">
        <f t="shared" si="189"/>
        <v>36</v>
      </c>
      <c r="AP318" s="48">
        <f t="shared" si="190"/>
        <v>9.57</v>
      </c>
      <c r="AQ318" s="48">
        <f t="shared" si="191"/>
        <v>14.5</v>
      </c>
      <c r="AR318" s="48">
        <f t="shared" si="192"/>
        <v>2</v>
      </c>
      <c r="AS318" s="48">
        <f t="shared" si="193"/>
        <v>0</v>
      </c>
      <c r="AT318" s="48">
        <f t="shared" si="194"/>
        <v>0</v>
      </c>
      <c r="AU318" s="48">
        <f t="shared" si="195"/>
        <v>0</v>
      </c>
      <c r="AV318" s="48">
        <f t="shared" si="196"/>
        <v>0</v>
      </c>
      <c r="AW318" s="48">
        <f>IF(N318="ПП",РПП*AB318*(V318/1.5),IF(N318="ВП",ВПр*AB318*(V318/1.5),IF(N318="РПА",РПА*AB318*(V318/1.5),IF(N318="КПА",кпа*AB318*(V318/1.5),0))))</f>
        <v>0</v>
      </c>
      <c r="AX318" s="48">
        <f t="shared" si="197"/>
        <v>0</v>
      </c>
      <c r="AY318" s="48">
        <f t="shared" si="198"/>
        <v>0</v>
      </c>
      <c r="AZ318" s="48">
        <f t="shared" si="199"/>
        <v>0</v>
      </c>
      <c r="BA318" s="48">
        <f t="shared" si="200"/>
        <v>0</v>
      </c>
      <c r="BB318" s="48">
        <f t="shared" si="201"/>
        <v>0</v>
      </c>
      <c r="BC318" s="48">
        <f t="shared" si="202"/>
        <v>0</v>
      </c>
      <c r="BD318" s="48">
        <f t="shared" si="203"/>
        <v>0</v>
      </c>
      <c r="BE318" s="48">
        <f t="shared" si="204"/>
        <v>0</v>
      </c>
      <c r="BF318" s="49">
        <f t="shared" si="205"/>
        <v>62.07</v>
      </c>
      <c r="BG318" s="50"/>
      <c r="BH318" s="51">
        <f t="shared" si="206"/>
        <v>0</v>
      </c>
      <c r="BI318" s="51">
        <f t="shared" si="207"/>
        <v>0</v>
      </c>
      <c r="BJ318" s="51">
        <f t="shared" si="208"/>
        <v>0</v>
      </c>
      <c r="BK318" s="52">
        <f t="shared" si="209"/>
        <v>36</v>
      </c>
      <c r="BL318" s="52">
        <f t="shared" si="210"/>
        <v>1</v>
      </c>
      <c r="BM318" s="52">
        <f t="shared" si="211"/>
        <v>26.07</v>
      </c>
    </row>
    <row r="319" spans="1:65" ht="30" customHeight="1" x14ac:dyDescent="0.25">
      <c r="A319" s="31" t="str">
        <f t="shared" si="177"/>
        <v>Д</v>
      </c>
      <c r="B319" s="31" t="str">
        <f t="shared" si="178"/>
        <v>Б</v>
      </c>
      <c r="C319" s="32" t="s">
        <v>211</v>
      </c>
      <c r="D319" s="33" t="str">
        <f t="shared" si="179"/>
        <v>Факультет физико-математических и естественных наук</v>
      </c>
      <c r="E319" s="34" t="str">
        <f t="shared" si="180"/>
        <v>'02.03.02</v>
      </c>
      <c r="F319" s="35" t="str">
        <f t="shared" si="181"/>
        <v>Фундаментальная информатика и информационные технологии</v>
      </c>
      <c r="G319" s="36" t="s">
        <v>76</v>
      </c>
      <c r="H319" s="36" t="s">
        <v>135</v>
      </c>
      <c r="I319" s="37"/>
      <c r="J319" s="37" t="s">
        <v>154</v>
      </c>
      <c r="K319" s="38" t="s">
        <v>206</v>
      </c>
      <c r="L319" s="39">
        <v>6</v>
      </c>
      <c r="M319" s="39">
        <v>18</v>
      </c>
      <c r="N319" s="40" t="s">
        <v>94</v>
      </c>
      <c r="O319" s="39"/>
      <c r="P319" s="39">
        <v>2</v>
      </c>
      <c r="Q319" s="39"/>
      <c r="R319" s="40" t="s">
        <v>95</v>
      </c>
      <c r="S319" s="41"/>
      <c r="T319" s="41"/>
      <c r="U319" s="41"/>
      <c r="V319" s="41"/>
      <c r="W319" s="41"/>
      <c r="X319" s="42" t="str">
        <f t="shared" si="182"/>
        <v>НФИбд</v>
      </c>
      <c r="Y319" s="43" t="s">
        <v>129</v>
      </c>
      <c r="Z319" s="39">
        <v>4</v>
      </c>
      <c r="AA319" s="39">
        <v>2</v>
      </c>
      <c r="AB319" s="42">
        <f t="shared" si="183"/>
        <v>29</v>
      </c>
      <c r="AC319" s="122">
        <v>19</v>
      </c>
      <c r="AD319" s="122">
        <v>10</v>
      </c>
      <c r="AE319" s="44">
        <f t="shared" si="184"/>
        <v>12</v>
      </c>
      <c r="AF319" s="45">
        <f t="shared" si="185"/>
        <v>1</v>
      </c>
      <c r="AG319" s="45">
        <f t="shared" si="186"/>
        <v>2.4166666666666665</v>
      </c>
      <c r="AH319" s="46" t="s">
        <v>82</v>
      </c>
      <c r="AI319" s="40" t="s">
        <v>99</v>
      </c>
      <c r="AJ319" s="40" t="s">
        <v>116</v>
      </c>
      <c r="AK319" s="59" t="s">
        <v>214</v>
      </c>
      <c r="AL319" s="40"/>
      <c r="AM319" s="48">
        <f t="shared" si="187"/>
        <v>0</v>
      </c>
      <c r="AN319" s="48">
        <f t="shared" si="188"/>
        <v>0</v>
      </c>
      <c r="AO319" s="48">
        <f t="shared" si="189"/>
        <v>36</v>
      </c>
      <c r="AP319" s="48">
        <f t="shared" si="190"/>
        <v>9.57</v>
      </c>
      <c r="AQ319" s="48">
        <f t="shared" si="191"/>
        <v>14.5</v>
      </c>
      <c r="AR319" s="48">
        <f t="shared" si="192"/>
        <v>2</v>
      </c>
      <c r="AS319" s="48">
        <f t="shared" si="193"/>
        <v>0</v>
      </c>
      <c r="AT319" s="48">
        <f t="shared" si="194"/>
        <v>0</v>
      </c>
      <c r="AU319" s="48">
        <f t="shared" si="195"/>
        <v>0</v>
      </c>
      <c r="AV319" s="48">
        <f t="shared" si="196"/>
        <v>0</v>
      </c>
      <c r="AW319" s="48">
        <f>IF(N319="ПП",РПП*AB319*(V319/1.5),IF(N319="ВП",ВПр*AB319*(V319/1.5),IF(N319="РПА",РПА*AB319*(V319/1.5),IF(N319="КПА",кпа*AB319*(V319/1.5),0))))</f>
        <v>0</v>
      </c>
      <c r="AX319" s="48">
        <f t="shared" si="197"/>
        <v>0</v>
      </c>
      <c r="AY319" s="48">
        <f t="shared" si="198"/>
        <v>0</v>
      </c>
      <c r="AZ319" s="48">
        <f t="shared" si="199"/>
        <v>0</v>
      </c>
      <c r="BA319" s="48">
        <f t="shared" si="200"/>
        <v>0</v>
      </c>
      <c r="BB319" s="48">
        <f t="shared" si="201"/>
        <v>0</v>
      </c>
      <c r="BC319" s="48">
        <f t="shared" si="202"/>
        <v>0</v>
      </c>
      <c r="BD319" s="48">
        <f t="shared" si="203"/>
        <v>0</v>
      </c>
      <c r="BE319" s="48">
        <f t="shared" si="204"/>
        <v>0</v>
      </c>
      <c r="BF319" s="49">
        <f t="shared" si="205"/>
        <v>62.07</v>
      </c>
      <c r="BG319" s="50"/>
      <c r="BH319" s="51">
        <f t="shared" si="206"/>
        <v>0</v>
      </c>
      <c r="BI319" s="51">
        <f t="shared" si="207"/>
        <v>0</v>
      </c>
      <c r="BJ319" s="51">
        <f t="shared" si="208"/>
        <v>0</v>
      </c>
      <c r="BK319" s="52">
        <f t="shared" si="209"/>
        <v>36</v>
      </c>
      <c r="BL319" s="52">
        <f t="shared" si="210"/>
        <v>1</v>
      </c>
      <c r="BM319" s="52">
        <f t="shared" si="211"/>
        <v>26.07</v>
      </c>
    </row>
    <row r="320" spans="1:65" ht="30" customHeight="1" x14ac:dyDescent="0.25">
      <c r="A320" s="31" t="str">
        <f t="shared" si="177"/>
        <v>Д</v>
      </c>
      <c r="B320" s="31" t="str">
        <f t="shared" si="178"/>
        <v>Б</v>
      </c>
      <c r="C320" s="32" t="s">
        <v>211</v>
      </c>
      <c r="D320" s="33" t="str">
        <f t="shared" si="179"/>
        <v>Факультет физико-математических и естественных наук</v>
      </c>
      <c r="E320" s="34" t="str">
        <f t="shared" si="180"/>
        <v>'02.03.02</v>
      </c>
      <c r="F320" s="35" t="str">
        <f t="shared" si="181"/>
        <v>Фундаментальная информатика и информационные технологии</v>
      </c>
      <c r="G320" s="36" t="s">
        <v>153</v>
      </c>
      <c r="H320" s="36" t="s">
        <v>77</v>
      </c>
      <c r="I320" s="37"/>
      <c r="J320" s="37"/>
      <c r="K320" s="38" t="s">
        <v>155</v>
      </c>
      <c r="L320" s="39">
        <v>6</v>
      </c>
      <c r="M320" s="39">
        <v>18</v>
      </c>
      <c r="N320" s="40" t="s">
        <v>156</v>
      </c>
      <c r="O320" s="39"/>
      <c r="P320" s="39"/>
      <c r="Q320" s="39"/>
      <c r="R320" s="40"/>
      <c r="S320" s="41"/>
      <c r="T320" s="41"/>
      <c r="U320" s="41">
        <v>3</v>
      </c>
      <c r="V320" s="41"/>
      <c r="W320" s="41"/>
      <c r="X320" s="42" t="str">
        <f t="shared" si="182"/>
        <v>НФИбд</v>
      </c>
      <c r="Y320" s="39" t="s">
        <v>212</v>
      </c>
      <c r="Z320" s="39">
        <v>4</v>
      </c>
      <c r="AA320" s="39">
        <v>2</v>
      </c>
      <c r="AB320" s="42">
        <f t="shared" si="183"/>
        <v>28</v>
      </c>
      <c r="AC320" s="39">
        <v>20</v>
      </c>
      <c r="AD320" s="39">
        <v>8</v>
      </c>
      <c r="AE320" s="44">
        <f t="shared" si="184"/>
        <v>1</v>
      </c>
      <c r="AF320" s="45">
        <f t="shared" si="185"/>
        <v>1</v>
      </c>
      <c r="AG320" s="45">
        <f t="shared" si="186"/>
        <v>28</v>
      </c>
      <c r="AH320" s="46" t="s">
        <v>82</v>
      </c>
      <c r="AI320" s="40" t="s">
        <v>99</v>
      </c>
      <c r="AJ320" s="40" t="s">
        <v>100</v>
      </c>
      <c r="AK320" s="47" t="s">
        <v>101</v>
      </c>
      <c r="AL320" s="40"/>
      <c r="AM320" s="48">
        <f t="shared" si="187"/>
        <v>0</v>
      </c>
      <c r="AN320" s="48">
        <f t="shared" si="188"/>
        <v>0</v>
      </c>
      <c r="AO320" s="48">
        <f t="shared" si="189"/>
        <v>0</v>
      </c>
      <c r="AP320" s="48">
        <f t="shared" si="190"/>
        <v>0</v>
      </c>
      <c r="AQ320" s="48">
        <f t="shared" si="191"/>
        <v>0</v>
      </c>
      <c r="AR320" s="48">
        <f t="shared" si="192"/>
        <v>0</v>
      </c>
      <c r="AS320" s="48">
        <f t="shared" si="193"/>
        <v>0</v>
      </c>
      <c r="AT320" s="48">
        <f t="shared" si="194"/>
        <v>0</v>
      </c>
      <c r="AU320" s="48">
        <f t="shared" si="195"/>
        <v>0</v>
      </c>
      <c r="AV320" s="48">
        <f t="shared" si="196"/>
        <v>84</v>
      </c>
      <c r="AW320" s="48">
        <f>IF(N320="ПП",РПП*AB320*(V320/1.5),IF(N320="ВП",ВПр*AB320*(V320/1.5),IF(N320="РПА",РПА*AB320*(V320/1.5),IF(N320="КПА",кпа*AB320*(V320/1.5),0))))</f>
        <v>0</v>
      </c>
      <c r="AX320" s="48">
        <f t="shared" si="197"/>
        <v>0</v>
      </c>
      <c r="AY320" s="48">
        <f t="shared" si="198"/>
        <v>0</v>
      </c>
      <c r="AZ320" s="48">
        <f t="shared" si="199"/>
        <v>0</v>
      </c>
      <c r="BA320" s="48">
        <f t="shared" si="200"/>
        <v>0</v>
      </c>
      <c r="BB320" s="48">
        <f t="shared" si="201"/>
        <v>0</v>
      </c>
      <c r="BC320" s="48">
        <f t="shared" si="202"/>
        <v>0</v>
      </c>
      <c r="BD320" s="48">
        <f t="shared" si="203"/>
        <v>0</v>
      </c>
      <c r="BE320" s="48">
        <f t="shared" si="204"/>
        <v>0</v>
      </c>
      <c r="BF320" s="49">
        <f t="shared" si="205"/>
        <v>84</v>
      </c>
      <c r="BG320" s="50"/>
      <c r="BH320" s="51">
        <f t="shared" si="206"/>
        <v>0</v>
      </c>
      <c r="BI320" s="51">
        <f t="shared" si="207"/>
        <v>0</v>
      </c>
      <c r="BJ320" s="51">
        <f t="shared" si="208"/>
        <v>0</v>
      </c>
      <c r="BK320" s="52">
        <f t="shared" si="209"/>
        <v>0</v>
      </c>
      <c r="BL320" s="52">
        <f t="shared" si="210"/>
        <v>0</v>
      </c>
      <c r="BM320" s="52">
        <f t="shared" si="211"/>
        <v>84</v>
      </c>
    </row>
    <row r="321" spans="1:65" ht="30" customHeight="1" x14ac:dyDescent="0.25">
      <c r="A321" s="31" t="str">
        <f t="shared" si="177"/>
        <v>Д</v>
      </c>
      <c r="B321" s="31" t="str">
        <f t="shared" si="178"/>
        <v>Б</v>
      </c>
      <c r="C321" s="32" t="s">
        <v>211</v>
      </c>
      <c r="D321" s="33" t="str">
        <f t="shared" si="179"/>
        <v>Факультет физико-математических и естественных наук</v>
      </c>
      <c r="E321" s="34" t="str">
        <f t="shared" si="180"/>
        <v>'02.03.02</v>
      </c>
      <c r="F321" s="35" t="str">
        <f t="shared" si="181"/>
        <v>Фундаментальная информатика и информационные технологии</v>
      </c>
      <c r="G321" s="36" t="s">
        <v>76</v>
      </c>
      <c r="H321" s="36" t="s">
        <v>183</v>
      </c>
      <c r="I321" s="37"/>
      <c r="J321" s="37"/>
      <c r="K321" s="38" t="s">
        <v>157</v>
      </c>
      <c r="L321" s="39">
        <v>7</v>
      </c>
      <c r="M321" s="39">
        <v>18</v>
      </c>
      <c r="N321" s="40" t="s">
        <v>79</v>
      </c>
      <c r="O321" s="39">
        <v>1</v>
      </c>
      <c r="P321" s="39"/>
      <c r="Q321" s="39"/>
      <c r="R321" s="40" t="s">
        <v>80</v>
      </c>
      <c r="S321" s="41"/>
      <c r="T321" s="41"/>
      <c r="U321" s="41"/>
      <c r="V321" s="41"/>
      <c r="W321" s="41"/>
      <c r="X321" s="42" t="str">
        <f t="shared" si="182"/>
        <v>НФИбд</v>
      </c>
      <c r="Y321" s="39" t="s">
        <v>215</v>
      </c>
      <c r="Z321" s="39">
        <v>4</v>
      </c>
      <c r="AA321" s="39">
        <v>2</v>
      </c>
      <c r="AB321" s="42">
        <f t="shared" si="183"/>
        <v>50</v>
      </c>
      <c r="AC321" s="39">
        <v>37</v>
      </c>
      <c r="AD321" s="39">
        <v>13</v>
      </c>
      <c r="AE321" s="44">
        <f t="shared" si="184"/>
        <v>50</v>
      </c>
      <c r="AF321" s="45">
        <f t="shared" si="185"/>
        <v>1</v>
      </c>
      <c r="AG321" s="45">
        <f t="shared" si="186"/>
        <v>1</v>
      </c>
      <c r="AH321" s="46" t="s">
        <v>82</v>
      </c>
      <c r="AI321" s="40" t="s">
        <v>83</v>
      </c>
      <c r="AJ321" s="40" t="s">
        <v>84</v>
      </c>
      <c r="AK321" s="47" t="s">
        <v>127</v>
      </c>
      <c r="AL321" s="40"/>
      <c r="AM321" s="48">
        <f t="shared" si="187"/>
        <v>18</v>
      </c>
      <c r="AN321" s="48">
        <f t="shared" si="188"/>
        <v>0</v>
      </c>
      <c r="AO321" s="48">
        <f t="shared" si="189"/>
        <v>0</v>
      </c>
      <c r="AP321" s="48">
        <f t="shared" si="190"/>
        <v>16.5</v>
      </c>
      <c r="AQ321" s="48">
        <f t="shared" si="191"/>
        <v>25</v>
      </c>
      <c r="AR321" s="48">
        <f t="shared" si="192"/>
        <v>2</v>
      </c>
      <c r="AS321" s="48">
        <f t="shared" si="193"/>
        <v>1.8</v>
      </c>
      <c r="AT321" s="48">
        <f t="shared" si="194"/>
        <v>0</v>
      </c>
      <c r="AU321" s="48">
        <f t="shared" si="195"/>
        <v>0</v>
      </c>
      <c r="AV321" s="48">
        <f t="shared" si="196"/>
        <v>0</v>
      </c>
      <c r="AW321" s="48">
        <f>IF(N321="ПП",РПП*AB321*(V321/1.5),IF(N321="ВП",ВПр*AB321*(V321/1.5),IF(N321="РПА",РПА*AB321*(V321/1.5),IF(N321="КПА",кпа*AB321*(V321/1.5),0))))</f>
        <v>0</v>
      </c>
      <c r="AX321" s="48">
        <f t="shared" si="197"/>
        <v>0</v>
      </c>
      <c r="AY321" s="48">
        <f t="shared" si="198"/>
        <v>0</v>
      </c>
      <c r="AZ321" s="48">
        <f t="shared" si="199"/>
        <v>0</v>
      </c>
      <c r="BA321" s="48">
        <f t="shared" si="200"/>
        <v>0</v>
      </c>
      <c r="BB321" s="48">
        <f t="shared" si="201"/>
        <v>0</v>
      </c>
      <c r="BC321" s="48">
        <f t="shared" si="202"/>
        <v>0</v>
      </c>
      <c r="BD321" s="48">
        <f t="shared" si="203"/>
        <v>0</v>
      </c>
      <c r="BE321" s="48">
        <f t="shared" si="204"/>
        <v>0</v>
      </c>
      <c r="BF321" s="49">
        <f t="shared" si="205"/>
        <v>63.3</v>
      </c>
      <c r="BG321" s="50"/>
      <c r="BH321" s="51">
        <f t="shared" si="206"/>
        <v>18</v>
      </c>
      <c r="BI321" s="51">
        <f t="shared" si="207"/>
        <v>0.5</v>
      </c>
      <c r="BJ321" s="51">
        <f t="shared" si="208"/>
        <v>45.3</v>
      </c>
      <c r="BK321" s="52">
        <f t="shared" si="209"/>
        <v>0</v>
      </c>
      <c r="BL321" s="52">
        <f t="shared" si="210"/>
        <v>0</v>
      </c>
      <c r="BM321" s="52">
        <f t="shared" si="211"/>
        <v>0</v>
      </c>
    </row>
    <row r="322" spans="1:65" ht="30" customHeight="1" x14ac:dyDescent="0.25">
      <c r="A322" s="31" t="str">
        <f t="shared" si="177"/>
        <v>Д</v>
      </c>
      <c r="B322" s="31" t="str">
        <f t="shared" si="178"/>
        <v>Б</v>
      </c>
      <c r="C322" s="32" t="s">
        <v>211</v>
      </c>
      <c r="D322" s="33" t="str">
        <f t="shared" si="179"/>
        <v>Факультет физико-математических и естественных наук</v>
      </c>
      <c r="E322" s="34" t="str">
        <f t="shared" si="180"/>
        <v>'02.03.02</v>
      </c>
      <c r="F322" s="35" t="str">
        <f t="shared" si="181"/>
        <v>Фундаментальная информатика и информационные технологии</v>
      </c>
      <c r="G322" s="36" t="s">
        <v>76</v>
      </c>
      <c r="H322" s="36" t="s">
        <v>183</v>
      </c>
      <c r="I322" s="37"/>
      <c r="J322" s="37"/>
      <c r="K322" s="38" t="s">
        <v>157</v>
      </c>
      <c r="L322" s="39">
        <v>7</v>
      </c>
      <c r="M322" s="39">
        <v>18</v>
      </c>
      <c r="N322" s="40" t="s">
        <v>94</v>
      </c>
      <c r="O322" s="39"/>
      <c r="P322" s="39">
        <v>2</v>
      </c>
      <c r="Q322" s="39"/>
      <c r="R322" s="40"/>
      <c r="S322" s="41"/>
      <c r="T322" s="41"/>
      <c r="U322" s="41"/>
      <c r="V322" s="41"/>
      <c r="W322" s="41"/>
      <c r="X322" s="42" t="str">
        <f t="shared" si="182"/>
        <v>НФИбд</v>
      </c>
      <c r="Y322" s="39" t="s">
        <v>161</v>
      </c>
      <c r="Z322" s="39">
        <v>1</v>
      </c>
      <c r="AA322" s="39">
        <v>1</v>
      </c>
      <c r="AB322" s="42">
        <f t="shared" si="183"/>
        <v>28</v>
      </c>
      <c r="AC322" s="39">
        <v>21</v>
      </c>
      <c r="AD322" s="39">
        <v>7</v>
      </c>
      <c r="AE322" s="44">
        <f t="shared" si="184"/>
        <v>12</v>
      </c>
      <c r="AF322" s="45">
        <f t="shared" si="185"/>
        <v>1</v>
      </c>
      <c r="AG322" s="45">
        <f t="shared" si="186"/>
        <v>2.3333333333333335</v>
      </c>
      <c r="AH322" s="46" t="s">
        <v>82</v>
      </c>
      <c r="AI322" s="40" t="s">
        <v>99</v>
      </c>
      <c r="AJ322" s="40" t="s">
        <v>84</v>
      </c>
      <c r="AK322" s="47" t="s">
        <v>101</v>
      </c>
      <c r="AL322" s="40"/>
      <c r="AM322" s="48">
        <f t="shared" si="187"/>
        <v>0</v>
      </c>
      <c r="AN322" s="48">
        <f t="shared" si="188"/>
        <v>0</v>
      </c>
      <c r="AO322" s="48">
        <f t="shared" si="189"/>
        <v>36</v>
      </c>
      <c r="AP322" s="48">
        <f t="shared" si="190"/>
        <v>0</v>
      </c>
      <c r="AQ322" s="48">
        <f t="shared" si="191"/>
        <v>0</v>
      </c>
      <c r="AR322" s="48">
        <f t="shared" si="192"/>
        <v>0</v>
      </c>
      <c r="AS322" s="48">
        <f t="shared" si="193"/>
        <v>0</v>
      </c>
      <c r="AT322" s="48">
        <f t="shared" si="194"/>
        <v>0</v>
      </c>
      <c r="AU322" s="48">
        <f t="shared" si="195"/>
        <v>0</v>
      </c>
      <c r="AV322" s="48">
        <f t="shared" si="196"/>
        <v>0</v>
      </c>
      <c r="AW322" s="48">
        <f>IF(N322="ПП",РПП*AB322*(V322/1.5),IF(N322="ВП",ВПр*AB322*(V322/1.5),IF(N322="РПА",РПА*AB322*(V322/1.5),IF(N322="КПА",кпа*AB322*(V322/1.5),0))))</f>
        <v>0</v>
      </c>
      <c r="AX322" s="48">
        <f t="shared" si="197"/>
        <v>0</v>
      </c>
      <c r="AY322" s="48">
        <f t="shared" si="198"/>
        <v>0</v>
      </c>
      <c r="AZ322" s="48">
        <f t="shared" si="199"/>
        <v>0</v>
      </c>
      <c r="BA322" s="48">
        <f t="shared" si="200"/>
        <v>0</v>
      </c>
      <c r="BB322" s="48">
        <f t="shared" si="201"/>
        <v>0</v>
      </c>
      <c r="BC322" s="48">
        <f t="shared" si="202"/>
        <v>0</v>
      </c>
      <c r="BD322" s="48">
        <f t="shared" si="203"/>
        <v>0</v>
      </c>
      <c r="BE322" s="48">
        <f t="shared" si="204"/>
        <v>0</v>
      </c>
      <c r="BF322" s="49">
        <f t="shared" si="205"/>
        <v>36</v>
      </c>
      <c r="BG322" s="50"/>
      <c r="BH322" s="51">
        <f t="shared" si="206"/>
        <v>36</v>
      </c>
      <c r="BI322" s="51">
        <f t="shared" si="207"/>
        <v>1</v>
      </c>
      <c r="BJ322" s="51">
        <f t="shared" si="208"/>
        <v>0</v>
      </c>
      <c r="BK322" s="52">
        <f t="shared" si="209"/>
        <v>0</v>
      </c>
      <c r="BL322" s="52">
        <f t="shared" si="210"/>
        <v>0</v>
      </c>
      <c r="BM322" s="52">
        <f t="shared" si="211"/>
        <v>0</v>
      </c>
    </row>
    <row r="323" spans="1:65" ht="30" customHeight="1" x14ac:dyDescent="0.25">
      <c r="A323" s="31" t="str">
        <f t="shared" si="177"/>
        <v>Д</v>
      </c>
      <c r="B323" s="31" t="str">
        <f t="shared" si="178"/>
        <v>Б</v>
      </c>
      <c r="C323" s="32" t="s">
        <v>211</v>
      </c>
      <c r="D323" s="33" t="str">
        <f t="shared" si="179"/>
        <v>Факультет физико-математических и естественных наук</v>
      </c>
      <c r="E323" s="34" t="str">
        <f t="shared" si="180"/>
        <v>'02.03.02</v>
      </c>
      <c r="F323" s="35" t="str">
        <f t="shared" si="181"/>
        <v>Фундаментальная информатика и информационные технологии</v>
      </c>
      <c r="G323" s="36" t="s">
        <v>76</v>
      </c>
      <c r="H323" s="36" t="s">
        <v>183</v>
      </c>
      <c r="I323" s="37"/>
      <c r="J323" s="37"/>
      <c r="K323" s="38" t="s">
        <v>157</v>
      </c>
      <c r="L323" s="39">
        <v>7</v>
      </c>
      <c r="M323" s="39">
        <v>18</v>
      </c>
      <c r="N323" s="40" t="s">
        <v>94</v>
      </c>
      <c r="O323" s="39"/>
      <c r="P323" s="39">
        <v>2</v>
      </c>
      <c r="Q323" s="39"/>
      <c r="R323" s="40"/>
      <c r="S323" s="41"/>
      <c r="T323" s="41"/>
      <c r="U323" s="41"/>
      <c r="V323" s="41"/>
      <c r="W323" s="41"/>
      <c r="X323" s="42" t="str">
        <f t="shared" si="182"/>
        <v>НФИбд</v>
      </c>
      <c r="Y323" s="39" t="s">
        <v>161</v>
      </c>
      <c r="Z323" s="39">
        <v>1</v>
      </c>
      <c r="AA323" s="39"/>
      <c r="AB323" s="42">
        <f t="shared" si="183"/>
        <v>0</v>
      </c>
      <c r="AC323" s="39"/>
      <c r="AD323" s="39"/>
      <c r="AE323" s="44">
        <f t="shared" si="184"/>
        <v>12</v>
      </c>
      <c r="AF323" s="45">
        <f t="shared" si="185"/>
        <v>0</v>
      </c>
      <c r="AG323" s="45">
        <f t="shared" si="186"/>
        <v>0</v>
      </c>
      <c r="AH323" s="46" t="s">
        <v>82</v>
      </c>
      <c r="AI323" s="40" t="s">
        <v>99</v>
      </c>
      <c r="AJ323" s="40" t="s">
        <v>84</v>
      </c>
      <c r="AK323" s="47" t="s">
        <v>101</v>
      </c>
      <c r="AL323" s="40"/>
      <c r="AM323" s="48">
        <f t="shared" si="187"/>
        <v>0</v>
      </c>
      <c r="AN323" s="48">
        <f t="shared" si="188"/>
        <v>0</v>
      </c>
      <c r="AO323" s="48">
        <f t="shared" si="189"/>
        <v>0</v>
      </c>
      <c r="AP323" s="48">
        <f t="shared" si="190"/>
        <v>0</v>
      </c>
      <c r="AQ323" s="48">
        <f t="shared" si="191"/>
        <v>0</v>
      </c>
      <c r="AR323" s="48">
        <f t="shared" si="192"/>
        <v>0</v>
      </c>
      <c r="AS323" s="48">
        <f t="shared" si="193"/>
        <v>0</v>
      </c>
      <c r="AT323" s="48">
        <f t="shared" si="194"/>
        <v>0</v>
      </c>
      <c r="AU323" s="48">
        <f t="shared" si="195"/>
        <v>0</v>
      </c>
      <c r="AV323" s="48">
        <f t="shared" si="196"/>
        <v>0</v>
      </c>
      <c r="AW323" s="48">
        <f>IF(N323="ПП",РПП*AB323*(V323/1.5),IF(N323="ВП",ВПр*AB323*(V323/1.5),IF(N323="РПА",РПА*AB323*(V323/1.5),IF(N323="КПА",кпа*AB323*(V323/1.5),0))))</f>
        <v>0</v>
      </c>
      <c r="AX323" s="48">
        <f t="shared" si="197"/>
        <v>0</v>
      </c>
      <c r="AY323" s="48">
        <f t="shared" si="198"/>
        <v>0</v>
      </c>
      <c r="AZ323" s="48">
        <f t="shared" si="199"/>
        <v>0</v>
      </c>
      <c r="BA323" s="48">
        <f t="shared" si="200"/>
        <v>0</v>
      </c>
      <c r="BB323" s="48">
        <f t="shared" si="201"/>
        <v>0</v>
      </c>
      <c r="BC323" s="48">
        <f t="shared" si="202"/>
        <v>0</v>
      </c>
      <c r="BD323" s="48">
        <f t="shared" si="203"/>
        <v>0</v>
      </c>
      <c r="BE323" s="48">
        <f t="shared" si="204"/>
        <v>0</v>
      </c>
      <c r="BF323" s="49">
        <f t="shared" si="205"/>
        <v>0</v>
      </c>
      <c r="BG323" s="50"/>
      <c r="BH323" s="51">
        <f t="shared" si="206"/>
        <v>0</v>
      </c>
      <c r="BI323" s="51">
        <f t="shared" si="207"/>
        <v>0</v>
      </c>
      <c r="BJ323" s="51">
        <f t="shared" si="208"/>
        <v>0</v>
      </c>
      <c r="BK323" s="52">
        <f t="shared" si="209"/>
        <v>0</v>
      </c>
      <c r="BL323" s="52">
        <f t="shared" si="210"/>
        <v>0</v>
      </c>
      <c r="BM323" s="52">
        <f t="shared" si="211"/>
        <v>0</v>
      </c>
    </row>
    <row r="324" spans="1:65" ht="30" customHeight="1" x14ac:dyDescent="0.25">
      <c r="A324" s="31" t="str">
        <f t="shared" si="177"/>
        <v>Д</v>
      </c>
      <c r="B324" s="31" t="str">
        <f t="shared" si="178"/>
        <v>Б</v>
      </c>
      <c r="C324" s="32" t="s">
        <v>211</v>
      </c>
      <c r="D324" s="33" t="str">
        <f t="shared" si="179"/>
        <v>Факультет физико-математических и естественных наук</v>
      </c>
      <c r="E324" s="34" t="str">
        <f t="shared" si="180"/>
        <v>'02.03.02</v>
      </c>
      <c r="F324" s="35" t="str">
        <f t="shared" si="181"/>
        <v>Фундаментальная информатика и информационные технологии</v>
      </c>
      <c r="G324" s="36" t="s">
        <v>76</v>
      </c>
      <c r="H324" s="36" t="s">
        <v>183</v>
      </c>
      <c r="I324" s="37"/>
      <c r="J324" s="37"/>
      <c r="K324" s="38" t="s">
        <v>157</v>
      </c>
      <c r="L324" s="39">
        <v>7</v>
      </c>
      <c r="M324" s="39">
        <v>18</v>
      </c>
      <c r="N324" s="40" t="s">
        <v>94</v>
      </c>
      <c r="O324" s="39"/>
      <c r="P324" s="39">
        <v>2</v>
      </c>
      <c r="Q324" s="39"/>
      <c r="R324" s="40"/>
      <c r="S324" s="41"/>
      <c r="T324" s="41"/>
      <c r="U324" s="41"/>
      <c r="V324" s="41"/>
      <c r="W324" s="41"/>
      <c r="X324" s="42" t="str">
        <f t="shared" si="182"/>
        <v>НФИбд</v>
      </c>
      <c r="Y324" s="39" t="s">
        <v>210</v>
      </c>
      <c r="Z324" s="39">
        <v>1</v>
      </c>
      <c r="AA324" s="39">
        <v>1</v>
      </c>
      <c r="AB324" s="42">
        <f t="shared" si="183"/>
        <v>28</v>
      </c>
      <c r="AC324" s="39">
        <v>20</v>
      </c>
      <c r="AD324" s="39">
        <v>8</v>
      </c>
      <c r="AE324" s="44">
        <f t="shared" si="184"/>
        <v>12</v>
      </c>
      <c r="AF324" s="45">
        <f t="shared" si="185"/>
        <v>1</v>
      </c>
      <c r="AG324" s="45">
        <f t="shared" si="186"/>
        <v>2.3333333333333335</v>
      </c>
      <c r="AH324" s="46" t="s">
        <v>82</v>
      </c>
      <c r="AI324" s="40" t="s">
        <v>99</v>
      </c>
      <c r="AJ324" s="40" t="s">
        <v>84</v>
      </c>
      <c r="AK324" s="47" t="s">
        <v>101</v>
      </c>
      <c r="AL324" s="40"/>
      <c r="AM324" s="48">
        <f t="shared" si="187"/>
        <v>0</v>
      </c>
      <c r="AN324" s="48">
        <f t="shared" si="188"/>
        <v>0</v>
      </c>
      <c r="AO324" s="48">
        <f t="shared" si="189"/>
        <v>36</v>
      </c>
      <c r="AP324" s="48">
        <f t="shared" si="190"/>
        <v>0</v>
      </c>
      <c r="AQ324" s="48">
        <f t="shared" si="191"/>
        <v>0</v>
      </c>
      <c r="AR324" s="48">
        <f t="shared" si="192"/>
        <v>0</v>
      </c>
      <c r="AS324" s="48">
        <f t="shared" si="193"/>
        <v>0</v>
      </c>
      <c r="AT324" s="48">
        <f t="shared" si="194"/>
        <v>0</v>
      </c>
      <c r="AU324" s="48">
        <f t="shared" si="195"/>
        <v>0</v>
      </c>
      <c r="AV324" s="48">
        <f t="shared" si="196"/>
        <v>0</v>
      </c>
      <c r="AW324" s="48">
        <f>IF(N324="ПП",РПП*AB324*(V324/1.5),IF(N324="ВП",ВПр*AB324*(V324/1.5),IF(N324="РПА",РПА*AB324*(V324/1.5),IF(N324="КПА",кпа*AB324*(V324/1.5),0))))</f>
        <v>0</v>
      </c>
      <c r="AX324" s="48">
        <f t="shared" si="197"/>
        <v>0</v>
      </c>
      <c r="AY324" s="48">
        <f t="shared" si="198"/>
        <v>0</v>
      </c>
      <c r="AZ324" s="48">
        <f t="shared" si="199"/>
        <v>0</v>
      </c>
      <c r="BA324" s="48">
        <f t="shared" si="200"/>
        <v>0</v>
      </c>
      <c r="BB324" s="48">
        <f t="shared" si="201"/>
        <v>0</v>
      </c>
      <c r="BC324" s="48">
        <f t="shared" si="202"/>
        <v>0</v>
      </c>
      <c r="BD324" s="48">
        <f t="shared" si="203"/>
        <v>0</v>
      </c>
      <c r="BE324" s="48">
        <f t="shared" si="204"/>
        <v>0</v>
      </c>
      <c r="BF324" s="49">
        <f t="shared" si="205"/>
        <v>36</v>
      </c>
      <c r="BG324" s="50"/>
      <c r="BH324" s="51">
        <f t="shared" si="206"/>
        <v>36</v>
      </c>
      <c r="BI324" s="51">
        <f t="shared" si="207"/>
        <v>1</v>
      </c>
      <c r="BJ324" s="51">
        <f t="shared" si="208"/>
        <v>0</v>
      </c>
      <c r="BK324" s="52">
        <f t="shared" si="209"/>
        <v>0</v>
      </c>
      <c r="BL324" s="52">
        <f t="shared" si="210"/>
        <v>0</v>
      </c>
      <c r="BM324" s="52">
        <f t="shared" si="211"/>
        <v>0</v>
      </c>
    </row>
    <row r="325" spans="1:65" ht="30" customHeight="1" x14ac:dyDescent="0.25">
      <c r="A325" s="31" t="str">
        <f t="shared" si="177"/>
        <v>Д</v>
      </c>
      <c r="B325" s="31" t="str">
        <f t="shared" si="178"/>
        <v>Б</v>
      </c>
      <c r="C325" s="32" t="s">
        <v>211</v>
      </c>
      <c r="D325" s="33" t="str">
        <f t="shared" si="179"/>
        <v>Факультет физико-математических и естественных наук</v>
      </c>
      <c r="E325" s="34" t="str">
        <f t="shared" si="180"/>
        <v>'02.03.02</v>
      </c>
      <c r="F325" s="35" t="str">
        <f t="shared" si="181"/>
        <v>Фундаментальная информатика и информационные технологии</v>
      </c>
      <c r="G325" s="36" t="s">
        <v>76</v>
      </c>
      <c r="H325" s="36" t="s">
        <v>183</v>
      </c>
      <c r="I325" s="37"/>
      <c r="J325" s="37"/>
      <c r="K325" s="38" t="s">
        <v>157</v>
      </c>
      <c r="L325" s="39">
        <v>7</v>
      </c>
      <c r="M325" s="39">
        <v>18</v>
      </c>
      <c r="N325" s="40" t="s">
        <v>94</v>
      </c>
      <c r="O325" s="39"/>
      <c r="P325" s="39">
        <v>2</v>
      </c>
      <c r="Q325" s="39"/>
      <c r="R325" s="40"/>
      <c r="S325" s="41"/>
      <c r="T325" s="41"/>
      <c r="U325" s="41"/>
      <c r="V325" s="41"/>
      <c r="W325" s="41"/>
      <c r="X325" s="42" t="str">
        <f t="shared" si="182"/>
        <v>НФИбд</v>
      </c>
      <c r="Y325" s="39" t="s">
        <v>210</v>
      </c>
      <c r="Z325" s="39">
        <v>1</v>
      </c>
      <c r="AA325" s="39"/>
      <c r="AB325" s="42">
        <f t="shared" si="183"/>
        <v>0</v>
      </c>
      <c r="AC325" s="39"/>
      <c r="AD325" s="39"/>
      <c r="AE325" s="44">
        <f t="shared" si="184"/>
        <v>12</v>
      </c>
      <c r="AF325" s="45">
        <f t="shared" si="185"/>
        <v>0</v>
      </c>
      <c r="AG325" s="45">
        <f t="shared" si="186"/>
        <v>0</v>
      </c>
      <c r="AH325" s="46" t="s">
        <v>82</v>
      </c>
      <c r="AI325" s="40" t="s">
        <v>99</v>
      </c>
      <c r="AJ325" s="40" t="s">
        <v>84</v>
      </c>
      <c r="AK325" s="47" t="s">
        <v>101</v>
      </c>
      <c r="AL325" s="40"/>
      <c r="AM325" s="48">
        <f t="shared" si="187"/>
        <v>0</v>
      </c>
      <c r="AN325" s="48">
        <f t="shared" si="188"/>
        <v>0</v>
      </c>
      <c r="AO325" s="48">
        <f t="shared" si="189"/>
        <v>0</v>
      </c>
      <c r="AP325" s="48">
        <f t="shared" si="190"/>
        <v>0</v>
      </c>
      <c r="AQ325" s="48">
        <f t="shared" si="191"/>
        <v>0</v>
      </c>
      <c r="AR325" s="48">
        <f t="shared" si="192"/>
        <v>0</v>
      </c>
      <c r="AS325" s="48">
        <f t="shared" si="193"/>
        <v>0</v>
      </c>
      <c r="AT325" s="48">
        <f t="shared" si="194"/>
        <v>0</v>
      </c>
      <c r="AU325" s="48">
        <f t="shared" si="195"/>
        <v>0</v>
      </c>
      <c r="AV325" s="48">
        <f t="shared" si="196"/>
        <v>0</v>
      </c>
      <c r="AW325" s="48">
        <f>IF(N325="ПП",РПП*AB325*(V325/1.5),IF(N325="ВП",ВПр*AB325*(V325/1.5),IF(N325="РПА",РПА*AB325*(V325/1.5),IF(N325="КПА",кпа*AB325*(V325/1.5),0))))</f>
        <v>0</v>
      </c>
      <c r="AX325" s="48">
        <f t="shared" si="197"/>
        <v>0</v>
      </c>
      <c r="AY325" s="48">
        <f t="shared" si="198"/>
        <v>0</v>
      </c>
      <c r="AZ325" s="48">
        <f t="shared" si="199"/>
        <v>0</v>
      </c>
      <c r="BA325" s="48">
        <f t="shared" si="200"/>
        <v>0</v>
      </c>
      <c r="BB325" s="48">
        <f t="shared" si="201"/>
        <v>0</v>
      </c>
      <c r="BC325" s="48">
        <f t="shared" si="202"/>
        <v>0</v>
      </c>
      <c r="BD325" s="48">
        <f t="shared" si="203"/>
        <v>0</v>
      </c>
      <c r="BE325" s="48">
        <f t="shared" si="204"/>
        <v>0</v>
      </c>
      <c r="BF325" s="49">
        <f t="shared" si="205"/>
        <v>0</v>
      </c>
      <c r="BG325" s="50"/>
      <c r="BH325" s="51">
        <f t="shared" si="206"/>
        <v>0</v>
      </c>
      <c r="BI325" s="51">
        <f t="shared" si="207"/>
        <v>0</v>
      </c>
      <c r="BJ325" s="51">
        <f t="shared" si="208"/>
        <v>0</v>
      </c>
      <c r="BK325" s="52">
        <f t="shared" si="209"/>
        <v>0</v>
      </c>
      <c r="BL325" s="52">
        <f t="shared" si="210"/>
        <v>0</v>
      </c>
      <c r="BM325" s="52">
        <f t="shared" si="211"/>
        <v>0</v>
      </c>
    </row>
    <row r="326" spans="1:65" ht="30" customHeight="1" x14ac:dyDescent="0.25">
      <c r="A326" s="31" t="str">
        <f t="shared" si="177"/>
        <v>Д</v>
      </c>
      <c r="B326" s="31" t="str">
        <f t="shared" si="178"/>
        <v>Б</v>
      </c>
      <c r="C326" s="32" t="s">
        <v>211</v>
      </c>
      <c r="D326" s="33" t="str">
        <f t="shared" si="179"/>
        <v>Факультет физико-математических и естественных наук</v>
      </c>
      <c r="E326" s="34" t="str">
        <f t="shared" si="180"/>
        <v>'02.03.02</v>
      </c>
      <c r="F326" s="35" t="str">
        <f t="shared" si="181"/>
        <v>Фундаментальная информатика и информационные технологии</v>
      </c>
      <c r="G326" s="36" t="s">
        <v>76</v>
      </c>
      <c r="H326" s="36" t="s">
        <v>183</v>
      </c>
      <c r="I326" s="37"/>
      <c r="J326" s="37"/>
      <c r="K326" s="38" t="s">
        <v>160</v>
      </c>
      <c r="L326" s="39">
        <v>7</v>
      </c>
      <c r="M326" s="39">
        <v>18</v>
      </c>
      <c r="N326" s="40" t="s">
        <v>79</v>
      </c>
      <c r="O326" s="39">
        <v>1</v>
      </c>
      <c r="P326" s="39"/>
      <c r="Q326" s="39"/>
      <c r="R326" s="40" t="s">
        <v>80</v>
      </c>
      <c r="S326" s="41"/>
      <c r="T326" s="41"/>
      <c r="U326" s="41"/>
      <c r="V326" s="41"/>
      <c r="W326" s="41"/>
      <c r="X326" s="42" t="str">
        <f t="shared" si="182"/>
        <v>НФИбд</v>
      </c>
      <c r="Y326" s="39" t="s">
        <v>215</v>
      </c>
      <c r="Z326" s="39">
        <v>4</v>
      </c>
      <c r="AA326" s="39">
        <v>2</v>
      </c>
      <c r="AB326" s="42">
        <f t="shared" si="183"/>
        <v>50</v>
      </c>
      <c r="AC326" s="39">
        <v>37</v>
      </c>
      <c r="AD326" s="39">
        <v>13</v>
      </c>
      <c r="AE326" s="44">
        <f t="shared" si="184"/>
        <v>50</v>
      </c>
      <c r="AF326" s="45">
        <f t="shared" si="185"/>
        <v>1</v>
      </c>
      <c r="AG326" s="45">
        <f t="shared" si="186"/>
        <v>1</v>
      </c>
      <c r="AH326" s="46" t="s">
        <v>82</v>
      </c>
      <c r="AI326" s="40" t="s">
        <v>115</v>
      </c>
      <c r="AJ326" s="40" t="s">
        <v>116</v>
      </c>
      <c r="AK326" s="59" t="s">
        <v>209</v>
      </c>
      <c r="AL326" s="40"/>
      <c r="AM326" s="48">
        <f t="shared" si="187"/>
        <v>18</v>
      </c>
      <c r="AN326" s="48">
        <f t="shared" si="188"/>
        <v>0</v>
      </c>
      <c r="AO326" s="48">
        <f t="shared" si="189"/>
        <v>0</v>
      </c>
      <c r="AP326" s="48">
        <f t="shared" si="190"/>
        <v>16.5</v>
      </c>
      <c r="AQ326" s="48">
        <f t="shared" si="191"/>
        <v>25</v>
      </c>
      <c r="AR326" s="48">
        <f t="shared" si="192"/>
        <v>2</v>
      </c>
      <c r="AS326" s="48">
        <f t="shared" si="193"/>
        <v>1.8</v>
      </c>
      <c r="AT326" s="48">
        <f t="shared" si="194"/>
        <v>0</v>
      </c>
      <c r="AU326" s="48">
        <f t="shared" si="195"/>
        <v>0</v>
      </c>
      <c r="AV326" s="48">
        <f t="shared" si="196"/>
        <v>0</v>
      </c>
      <c r="AW326" s="48">
        <f>IF(N326="ПП",РПП*AB326*(V326/1.5),IF(N326="ВП",ВПр*AB326*(V326/1.5),IF(N326="РПА",РПА*AB326*(V326/1.5),IF(N326="КПА",кпа*AB326*(V326/1.5),0))))</f>
        <v>0</v>
      </c>
      <c r="AX326" s="48">
        <f t="shared" si="197"/>
        <v>0</v>
      </c>
      <c r="AY326" s="48">
        <f t="shared" si="198"/>
        <v>0</v>
      </c>
      <c r="AZ326" s="48">
        <f t="shared" si="199"/>
        <v>0</v>
      </c>
      <c r="BA326" s="48">
        <f t="shared" si="200"/>
        <v>0</v>
      </c>
      <c r="BB326" s="48">
        <f t="shared" si="201"/>
        <v>0</v>
      </c>
      <c r="BC326" s="48">
        <f t="shared" si="202"/>
        <v>0</v>
      </c>
      <c r="BD326" s="48">
        <f t="shared" si="203"/>
        <v>0</v>
      </c>
      <c r="BE326" s="48">
        <f t="shared" si="204"/>
        <v>0</v>
      </c>
      <c r="BF326" s="49">
        <f t="shared" si="205"/>
        <v>63.3</v>
      </c>
      <c r="BG326" s="50"/>
      <c r="BH326" s="51">
        <f t="shared" si="206"/>
        <v>18</v>
      </c>
      <c r="BI326" s="51">
        <f t="shared" si="207"/>
        <v>0.5</v>
      </c>
      <c r="BJ326" s="51">
        <f t="shared" si="208"/>
        <v>45.3</v>
      </c>
      <c r="BK326" s="52">
        <f t="shared" si="209"/>
        <v>0</v>
      </c>
      <c r="BL326" s="52">
        <f t="shared" si="210"/>
        <v>0</v>
      </c>
      <c r="BM326" s="52">
        <f t="shared" si="211"/>
        <v>0</v>
      </c>
    </row>
    <row r="327" spans="1:65" ht="30" customHeight="1" x14ac:dyDescent="0.25">
      <c r="A327" s="31" t="str">
        <f t="shared" si="177"/>
        <v>Д</v>
      </c>
      <c r="B327" s="31" t="str">
        <f t="shared" si="178"/>
        <v>Б</v>
      </c>
      <c r="C327" s="32" t="s">
        <v>211</v>
      </c>
      <c r="D327" s="33" t="str">
        <f t="shared" si="179"/>
        <v>Факультет физико-математических и естественных наук</v>
      </c>
      <c r="E327" s="34" t="str">
        <f t="shared" si="180"/>
        <v>'02.03.02</v>
      </c>
      <c r="F327" s="35" t="str">
        <f t="shared" si="181"/>
        <v>Фундаментальная информатика и информационные технологии</v>
      </c>
      <c r="G327" s="36" t="s">
        <v>76</v>
      </c>
      <c r="H327" s="36" t="s">
        <v>183</v>
      </c>
      <c r="I327" s="37"/>
      <c r="J327" s="37"/>
      <c r="K327" s="38" t="s">
        <v>160</v>
      </c>
      <c r="L327" s="39">
        <v>7</v>
      </c>
      <c r="M327" s="39">
        <v>18</v>
      </c>
      <c r="N327" s="40" t="s">
        <v>86</v>
      </c>
      <c r="O327" s="39"/>
      <c r="P327" s="39"/>
      <c r="Q327" s="39">
        <v>2</v>
      </c>
      <c r="R327" s="40"/>
      <c r="S327" s="41"/>
      <c r="T327" s="41"/>
      <c r="U327" s="41"/>
      <c r="V327" s="41"/>
      <c r="W327" s="41"/>
      <c r="X327" s="42" t="str">
        <f t="shared" si="182"/>
        <v>НФИбд</v>
      </c>
      <c r="Y327" s="43" t="s">
        <v>161</v>
      </c>
      <c r="Z327" s="39">
        <v>2</v>
      </c>
      <c r="AA327" s="39">
        <v>1</v>
      </c>
      <c r="AB327" s="42">
        <f t="shared" si="183"/>
        <v>25</v>
      </c>
      <c r="AC327" s="39">
        <v>19</v>
      </c>
      <c r="AD327" s="39">
        <v>6</v>
      </c>
      <c r="AE327" s="44">
        <f t="shared" si="184"/>
        <v>24</v>
      </c>
      <c r="AF327" s="45">
        <f t="shared" si="185"/>
        <v>1</v>
      </c>
      <c r="AG327" s="45">
        <f t="shared" si="186"/>
        <v>1.0416666666666667</v>
      </c>
      <c r="AH327" s="46" t="s">
        <v>82</v>
      </c>
      <c r="AI327" s="40" t="s">
        <v>115</v>
      </c>
      <c r="AJ327" s="40" t="s">
        <v>116</v>
      </c>
      <c r="AK327" s="59" t="s">
        <v>209</v>
      </c>
      <c r="AL327" s="40"/>
      <c r="AM327" s="48">
        <f t="shared" si="187"/>
        <v>0</v>
      </c>
      <c r="AN327" s="48">
        <f t="shared" si="188"/>
        <v>36</v>
      </c>
      <c r="AO327" s="48">
        <f t="shared" si="189"/>
        <v>0</v>
      </c>
      <c r="AP327" s="48">
        <f t="shared" si="190"/>
        <v>0</v>
      </c>
      <c r="AQ327" s="48">
        <f t="shared" si="191"/>
        <v>0</v>
      </c>
      <c r="AR327" s="48">
        <f t="shared" si="192"/>
        <v>0</v>
      </c>
      <c r="AS327" s="48">
        <f t="shared" si="193"/>
        <v>0</v>
      </c>
      <c r="AT327" s="48">
        <f t="shared" si="194"/>
        <v>0</v>
      </c>
      <c r="AU327" s="48">
        <f t="shared" si="195"/>
        <v>0</v>
      </c>
      <c r="AV327" s="48">
        <f t="shared" si="196"/>
        <v>0</v>
      </c>
      <c r="AW327" s="48">
        <f>IF(N327="ПП",РПП*AB327*(V327/1.5),IF(N327="ВП",ВПр*AB327*(V327/1.5),IF(N327="РПА",РПА*AB327*(V327/1.5),IF(N327="КПА",кпа*AB327*(V327/1.5),0))))</f>
        <v>0</v>
      </c>
      <c r="AX327" s="48">
        <f t="shared" si="197"/>
        <v>0</v>
      </c>
      <c r="AY327" s="48">
        <f t="shared" si="198"/>
        <v>0</v>
      </c>
      <c r="AZ327" s="48">
        <f t="shared" si="199"/>
        <v>0</v>
      </c>
      <c r="BA327" s="48">
        <f t="shared" si="200"/>
        <v>0</v>
      </c>
      <c r="BB327" s="48">
        <f t="shared" si="201"/>
        <v>0</v>
      </c>
      <c r="BC327" s="48">
        <f t="shared" si="202"/>
        <v>0</v>
      </c>
      <c r="BD327" s="48">
        <f t="shared" si="203"/>
        <v>0</v>
      </c>
      <c r="BE327" s="48">
        <f t="shared" si="204"/>
        <v>0</v>
      </c>
      <c r="BF327" s="49">
        <f t="shared" si="205"/>
        <v>36</v>
      </c>
      <c r="BG327" s="50"/>
      <c r="BH327" s="51">
        <f t="shared" si="206"/>
        <v>36</v>
      </c>
      <c r="BI327" s="51">
        <f t="shared" si="207"/>
        <v>1</v>
      </c>
      <c r="BJ327" s="51">
        <f t="shared" si="208"/>
        <v>0</v>
      </c>
      <c r="BK327" s="52">
        <f t="shared" si="209"/>
        <v>0</v>
      </c>
      <c r="BL327" s="52">
        <f t="shared" si="210"/>
        <v>0</v>
      </c>
      <c r="BM327" s="52">
        <f t="shared" si="211"/>
        <v>0</v>
      </c>
    </row>
    <row r="328" spans="1:65" ht="30" customHeight="1" x14ac:dyDescent="0.25">
      <c r="A328" s="31" t="str">
        <f t="shared" si="177"/>
        <v>Д</v>
      </c>
      <c r="B328" s="31" t="str">
        <f t="shared" si="178"/>
        <v>Б</v>
      </c>
      <c r="C328" s="32" t="s">
        <v>211</v>
      </c>
      <c r="D328" s="33" t="str">
        <f t="shared" si="179"/>
        <v>Факультет физико-математических и естественных наук</v>
      </c>
      <c r="E328" s="34" t="str">
        <f t="shared" si="180"/>
        <v>'02.03.02</v>
      </c>
      <c r="F328" s="35" t="str">
        <f t="shared" si="181"/>
        <v>Фундаментальная информатика и информационные технологии</v>
      </c>
      <c r="G328" s="36" t="s">
        <v>76</v>
      </c>
      <c r="H328" s="36" t="s">
        <v>183</v>
      </c>
      <c r="I328" s="37"/>
      <c r="J328" s="37"/>
      <c r="K328" s="38" t="s">
        <v>160</v>
      </c>
      <c r="L328" s="39">
        <v>7</v>
      </c>
      <c r="M328" s="39">
        <v>18</v>
      </c>
      <c r="N328" s="40" t="s">
        <v>86</v>
      </c>
      <c r="O328" s="39"/>
      <c r="P328" s="39"/>
      <c r="Q328" s="39">
        <v>2</v>
      </c>
      <c r="R328" s="40"/>
      <c r="S328" s="41"/>
      <c r="T328" s="41"/>
      <c r="U328" s="41"/>
      <c r="V328" s="41"/>
      <c r="W328" s="41"/>
      <c r="X328" s="42" t="str">
        <f t="shared" si="182"/>
        <v>НФИбд</v>
      </c>
      <c r="Y328" s="43" t="s">
        <v>210</v>
      </c>
      <c r="Z328" s="39">
        <v>2</v>
      </c>
      <c r="AA328" s="39">
        <v>1</v>
      </c>
      <c r="AB328" s="42">
        <f t="shared" si="183"/>
        <v>25</v>
      </c>
      <c r="AC328" s="39">
        <v>18</v>
      </c>
      <c r="AD328" s="39">
        <v>7</v>
      </c>
      <c r="AE328" s="44">
        <f t="shared" si="184"/>
        <v>24</v>
      </c>
      <c r="AF328" s="45">
        <f t="shared" si="185"/>
        <v>1</v>
      </c>
      <c r="AG328" s="45">
        <f t="shared" si="186"/>
        <v>1.0416666666666667</v>
      </c>
      <c r="AH328" s="46" t="s">
        <v>82</v>
      </c>
      <c r="AI328" s="40" t="s">
        <v>115</v>
      </c>
      <c r="AJ328" s="40" t="s">
        <v>116</v>
      </c>
      <c r="AK328" s="59" t="s">
        <v>209</v>
      </c>
      <c r="AL328" s="40"/>
      <c r="AM328" s="48">
        <f t="shared" si="187"/>
        <v>0</v>
      </c>
      <c r="AN328" s="48">
        <f t="shared" si="188"/>
        <v>36</v>
      </c>
      <c r="AO328" s="48">
        <f t="shared" si="189"/>
        <v>0</v>
      </c>
      <c r="AP328" s="48">
        <f t="shared" si="190"/>
        <v>0</v>
      </c>
      <c r="AQ328" s="48">
        <f t="shared" si="191"/>
        <v>0</v>
      </c>
      <c r="AR328" s="48">
        <f t="shared" si="192"/>
        <v>0</v>
      </c>
      <c r="AS328" s="48">
        <f t="shared" si="193"/>
        <v>0</v>
      </c>
      <c r="AT328" s="48">
        <f t="shared" si="194"/>
        <v>0</v>
      </c>
      <c r="AU328" s="48">
        <f t="shared" si="195"/>
        <v>0</v>
      </c>
      <c r="AV328" s="48">
        <f t="shared" si="196"/>
        <v>0</v>
      </c>
      <c r="AW328" s="48">
        <f>IF(N328="ПП",РПП*AB328*(V328/1.5),IF(N328="ВП",ВПр*AB328*(V328/1.5),IF(N328="РПА",РПА*AB328*(V328/1.5),IF(N328="КПА",кпа*AB328*(V328/1.5),0))))</f>
        <v>0</v>
      </c>
      <c r="AX328" s="48">
        <f t="shared" si="197"/>
        <v>0</v>
      </c>
      <c r="AY328" s="48">
        <f t="shared" si="198"/>
        <v>0</v>
      </c>
      <c r="AZ328" s="48">
        <f t="shared" si="199"/>
        <v>0</v>
      </c>
      <c r="BA328" s="48">
        <f t="shared" si="200"/>
        <v>0</v>
      </c>
      <c r="BB328" s="48">
        <f t="shared" si="201"/>
        <v>0</v>
      </c>
      <c r="BC328" s="48">
        <f t="shared" si="202"/>
        <v>0</v>
      </c>
      <c r="BD328" s="48">
        <f t="shared" si="203"/>
        <v>0</v>
      </c>
      <c r="BE328" s="48">
        <f t="shared" si="204"/>
        <v>0</v>
      </c>
      <c r="BF328" s="49">
        <f t="shared" si="205"/>
        <v>36</v>
      </c>
      <c r="BG328" s="50"/>
      <c r="BH328" s="51">
        <f t="shared" si="206"/>
        <v>36</v>
      </c>
      <c r="BI328" s="51">
        <f t="shared" si="207"/>
        <v>1</v>
      </c>
      <c r="BJ328" s="51">
        <f t="shared" si="208"/>
        <v>0</v>
      </c>
      <c r="BK328" s="52">
        <f t="shared" si="209"/>
        <v>0</v>
      </c>
      <c r="BL328" s="52">
        <f t="shared" si="210"/>
        <v>0</v>
      </c>
      <c r="BM328" s="52">
        <f t="shared" si="211"/>
        <v>0</v>
      </c>
    </row>
    <row r="329" spans="1:65" ht="30" customHeight="1" x14ac:dyDescent="0.25">
      <c r="A329" s="31" t="str">
        <f t="shared" si="177"/>
        <v>Д</v>
      </c>
      <c r="B329" s="31" t="str">
        <f t="shared" si="178"/>
        <v>Б</v>
      </c>
      <c r="C329" s="32" t="s">
        <v>211</v>
      </c>
      <c r="D329" s="33" t="str">
        <f t="shared" si="179"/>
        <v>Факультет физико-математических и естественных наук</v>
      </c>
      <c r="E329" s="34" t="str">
        <f t="shared" si="180"/>
        <v>'02.03.02</v>
      </c>
      <c r="F329" s="35" t="str">
        <f t="shared" si="181"/>
        <v>Фундаментальная информатика и информационные технологии</v>
      </c>
      <c r="G329" s="36" t="s">
        <v>76</v>
      </c>
      <c r="H329" s="36" t="s">
        <v>135</v>
      </c>
      <c r="I329" s="37"/>
      <c r="J329" s="37" t="s">
        <v>137</v>
      </c>
      <c r="K329" s="38" t="s">
        <v>208</v>
      </c>
      <c r="L329" s="39">
        <v>7</v>
      </c>
      <c r="M329" s="39">
        <v>18</v>
      </c>
      <c r="N329" s="40" t="s">
        <v>79</v>
      </c>
      <c r="O329" s="39">
        <v>1</v>
      </c>
      <c r="P329" s="39"/>
      <c r="Q329" s="39"/>
      <c r="R329" s="40" t="s">
        <v>80</v>
      </c>
      <c r="S329" s="41"/>
      <c r="T329" s="41"/>
      <c r="U329" s="41"/>
      <c r="V329" s="41"/>
      <c r="W329" s="41"/>
      <c r="X329" s="42" t="str">
        <f t="shared" si="182"/>
        <v>НФИбд</v>
      </c>
      <c r="Y329" s="39" t="s">
        <v>215</v>
      </c>
      <c r="Z329" s="39">
        <v>4</v>
      </c>
      <c r="AA329" s="39">
        <v>2</v>
      </c>
      <c r="AB329" s="42">
        <f t="shared" si="183"/>
        <v>13</v>
      </c>
      <c r="AC329" s="39">
        <v>10</v>
      </c>
      <c r="AD329" s="39">
        <v>3</v>
      </c>
      <c r="AE329" s="44">
        <f t="shared" si="184"/>
        <v>13</v>
      </c>
      <c r="AF329" s="45">
        <f t="shared" si="185"/>
        <v>1</v>
      </c>
      <c r="AG329" s="45">
        <f t="shared" si="186"/>
        <v>1</v>
      </c>
      <c r="AH329" s="46" t="s">
        <v>82</v>
      </c>
      <c r="AI329" s="40" t="s">
        <v>115</v>
      </c>
      <c r="AJ329" s="40" t="s">
        <v>116</v>
      </c>
      <c r="AK329" s="47" t="s">
        <v>209</v>
      </c>
      <c r="AL329" s="40"/>
      <c r="AM329" s="48">
        <f t="shared" si="187"/>
        <v>18</v>
      </c>
      <c r="AN329" s="48">
        <f t="shared" si="188"/>
        <v>0</v>
      </c>
      <c r="AO329" s="48">
        <f t="shared" si="189"/>
        <v>0</v>
      </c>
      <c r="AP329" s="48">
        <f t="shared" si="190"/>
        <v>4.29</v>
      </c>
      <c r="AQ329" s="48">
        <f t="shared" si="191"/>
        <v>6.5</v>
      </c>
      <c r="AR329" s="48">
        <f t="shared" si="192"/>
        <v>2</v>
      </c>
      <c r="AS329" s="48">
        <f t="shared" si="193"/>
        <v>1.8</v>
      </c>
      <c r="AT329" s="48">
        <f t="shared" si="194"/>
        <v>0</v>
      </c>
      <c r="AU329" s="48">
        <f t="shared" si="195"/>
        <v>0</v>
      </c>
      <c r="AV329" s="48">
        <f t="shared" si="196"/>
        <v>0</v>
      </c>
      <c r="AW329" s="48">
        <f>IF(N329="ПП",РПП*AB329*(V329/1.5),IF(N329="ВП",ВПр*AB329*(V329/1.5),IF(N329="РПА",РПА*AB329*(V329/1.5),IF(N329="КПА",кпа*AB329*(V329/1.5),0))))</f>
        <v>0</v>
      </c>
      <c r="AX329" s="48">
        <f t="shared" si="197"/>
        <v>0</v>
      </c>
      <c r="AY329" s="48">
        <f t="shared" si="198"/>
        <v>0</v>
      </c>
      <c r="AZ329" s="48">
        <f t="shared" si="199"/>
        <v>0</v>
      </c>
      <c r="BA329" s="48">
        <f t="shared" si="200"/>
        <v>0</v>
      </c>
      <c r="BB329" s="48">
        <f t="shared" si="201"/>
        <v>0</v>
      </c>
      <c r="BC329" s="48">
        <f t="shared" si="202"/>
        <v>0</v>
      </c>
      <c r="BD329" s="48">
        <f t="shared" si="203"/>
        <v>0</v>
      </c>
      <c r="BE329" s="48">
        <f t="shared" si="204"/>
        <v>0</v>
      </c>
      <c r="BF329" s="49">
        <f t="shared" si="205"/>
        <v>32.589999999999996</v>
      </c>
      <c r="BG329" s="50"/>
      <c r="BH329" s="51">
        <f t="shared" si="206"/>
        <v>18</v>
      </c>
      <c r="BI329" s="51">
        <f t="shared" si="207"/>
        <v>0.5</v>
      </c>
      <c r="BJ329" s="51">
        <f t="shared" si="208"/>
        <v>14.59</v>
      </c>
      <c r="BK329" s="52">
        <f t="shared" si="209"/>
        <v>0</v>
      </c>
      <c r="BL329" s="52">
        <f t="shared" si="210"/>
        <v>0</v>
      </c>
      <c r="BM329" s="52">
        <f t="shared" si="211"/>
        <v>0</v>
      </c>
    </row>
    <row r="330" spans="1:65" ht="30" customHeight="1" x14ac:dyDescent="0.25">
      <c r="A330" s="31" t="str">
        <f t="shared" si="177"/>
        <v>Д</v>
      </c>
      <c r="B330" s="31" t="str">
        <f t="shared" si="178"/>
        <v>Б</v>
      </c>
      <c r="C330" s="32" t="s">
        <v>211</v>
      </c>
      <c r="D330" s="33" t="str">
        <f t="shared" si="179"/>
        <v>Факультет физико-математических и естественных наук</v>
      </c>
      <c r="E330" s="34" t="str">
        <f t="shared" si="180"/>
        <v>'02.03.02</v>
      </c>
      <c r="F330" s="35" t="str">
        <f t="shared" si="181"/>
        <v>Фундаментальная информатика и информационные технологии</v>
      </c>
      <c r="G330" s="36" t="s">
        <v>76</v>
      </c>
      <c r="H330" s="36" t="s">
        <v>135</v>
      </c>
      <c r="I330" s="37"/>
      <c r="J330" s="37" t="s">
        <v>137</v>
      </c>
      <c r="K330" s="38" t="s">
        <v>208</v>
      </c>
      <c r="L330" s="39">
        <v>7</v>
      </c>
      <c r="M330" s="39">
        <v>18</v>
      </c>
      <c r="N330" s="40" t="s">
        <v>86</v>
      </c>
      <c r="O330" s="39"/>
      <c r="P330" s="39"/>
      <c r="Q330" s="39">
        <v>2</v>
      </c>
      <c r="R330" s="40"/>
      <c r="S330" s="41"/>
      <c r="T330" s="41"/>
      <c r="U330" s="41"/>
      <c r="V330" s="41"/>
      <c r="W330" s="41"/>
      <c r="X330" s="42" t="str">
        <f t="shared" si="182"/>
        <v>НФИбд</v>
      </c>
      <c r="Y330" s="39" t="s">
        <v>215</v>
      </c>
      <c r="Z330" s="39">
        <v>4</v>
      </c>
      <c r="AA330" s="39">
        <v>2</v>
      </c>
      <c r="AB330" s="42">
        <f t="shared" si="183"/>
        <v>13</v>
      </c>
      <c r="AC330" s="39">
        <v>10</v>
      </c>
      <c r="AD330" s="39">
        <v>3</v>
      </c>
      <c r="AE330" s="44">
        <f t="shared" si="184"/>
        <v>24</v>
      </c>
      <c r="AF330" s="45">
        <f t="shared" si="185"/>
        <v>0.54166666666666663</v>
      </c>
      <c r="AG330" s="45">
        <f t="shared" si="186"/>
        <v>0.54166666666666663</v>
      </c>
      <c r="AH330" s="46" t="s">
        <v>82</v>
      </c>
      <c r="AI330" s="40" t="s">
        <v>115</v>
      </c>
      <c r="AJ330" s="40" t="s">
        <v>116</v>
      </c>
      <c r="AK330" s="47" t="s">
        <v>209</v>
      </c>
      <c r="AL330" s="40"/>
      <c r="AM330" s="48">
        <f t="shared" si="187"/>
        <v>0</v>
      </c>
      <c r="AN330" s="48">
        <f t="shared" si="188"/>
        <v>19.5</v>
      </c>
      <c r="AO330" s="48">
        <f t="shared" si="189"/>
        <v>0</v>
      </c>
      <c r="AP330" s="48">
        <f t="shared" si="190"/>
        <v>0</v>
      </c>
      <c r="AQ330" s="48">
        <f t="shared" si="191"/>
        <v>0</v>
      </c>
      <c r="AR330" s="48">
        <f t="shared" si="192"/>
        <v>0</v>
      </c>
      <c r="AS330" s="48">
        <f t="shared" si="193"/>
        <v>0</v>
      </c>
      <c r="AT330" s="48">
        <f t="shared" si="194"/>
        <v>0</v>
      </c>
      <c r="AU330" s="48">
        <f t="shared" si="195"/>
        <v>0</v>
      </c>
      <c r="AV330" s="48">
        <f t="shared" si="196"/>
        <v>0</v>
      </c>
      <c r="AW330" s="48">
        <f>IF(N330="ПП",РПП*AB330*(V330/1.5),IF(N330="ВП",ВПр*AB330*(V330/1.5),IF(N330="РПА",РПА*AB330*(V330/1.5),IF(N330="КПА",кпа*AB330*(V330/1.5),0))))</f>
        <v>0</v>
      </c>
      <c r="AX330" s="48">
        <f t="shared" si="197"/>
        <v>0</v>
      </c>
      <c r="AY330" s="48">
        <f t="shared" si="198"/>
        <v>0</v>
      </c>
      <c r="AZ330" s="48">
        <f t="shared" si="199"/>
        <v>0</v>
      </c>
      <c r="BA330" s="48">
        <f t="shared" si="200"/>
        <v>0</v>
      </c>
      <c r="BB330" s="48">
        <f t="shared" si="201"/>
        <v>0</v>
      </c>
      <c r="BC330" s="48">
        <f t="shared" si="202"/>
        <v>0</v>
      </c>
      <c r="BD330" s="48">
        <f t="shared" si="203"/>
        <v>0</v>
      </c>
      <c r="BE330" s="48">
        <f t="shared" si="204"/>
        <v>0</v>
      </c>
      <c r="BF330" s="49">
        <f t="shared" si="205"/>
        <v>19.5</v>
      </c>
      <c r="BG330" s="50"/>
      <c r="BH330" s="51">
        <f t="shared" si="206"/>
        <v>19.5</v>
      </c>
      <c r="BI330" s="51">
        <f t="shared" si="207"/>
        <v>1</v>
      </c>
      <c r="BJ330" s="51">
        <f t="shared" si="208"/>
        <v>0</v>
      </c>
      <c r="BK330" s="52">
        <f t="shared" si="209"/>
        <v>0</v>
      </c>
      <c r="BL330" s="52">
        <f t="shared" si="210"/>
        <v>0</v>
      </c>
      <c r="BM330" s="52">
        <f t="shared" si="211"/>
        <v>0</v>
      </c>
    </row>
    <row r="331" spans="1:65" ht="30" customHeight="1" x14ac:dyDescent="0.25">
      <c r="A331" s="31" t="str">
        <f t="shared" si="177"/>
        <v>Д</v>
      </c>
      <c r="B331" s="31" t="str">
        <f t="shared" si="178"/>
        <v>Б</v>
      </c>
      <c r="C331" s="32" t="s">
        <v>211</v>
      </c>
      <c r="D331" s="33" t="str">
        <f t="shared" si="179"/>
        <v>Факультет физико-математических и естественных наук</v>
      </c>
      <c r="E331" s="34" t="str">
        <f t="shared" si="180"/>
        <v>'02.03.02</v>
      </c>
      <c r="F331" s="35" t="str">
        <f t="shared" si="181"/>
        <v>Фундаментальная информатика и информационные технологии</v>
      </c>
      <c r="G331" s="36" t="s">
        <v>76</v>
      </c>
      <c r="H331" s="36" t="s">
        <v>135</v>
      </c>
      <c r="I331" s="37"/>
      <c r="J331" s="37" t="s">
        <v>154</v>
      </c>
      <c r="K331" s="38" t="s">
        <v>164</v>
      </c>
      <c r="L331" s="39">
        <v>7</v>
      </c>
      <c r="M331" s="39">
        <v>18</v>
      </c>
      <c r="N331" s="40" t="s">
        <v>79</v>
      </c>
      <c r="O331" s="39">
        <v>1</v>
      </c>
      <c r="P331" s="39"/>
      <c r="Q331" s="39"/>
      <c r="R331" s="40" t="s">
        <v>80</v>
      </c>
      <c r="S331" s="41"/>
      <c r="T331" s="41"/>
      <c r="U331" s="41"/>
      <c r="V331" s="41"/>
      <c r="W331" s="41"/>
      <c r="X331" s="42" t="str">
        <f t="shared" si="182"/>
        <v>НФИбд</v>
      </c>
      <c r="Y331" s="39" t="s">
        <v>215</v>
      </c>
      <c r="Z331" s="39">
        <v>4</v>
      </c>
      <c r="AA331" s="39">
        <v>2</v>
      </c>
      <c r="AB331" s="42">
        <f t="shared" si="183"/>
        <v>29</v>
      </c>
      <c r="AC331" s="39">
        <v>22</v>
      </c>
      <c r="AD331" s="39">
        <v>7</v>
      </c>
      <c r="AE331" s="44">
        <f t="shared" si="184"/>
        <v>29</v>
      </c>
      <c r="AF331" s="45">
        <f t="shared" si="185"/>
        <v>1</v>
      </c>
      <c r="AG331" s="45">
        <f t="shared" si="186"/>
        <v>1</v>
      </c>
      <c r="AH331" s="46" t="s">
        <v>82</v>
      </c>
      <c r="AI331" s="40" t="s">
        <v>83</v>
      </c>
      <c r="AJ331" s="40" t="s">
        <v>84</v>
      </c>
      <c r="AK331" s="47" t="s">
        <v>93</v>
      </c>
      <c r="AL331" s="40"/>
      <c r="AM331" s="48">
        <f t="shared" si="187"/>
        <v>18</v>
      </c>
      <c r="AN331" s="48">
        <f t="shared" si="188"/>
        <v>0</v>
      </c>
      <c r="AO331" s="48">
        <f t="shared" si="189"/>
        <v>0</v>
      </c>
      <c r="AP331" s="48">
        <f t="shared" si="190"/>
        <v>9.57</v>
      </c>
      <c r="AQ331" s="48">
        <f t="shared" si="191"/>
        <v>14.5</v>
      </c>
      <c r="AR331" s="48">
        <f t="shared" si="192"/>
        <v>2</v>
      </c>
      <c r="AS331" s="48">
        <f t="shared" si="193"/>
        <v>1.8</v>
      </c>
      <c r="AT331" s="48">
        <f t="shared" si="194"/>
        <v>0</v>
      </c>
      <c r="AU331" s="48">
        <f t="shared" si="195"/>
        <v>0</v>
      </c>
      <c r="AV331" s="48">
        <f t="shared" si="196"/>
        <v>0</v>
      </c>
      <c r="AW331" s="48">
        <f>IF(N331="ПП",РПП*AB331*(V331/1.5),IF(N331="ВП",ВПр*AB331*(V331/1.5),IF(N331="РПА",РПА*AB331*(V331/1.5),IF(N331="КПА",кпа*AB331*(V331/1.5),0))))</f>
        <v>0</v>
      </c>
      <c r="AX331" s="48">
        <f t="shared" si="197"/>
        <v>0</v>
      </c>
      <c r="AY331" s="48">
        <f t="shared" si="198"/>
        <v>0</v>
      </c>
      <c r="AZ331" s="48">
        <f t="shared" si="199"/>
        <v>0</v>
      </c>
      <c r="BA331" s="48">
        <f t="shared" si="200"/>
        <v>0</v>
      </c>
      <c r="BB331" s="48">
        <f t="shared" si="201"/>
        <v>0</v>
      </c>
      <c r="BC331" s="48">
        <f t="shared" si="202"/>
        <v>0</v>
      </c>
      <c r="BD331" s="48">
        <f t="shared" si="203"/>
        <v>0</v>
      </c>
      <c r="BE331" s="48">
        <f t="shared" si="204"/>
        <v>0</v>
      </c>
      <c r="BF331" s="49">
        <f t="shared" si="205"/>
        <v>45.87</v>
      </c>
      <c r="BG331" s="50"/>
      <c r="BH331" s="51">
        <f t="shared" si="206"/>
        <v>18</v>
      </c>
      <c r="BI331" s="51">
        <f t="shared" si="207"/>
        <v>0.5</v>
      </c>
      <c r="BJ331" s="51">
        <f t="shared" si="208"/>
        <v>27.87</v>
      </c>
      <c r="BK331" s="52">
        <f t="shared" si="209"/>
        <v>0</v>
      </c>
      <c r="BL331" s="52">
        <f t="shared" si="210"/>
        <v>0</v>
      </c>
      <c r="BM331" s="52">
        <f t="shared" si="211"/>
        <v>0</v>
      </c>
    </row>
    <row r="332" spans="1:65" ht="30" customHeight="1" x14ac:dyDescent="0.25">
      <c r="A332" s="31" t="str">
        <f t="shared" si="177"/>
        <v>Д</v>
      </c>
      <c r="B332" s="31" t="str">
        <f t="shared" si="178"/>
        <v>Б</v>
      </c>
      <c r="C332" s="32" t="s">
        <v>211</v>
      </c>
      <c r="D332" s="33" t="str">
        <f t="shared" si="179"/>
        <v>Факультет физико-математических и естественных наук</v>
      </c>
      <c r="E332" s="34" t="str">
        <f t="shared" si="180"/>
        <v>'02.03.02</v>
      </c>
      <c r="F332" s="35" t="str">
        <f t="shared" si="181"/>
        <v>Фундаментальная информатика и информационные технологии</v>
      </c>
      <c r="G332" s="36" t="s">
        <v>76</v>
      </c>
      <c r="H332" s="36" t="s">
        <v>135</v>
      </c>
      <c r="I332" s="37"/>
      <c r="J332" s="37" t="s">
        <v>154</v>
      </c>
      <c r="K332" s="38" t="s">
        <v>164</v>
      </c>
      <c r="L332" s="39">
        <v>7</v>
      </c>
      <c r="M332" s="39">
        <v>18</v>
      </c>
      <c r="N332" s="40" t="s">
        <v>94</v>
      </c>
      <c r="O332" s="39"/>
      <c r="P332" s="39">
        <v>2</v>
      </c>
      <c r="Q332" s="39"/>
      <c r="R332" s="40"/>
      <c r="S332" s="41"/>
      <c r="T332" s="41"/>
      <c r="U332" s="41"/>
      <c r="V332" s="41"/>
      <c r="W332" s="41"/>
      <c r="X332" s="42" t="str">
        <f t="shared" si="182"/>
        <v>НФИбд</v>
      </c>
      <c r="Y332" s="43" t="s">
        <v>161</v>
      </c>
      <c r="Z332" s="39">
        <v>2</v>
      </c>
      <c r="AA332" s="39">
        <v>1</v>
      </c>
      <c r="AB332" s="42">
        <f t="shared" si="183"/>
        <v>15</v>
      </c>
      <c r="AC332" s="39">
        <v>11</v>
      </c>
      <c r="AD332" s="39">
        <v>4</v>
      </c>
      <c r="AE332" s="44">
        <f t="shared" si="184"/>
        <v>12</v>
      </c>
      <c r="AF332" s="45">
        <f t="shared" si="185"/>
        <v>1</v>
      </c>
      <c r="AG332" s="45">
        <f t="shared" si="186"/>
        <v>1.25</v>
      </c>
      <c r="AH332" s="46" t="s">
        <v>82</v>
      </c>
      <c r="AI332" s="40" t="s">
        <v>83</v>
      </c>
      <c r="AJ332" s="40" t="s">
        <v>84</v>
      </c>
      <c r="AK332" s="47" t="s">
        <v>93</v>
      </c>
      <c r="AL332" s="40"/>
      <c r="AM332" s="48">
        <f t="shared" si="187"/>
        <v>0</v>
      </c>
      <c r="AN332" s="48">
        <f t="shared" si="188"/>
        <v>0</v>
      </c>
      <c r="AO332" s="48">
        <f t="shared" si="189"/>
        <v>36</v>
      </c>
      <c r="AP332" s="48">
        <f t="shared" si="190"/>
        <v>0</v>
      </c>
      <c r="AQ332" s="48">
        <f t="shared" si="191"/>
        <v>0</v>
      </c>
      <c r="AR332" s="48">
        <f t="shared" si="192"/>
        <v>0</v>
      </c>
      <c r="AS332" s="48">
        <f t="shared" si="193"/>
        <v>0</v>
      </c>
      <c r="AT332" s="48">
        <f t="shared" si="194"/>
        <v>0</v>
      </c>
      <c r="AU332" s="48">
        <f t="shared" si="195"/>
        <v>0</v>
      </c>
      <c r="AV332" s="48">
        <f t="shared" si="196"/>
        <v>0</v>
      </c>
      <c r="AW332" s="48">
        <f>IF(N332="ПП",РПП*AB332*(V332/1.5),IF(N332="ВП",ВПр*AB332*(V332/1.5),IF(N332="РПА",РПА*AB332*(V332/1.5),IF(N332="КПА",кпа*AB332*(V332/1.5),0))))</f>
        <v>0</v>
      </c>
      <c r="AX332" s="48">
        <f t="shared" si="197"/>
        <v>0</v>
      </c>
      <c r="AY332" s="48">
        <f t="shared" si="198"/>
        <v>0</v>
      </c>
      <c r="AZ332" s="48">
        <f t="shared" si="199"/>
        <v>0</v>
      </c>
      <c r="BA332" s="48">
        <f t="shared" si="200"/>
        <v>0</v>
      </c>
      <c r="BB332" s="48">
        <f t="shared" si="201"/>
        <v>0</v>
      </c>
      <c r="BC332" s="48">
        <f t="shared" si="202"/>
        <v>0</v>
      </c>
      <c r="BD332" s="48">
        <f t="shared" si="203"/>
        <v>0</v>
      </c>
      <c r="BE332" s="48">
        <f t="shared" si="204"/>
        <v>0</v>
      </c>
      <c r="BF332" s="49">
        <f t="shared" si="205"/>
        <v>36</v>
      </c>
      <c r="BG332" s="50"/>
      <c r="BH332" s="51">
        <f t="shared" si="206"/>
        <v>36</v>
      </c>
      <c r="BI332" s="51">
        <f t="shared" si="207"/>
        <v>1</v>
      </c>
      <c r="BJ332" s="51">
        <f t="shared" si="208"/>
        <v>0</v>
      </c>
      <c r="BK332" s="52">
        <f t="shared" si="209"/>
        <v>0</v>
      </c>
      <c r="BL332" s="52">
        <f t="shared" si="210"/>
        <v>0</v>
      </c>
      <c r="BM332" s="52">
        <f t="shared" si="211"/>
        <v>0</v>
      </c>
    </row>
    <row r="333" spans="1:65" ht="30" customHeight="1" x14ac:dyDescent="0.25">
      <c r="A333" s="31" t="str">
        <f t="shared" si="177"/>
        <v>Д</v>
      </c>
      <c r="B333" s="31" t="str">
        <f t="shared" si="178"/>
        <v>Б</v>
      </c>
      <c r="C333" s="32" t="s">
        <v>211</v>
      </c>
      <c r="D333" s="33" t="str">
        <f t="shared" si="179"/>
        <v>Факультет физико-математических и естественных наук</v>
      </c>
      <c r="E333" s="34" t="str">
        <f t="shared" si="180"/>
        <v>'02.03.02</v>
      </c>
      <c r="F333" s="35" t="str">
        <f t="shared" si="181"/>
        <v>Фундаментальная информатика и информационные технологии</v>
      </c>
      <c r="G333" s="36" t="s">
        <v>76</v>
      </c>
      <c r="H333" s="36" t="s">
        <v>135</v>
      </c>
      <c r="I333" s="37"/>
      <c r="J333" s="37" t="s">
        <v>154</v>
      </c>
      <c r="K333" s="38" t="s">
        <v>164</v>
      </c>
      <c r="L333" s="39">
        <v>7</v>
      </c>
      <c r="M333" s="39">
        <v>18</v>
      </c>
      <c r="N333" s="40" t="s">
        <v>94</v>
      </c>
      <c r="O333" s="39"/>
      <c r="P333" s="39">
        <v>2</v>
      </c>
      <c r="Q333" s="39"/>
      <c r="R333" s="40"/>
      <c r="S333" s="41"/>
      <c r="T333" s="41"/>
      <c r="U333" s="41"/>
      <c r="V333" s="41"/>
      <c r="W333" s="41"/>
      <c r="X333" s="42" t="str">
        <f t="shared" si="182"/>
        <v>НФИбд</v>
      </c>
      <c r="Y333" s="43" t="s">
        <v>210</v>
      </c>
      <c r="Z333" s="39">
        <v>2</v>
      </c>
      <c r="AA333" s="39">
        <v>1</v>
      </c>
      <c r="AB333" s="42">
        <f t="shared" si="183"/>
        <v>14</v>
      </c>
      <c r="AC333" s="39">
        <v>11</v>
      </c>
      <c r="AD333" s="39">
        <v>3</v>
      </c>
      <c r="AE333" s="44">
        <f t="shared" si="184"/>
        <v>12</v>
      </c>
      <c r="AF333" s="45">
        <f t="shared" si="185"/>
        <v>1</v>
      </c>
      <c r="AG333" s="45">
        <f t="shared" si="186"/>
        <v>1.1666666666666667</v>
      </c>
      <c r="AH333" s="46" t="s">
        <v>82</v>
      </c>
      <c r="AI333" s="40" t="s">
        <v>83</v>
      </c>
      <c r="AJ333" s="40" t="s">
        <v>84</v>
      </c>
      <c r="AK333" s="47" t="s">
        <v>93</v>
      </c>
      <c r="AL333" s="40"/>
      <c r="AM333" s="48">
        <f t="shared" si="187"/>
        <v>0</v>
      </c>
      <c r="AN333" s="48">
        <f t="shared" si="188"/>
        <v>0</v>
      </c>
      <c r="AO333" s="48">
        <f t="shared" si="189"/>
        <v>36</v>
      </c>
      <c r="AP333" s="48">
        <f t="shared" si="190"/>
        <v>0</v>
      </c>
      <c r="AQ333" s="48">
        <f t="shared" si="191"/>
        <v>0</v>
      </c>
      <c r="AR333" s="48">
        <f t="shared" si="192"/>
        <v>0</v>
      </c>
      <c r="AS333" s="48">
        <f t="shared" si="193"/>
        <v>0</v>
      </c>
      <c r="AT333" s="48">
        <f t="shared" si="194"/>
        <v>0</v>
      </c>
      <c r="AU333" s="48">
        <f t="shared" si="195"/>
        <v>0</v>
      </c>
      <c r="AV333" s="48">
        <f t="shared" si="196"/>
        <v>0</v>
      </c>
      <c r="AW333" s="48">
        <f>IF(N333="ПП",РПП*AB333*(V333/1.5),IF(N333="ВП",ВПр*AB333*(V333/1.5),IF(N333="РПА",РПА*AB333*(V333/1.5),IF(N333="КПА",кпа*AB333*(V333/1.5),0))))</f>
        <v>0</v>
      </c>
      <c r="AX333" s="48">
        <f t="shared" si="197"/>
        <v>0</v>
      </c>
      <c r="AY333" s="48">
        <f t="shared" si="198"/>
        <v>0</v>
      </c>
      <c r="AZ333" s="48">
        <f t="shared" si="199"/>
        <v>0</v>
      </c>
      <c r="BA333" s="48">
        <f t="shared" si="200"/>
        <v>0</v>
      </c>
      <c r="BB333" s="48">
        <f t="shared" si="201"/>
        <v>0</v>
      </c>
      <c r="BC333" s="48">
        <f t="shared" si="202"/>
        <v>0</v>
      </c>
      <c r="BD333" s="48">
        <f t="shared" si="203"/>
        <v>0</v>
      </c>
      <c r="BE333" s="48">
        <f t="shared" si="204"/>
        <v>0</v>
      </c>
      <c r="BF333" s="49">
        <f t="shared" si="205"/>
        <v>36</v>
      </c>
      <c r="BG333" s="50"/>
      <c r="BH333" s="51">
        <f t="shared" si="206"/>
        <v>36</v>
      </c>
      <c r="BI333" s="51">
        <f t="shared" si="207"/>
        <v>1</v>
      </c>
      <c r="BJ333" s="51">
        <f t="shared" si="208"/>
        <v>0</v>
      </c>
      <c r="BK333" s="52">
        <f t="shared" si="209"/>
        <v>0</v>
      </c>
      <c r="BL333" s="52">
        <f t="shared" si="210"/>
        <v>0</v>
      </c>
      <c r="BM333" s="52">
        <f t="shared" si="211"/>
        <v>0</v>
      </c>
    </row>
    <row r="334" spans="1:65" ht="30" customHeight="1" x14ac:dyDescent="0.25">
      <c r="A334" s="31" t="str">
        <f t="shared" si="177"/>
        <v>Д</v>
      </c>
      <c r="B334" s="31" t="str">
        <f t="shared" si="178"/>
        <v>Б</v>
      </c>
      <c r="C334" s="32" t="s">
        <v>211</v>
      </c>
      <c r="D334" s="33" t="str">
        <f t="shared" si="179"/>
        <v>Факультет физико-математических и естественных наук</v>
      </c>
      <c r="E334" s="34" t="str">
        <f t="shared" si="180"/>
        <v>'02.03.02</v>
      </c>
      <c r="F334" s="35" t="str">
        <f t="shared" si="181"/>
        <v>Фундаментальная информатика и информационные технологии</v>
      </c>
      <c r="G334" s="36" t="s">
        <v>76</v>
      </c>
      <c r="H334" s="36" t="s">
        <v>135</v>
      </c>
      <c r="I334" s="37"/>
      <c r="J334" s="37" t="s">
        <v>154</v>
      </c>
      <c r="K334" s="38" t="s">
        <v>165</v>
      </c>
      <c r="L334" s="39">
        <v>7</v>
      </c>
      <c r="M334" s="39">
        <v>18</v>
      </c>
      <c r="N334" s="40" t="s">
        <v>94</v>
      </c>
      <c r="O334" s="39"/>
      <c r="P334" s="39">
        <v>2</v>
      </c>
      <c r="Q334" s="39"/>
      <c r="R334" s="40" t="s">
        <v>95</v>
      </c>
      <c r="S334" s="41"/>
      <c r="T334" s="41"/>
      <c r="U334" s="41"/>
      <c r="V334" s="41"/>
      <c r="W334" s="41"/>
      <c r="X334" s="42" t="str">
        <f t="shared" si="182"/>
        <v>НФИбд</v>
      </c>
      <c r="Y334" s="43" t="s">
        <v>161</v>
      </c>
      <c r="Z334" s="39">
        <v>2</v>
      </c>
      <c r="AA334" s="39">
        <v>1</v>
      </c>
      <c r="AB334" s="42">
        <f t="shared" si="183"/>
        <v>29</v>
      </c>
      <c r="AC334" s="39">
        <v>21</v>
      </c>
      <c r="AD334" s="39">
        <v>8</v>
      </c>
      <c r="AE334" s="44">
        <f t="shared" si="184"/>
        <v>12</v>
      </c>
      <c r="AF334" s="45">
        <f t="shared" si="185"/>
        <v>1</v>
      </c>
      <c r="AG334" s="45">
        <f t="shared" si="186"/>
        <v>2.4166666666666665</v>
      </c>
      <c r="AH334" s="46" t="s">
        <v>82</v>
      </c>
      <c r="AI334" s="40" t="s">
        <v>83</v>
      </c>
      <c r="AJ334" s="40" t="s">
        <v>116</v>
      </c>
      <c r="AK334" s="47" t="s">
        <v>146</v>
      </c>
      <c r="AL334" s="40"/>
      <c r="AM334" s="48">
        <f t="shared" si="187"/>
        <v>0</v>
      </c>
      <c r="AN334" s="48">
        <f t="shared" si="188"/>
        <v>0</v>
      </c>
      <c r="AO334" s="48">
        <f t="shared" si="189"/>
        <v>36</v>
      </c>
      <c r="AP334" s="48">
        <f t="shared" si="190"/>
        <v>9.57</v>
      </c>
      <c r="AQ334" s="48">
        <f t="shared" si="191"/>
        <v>14.5</v>
      </c>
      <c r="AR334" s="48">
        <f t="shared" si="192"/>
        <v>1</v>
      </c>
      <c r="AS334" s="48">
        <f t="shared" si="193"/>
        <v>0</v>
      </c>
      <c r="AT334" s="48">
        <f t="shared" si="194"/>
        <v>0</v>
      </c>
      <c r="AU334" s="48">
        <f t="shared" si="195"/>
        <v>0</v>
      </c>
      <c r="AV334" s="48">
        <f t="shared" si="196"/>
        <v>0</v>
      </c>
      <c r="AW334" s="48">
        <f>IF(N334="ПП",РПП*AB334*(V334/1.5),IF(N334="ВП",ВПр*AB334*(V334/1.5),IF(N334="РПА",РПА*AB334*(V334/1.5),IF(N334="КПА",кпа*AB334*(V334/1.5),0))))</f>
        <v>0</v>
      </c>
      <c r="AX334" s="48">
        <f t="shared" si="197"/>
        <v>0</v>
      </c>
      <c r="AY334" s="48">
        <f t="shared" si="198"/>
        <v>0</v>
      </c>
      <c r="AZ334" s="48">
        <f t="shared" si="199"/>
        <v>0</v>
      </c>
      <c r="BA334" s="48">
        <f t="shared" si="200"/>
        <v>0</v>
      </c>
      <c r="BB334" s="48">
        <f t="shared" si="201"/>
        <v>0</v>
      </c>
      <c r="BC334" s="48">
        <f t="shared" si="202"/>
        <v>0</v>
      </c>
      <c r="BD334" s="48">
        <f t="shared" si="203"/>
        <v>0</v>
      </c>
      <c r="BE334" s="48">
        <f t="shared" si="204"/>
        <v>0</v>
      </c>
      <c r="BF334" s="49">
        <f t="shared" si="205"/>
        <v>61.07</v>
      </c>
      <c r="BG334" s="50"/>
      <c r="BH334" s="51">
        <f t="shared" si="206"/>
        <v>36</v>
      </c>
      <c r="BI334" s="51">
        <f t="shared" si="207"/>
        <v>1</v>
      </c>
      <c r="BJ334" s="51">
        <f t="shared" si="208"/>
        <v>25.07</v>
      </c>
      <c r="BK334" s="52">
        <f t="shared" si="209"/>
        <v>0</v>
      </c>
      <c r="BL334" s="52">
        <f t="shared" si="210"/>
        <v>0</v>
      </c>
      <c r="BM334" s="52">
        <f t="shared" si="211"/>
        <v>0</v>
      </c>
    </row>
    <row r="335" spans="1:65" ht="30" customHeight="1" x14ac:dyDescent="0.25">
      <c r="A335" s="31" t="str">
        <f t="shared" si="177"/>
        <v>Д</v>
      </c>
      <c r="B335" s="31" t="str">
        <f t="shared" si="178"/>
        <v>Б</v>
      </c>
      <c r="C335" s="32" t="s">
        <v>211</v>
      </c>
      <c r="D335" s="33" t="str">
        <f t="shared" si="179"/>
        <v>Факультет физико-математических и естественных наук</v>
      </c>
      <c r="E335" s="34" t="str">
        <f t="shared" si="180"/>
        <v>'02.03.02</v>
      </c>
      <c r="F335" s="35" t="str">
        <f t="shared" si="181"/>
        <v>Фундаментальная информатика и информационные технологии</v>
      </c>
      <c r="G335" s="36" t="s">
        <v>76</v>
      </c>
      <c r="H335" s="36" t="s">
        <v>135</v>
      </c>
      <c r="I335" s="37"/>
      <c r="J335" s="37" t="s">
        <v>154</v>
      </c>
      <c r="K335" s="38" t="s">
        <v>165</v>
      </c>
      <c r="L335" s="39">
        <v>7</v>
      </c>
      <c r="M335" s="39">
        <v>18</v>
      </c>
      <c r="N335" s="40" t="s">
        <v>94</v>
      </c>
      <c r="O335" s="39"/>
      <c r="P335" s="39">
        <v>2</v>
      </c>
      <c r="Q335" s="39"/>
      <c r="R335" s="40" t="s">
        <v>95</v>
      </c>
      <c r="S335" s="41"/>
      <c r="T335" s="41"/>
      <c r="U335" s="41"/>
      <c r="V335" s="41"/>
      <c r="W335" s="41"/>
      <c r="X335" s="42" t="str">
        <f t="shared" si="182"/>
        <v>НФИбд</v>
      </c>
      <c r="Y335" s="43" t="s">
        <v>210</v>
      </c>
      <c r="Z335" s="39">
        <v>2</v>
      </c>
      <c r="AA335" s="39">
        <v>1</v>
      </c>
      <c r="AB335" s="42">
        <f t="shared" si="183"/>
        <v>29</v>
      </c>
      <c r="AC335" s="39">
        <v>21</v>
      </c>
      <c r="AD335" s="39">
        <v>8</v>
      </c>
      <c r="AE335" s="44">
        <f t="shared" si="184"/>
        <v>12</v>
      </c>
      <c r="AF335" s="45">
        <f t="shared" si="185"/>
        <v>1</v>
      </c>
      <c r="AG335" s="45">
        <f t="shared" si="186"/>
        <v>2.4166666666666665</v>
      </c>
      <c r="AH335" s="46" t="s">
        <v>82</v>
      </c>
      <c r="AI335" s="40" t="s">
        <v>83</v>
      </c>
      <c r="AJ335" s="40" t="s">
        <v>116</v>
      </c>
      <c r="AK335" s="47" t="s">
        <v>146</v>
      </c>
      <c r="AL335" s="40"/>
      <c r="AM335" s="48">
        <f t="shared" si="187"/>
        <v>0</v>
      </c>
      <c r="AN335" s="48">
        <f t="shared" si="188"/>
        <v>0</v>
      </c>
      <c r="AO335" s="48">
        <f t="shared" si="189"/>
        <v>36</v>
      </c>
      <c r="AP335" s="48">
        <f t="shared" si="190"/>
        <v>9.57</v>
      </c>
      <c r="AQ335" s="48">
        <f t="shared" si="191"/>
        <v>14.5</v>
      </c>
      <c r="AR335" s="48">
        <f t="shared" si="192"/>
        <v>1</v>
      </c>
      <c r="AS335" s="48">
        <f t="shared" si="193"/>
        <v>0</v>
      </c>
      <c r="AT335" s="48">
        <f t="shared" si="194"/>
        <v>0</v>
      </c>
      <c r="AU335" s="48">
        <f t="shared" si="195"/>
        <v>0</v>
      </c>
      <c r="AV335" s="48">
        <f t="shared" si="196"/>
        <v>0</v>
      </c>
      <c r="AW335" s="48">
        <f>IF(N335="ПП",РПП*AB335*(V335/1.5),IF(N335="ВП",ВПр*AB335*(V335/1.5),IF(N335="РПА",РПА*AB335*(V335/1.5),IF(N335="КПА",кпа*AB335*(V335/1.5),0))))</f>
        <v>0</v>
      </c>
      <c r="AX335" s="48">
        <f t="shared" si="197"/>
        <v>0</v>
      </c>
      <c r="AY335" s="48">
        <f t="shared" si="198"/>
        <v>0</v>
      </c>
      <c r="AZ335" s="48">
        <f t="shared" si="199"/>
        <v>0</v>
      </c>
      <c r="BA335" s="48">
        <f t="shared" si="200"/>
        <v>0</v>
      </c>
      <c r="BB335" s="48">
        <f t="shared" si="201"/>
        <v>0</v>
      </c>
      <c r="BC335" s="48">
        <f t="shared" si="202"/>
        <v>0</v>
      </c>
      <c r="BD335" s="48">
        <f t="shared" si="203"/>
        <v>0</v>
      </c>
      <c r="BE335" s="48">
        <f t="shared" si="204"/>
        <v>0</v>
      </c>
      <c r="BF335" s="49">
        <f t="shared" si="205"/>
        <v>61.07</v>
      </c>
      <c r="BG335" s="50"/>
      <c r="BH335" s="51">
        <f t="shared" si="206"/>
        <v>36</v>
      </c>
      <c r="BI335" s="51">
        <f t="shared" si="207"/>
        <v>1</v>
      </c>
      <c r="BJ335" s="51">
        <f t="shared" si="208"/>
        <v>25.07</v>
      </c>
      <c r="BK335" s="52">
        <f t="shared" si="209"/>
        <v>0</v>
      </c>
      <c r="BL335" s="52">
        <f t="shared" si="210"/>
        <v>0</v>
      </c>
      <c r="BM335" s="52">
        <f t="shared" si="211"/>
        <v>0</v>
      </c>
    </row>
    <row r="336" spans="1:65" ht="30" customHeight="1" x14ac:dyDescent="0.25">
      <c r="A336" s="31" t="str">
        <f t="shared" si="177"/>
        <v>Д</v>
      </c>
      <c r="B336" s="31" t="str">
        <f t="shared" si="178"/>
        <v>Б</v>
      </c>
      <c r="C336" s="32" t="s">
        <v>211</v>
      </c>
      <c r="D336" s="33" t="str">
        <f t="shared" si="179"/>
        <v>Факультет физико-математических и естественных наук</v>
      </c>
      <c r="E336" s="34" t="str">
        <f t="shared" si="180"/>
        <v>'02.03.02</v>
      </c>
      <c r="F336" s="35" t="str">
        <f t="shared" si="181"/>
        <v>Фундаментальная информатика и информационные технологии</v>
      </c>
      <c r="G336" s="36" t="s">
        <v>76</v>
      </c>
      <c r="H336" s="36" t="s">
        <v>135</v>
      </c>
      <c r="I336" s="37"/>
      <c r="J336" s="37" t="s">
        <v>137</v>
      </c>
      <c r="K336" s="38" t="s">
        <v>163</v>
      </c>
      <c r="L336" s="39">
        <v>7</v>
      </c>
      <c r="M336" s="39">
        <v>18</v>
      </c>
      <c r="N336" s="40" t="s">
        <v>79</v>
      </c>
      <c r="O336" s="39">
        <v>1</v>
      </c>
      <c r="P336" s="39"/>
      <c r="Q336" s="39"/>
      <c r="R336" s="40" t="s">
        <v>95</v>
      </c>
      <c r="S336" s="41"/>
      <c r="T336" s="41"/>
      <c r="U336" s="41"/>
      <c r="V336" s="41"/>
      <c r="W336" s="41"/>
      <c r="X336" s="42" t="str">
        <f t="shared" si="182"/>
        <v>НФИбд</v>
      </c>
      <c r="Y336" s="39" t="s">
        <v>215</v>
      </c>
      <c r="Z336" s="39">
        <v>4</v>
      </c>
      <c r="AA336" s="39">
        <v>2</v>
      </c>
      <c r="AB336" s="42">
        <f t="shared" si="183"/>
        <v>16</v>
      </c>
      <c r="AC336" s="39">
        <v>10</v>
      </c>
      <c r="AD336" s="39">
        <v>6</v>
      </c>
      <c r="AE336" s="44">
        <f t="shared" si="184"/>
        <v>16</v>
      </c>
      <c r="AF336" s="45">
        <f t="shared" si="185"/>
        <v>1</v>
      </c>
      <c r="AG336" s="45">
        <f t="shared" si="186"/>
        <v>1</v>
      </c>
      <c r="AH336" s="46" t="s">
        <v>82</v>
      </c>
      <c r="AI336" s="40" t="s">
        <v>83</v>
      </c>
      <c r="AJ336" s="40" t="s">
        <v>116</v>
      </c>
      <c r="AK336" s="47" t="s">
        <v>146</v>
      </c>
      <c r="AL336" s="40"/>
      <c r="AM336" s="48">
        <f t="shared" si="187"/>
        <v>18</v>
      </c>
      <c r="AN336" s="48">
        <f t="shared" si="188"/>
        <v>0</v>
      </c>
      <c r="AO336" s="48">
        <f t="shared" si="189"/>
        <v>0</v>
      </c>
      <c r="AP336" s="48">
        <f t="shared" si="190"/>
        <v>5.28</v>
      </c>
      <c r="AQ336" s="48">
        <f t="shared" si="191"/>
        <v>0</v>
      </c>
      <c r="AR336" s="48">
        <f t="shared" si="192"/>
        <v>0</v>
      </c>
      <c r="AS336" s="48">
        <f t="shared" si="193"/>
        <v>1.8</v>
      </c>
      <c r="AT336" s="48">
        <f t="shared" si="194"/>
        <v>0</v>
      </c>
      <c r="AU336" s="48">
        <f t="shared" si="195"/>
        <v>0</v>
      </c>
      <c r="AV336" s="48">
        <f t="shared" si="196"/>
        <v>0</v>
      </c>
      <c r="AW336" s="48">
        <f>IF(N336="ПП",РПП*AB336*(V336/1.5),IF(N336="ВП",ВПр*AB336*(V336/1.5),IF(N336="РПА",РПА*AB336*(V336/1.5),IF(N336="КПА",кпа*AB336*(V336/1.5),0))))</f>
        <v>0</v>
      </c>
      <c r="AX336" s="48">
        <f t="shared" si="197"/>
        <v>0</v>
      </c>
      <c r="AY336" s="48">
        <f t="shared" si="198"/>
        <v>0</v>
      </c>
      <c r="AZ336" s="48">
        <f t="shared" si="199"/>
        <v>0</v>
      </c>
      <c r="BA336" s="48">
        <f t="shared" si="200"/>
        <v>0</v>
      </c>
      <c r="BB336" s="48">
        <f t="shared" si="201"/>
        <v>0</v>
      </c>
      <c r="BC336" s="48">
        <f t="shared" si="202"/>
        <v>0</v>
      </c>
      <c r="BD336" s="48">
        <f t="shared" si="203"/>
        <v>0</v>
      </c>
      <c r="BE336" s="48">
        <f t="shared" si="204"/>
        <v>0</v>
      </c>
      <c r="BF336" s="49">
        <f t="shared" si="205"/>
        <v>25.080000000000002</v>
      </c>
      <c r="BG336" s="50"/>
      <c r="BH336" s="51">
        <f t="shared" si="206"/>
        <v>18</v>
      </c>
      <c r="BI336" s="51">
        <f t="shared" si="207"/>
        <v>0.5</v>
      </c>
      <c r="BJ336" s="51">
        <f t="shared" si="208"/>
        <v>7.08</v>
      </c>
      <c r="BK336" s="52">
        <f t="shared" si="209"/>
        <v>0</v>
      </c>
      <c r="BL336" s="52">
        <f t="shared" si="210"/>
        <v>0</v>
      </c>
      <c r="BM336" s="52">
        <f t="shared" si="211"/>
        <v>0</v>
      </c>
    </row>
    <row r="337" spans="1:65" ht="30" customHeight="1" x14ac:dyDescent="0.25">
      <c r="A337" s="31" t="str">
        <f t="shared" si="177"/>
        <v>Д</v>
      </c>
      <c r="B337" s="31" t="str">
        <f t="shared" si="178"/>
        <v>Б</v>
      </c>
      <c r="C337" s="32" t="s">
        <v>211</v>
      </c>
      <c r="D337" s="33" t="str">
        <f t="shared" si="179"/>
        <v>Факультет физико-математических и естественных наук</v>
      </c>
      <c r="E337" s="34" t="str">
        <f t="shared" si="180"/>
        <v>'02.03.02</v>
      </c>
      <c r="F337" s="35" t="str">
        <f t="shared" si="181"/>
        <v>Фундаментальная информатика и информационные технологии</v>
      </c>
      <c r="G337" s="36" t="s">
        <v>76</v>
      </c>
      <c r="H337" s="36" t="s">
        <v>135</v>
      </c>
      <c r="I337" s="37"/>
      <c r="J337" s="37" t="s">
        <v>137</v>
      </c>
      <c r="K337" s="38" t="s">
        <v>163</v>
      </c>
      <c r="L337" s="39">
        <v>7</v>
      </c>
      <c r="M337" s="39">
        <v>18</v>
      </c>
      <c r="N337" s="40" t="s">
        <v>86</v>
      </c>
      <c r="O337" s="39"/>
      <c r="P337" s="39"/>
      <c r="Q337" s="39">
        <v>2</v>
      </c>
      <c r="R337" s="40" t="s">
        <v>95</v>
      </c>
      <c r="S337" s="41"/>
      <c r="T337" s="41"/>
      <c r="U337" s="41"/>
      <c r="V337" s="41"/>
      <c r="W337" s="41"/>
      <c r="X337" s="42" t="str">
        <f t="shared" si="182"/>
        <v>НФИбд</v>
      </c>
      <c r="Y337" s="39" t="s">
        <v>215</v>
      </c>
      <c r="Z337" s="39">
        <v>4</v>
      </c>
      <c r="AA337" s="39">
        <v>2</v>
      </c>
      <c r="AB337" s="42">
        <f t="shared" si="183"/>
        <v>16</v>
      </c>
      <c r="AC337" s="39">
        <v>10</v>
      </c>
      <c r="AD337" s="39">
        <v>6</v>
      </c>
      <c r="AE337" s="44">
        <f t="shared" si="184"/>
        <v>24</v>
      </c>
      <c r="AF337" s="45">
        <f t="shared" si="185"/>
        <v>0.66666666666666663</v>
      </c>
      <c r="AG337" s="45">
        <f t="shared" si="186"/>
        <v>0.66666666666666663</v>
      </c>
      <c r="AH337" s="46" t="s">
        <v>82</v>
      </c>
      <c r="AI337" s="40" t="s">
        <v>83</v>
      </c>
      <c r="AJ337" s="40" t="s">
        <v>116</v>
      </c>
      <c r="AK337" s="47" t="s">
        <v>146</v>
      </c>
      <c r="AL337" s="40"/>
      <c r="AM337" s="48">
        <f t="shared" si="187"/>
        <v>0</v>
      </c>
      <c r="AN337" s="48">
        <f t="shared" si="188"/>
        <v>24</v>
      </c>
      <c r="AO337" s="48">
        <f t="shared" si="189"/>
        <v>0</v>
      </c>
      <c r="AP337" s="48">
        <f t="shared" si="190"/>
        <v>5.28</v>
      </c>
      <c r="AQ337" s="48">
        <f t="shared" si="191"/>
        <v>8</v>
      </c>
      <c r="AR337" s="48">
        <f t="shared" si="192"/>
        <v>0.66666666666666663</v>
      </c>
      <c r="AS337" s="48">
        <f t="shared" si="193"/>
        <v>0</v>
      </c>
      <c r="AT337" s="48">
        <f t="shared" si="194"/>
        <v>0</v>
      </c>
      <c r="AU337" s="48">
        <f t="shared" si="195"/>
        <v>0</v>
      </c>
      <c r="AV337" s="48">
        <f t="shared" si="196"/>
        <v>0</v>
      </c>
      <c r="AW337" s="48">
        <f>IF(N337="ПП",РПП*AB337*(V337/1.5),IF(N337="ВП",ВПр*AB337*(V337/1.5),IF(N337="РПА",РПА*AB337*(V337/1.5),IF(N337="КПА",кпа*AB337*(V337/1.5),0))))</f>
        <v>0</v>
      </c>
      <c r="AX337" s="48">
        <f t="shared" si="197"/>
        <v>0</v>
      </c>
      <c r="AY337" s="48">
        <f t="shared" si="198"/>
        <v>0</v>
      </c>
      <c r="AZ337" s="48">
        <f t="shared" si="199"/>
        <v>0</v>
      </c>
      <c r="BA337" s="48">
        <f t="shared" si="200"/>
        <v>0</v>
      </c>
      <c r="BB337" s="48">
        <f t="shared" si="201"/>
        <v>0</v>
      </c>
      <c r="BC337" s="48">
        <f t="shared" si="202"/>
        <v>0</v>
      </c>
      <c r="BD337" s="48">
        <f t="shared" si="203"/>
        <v>0</v>
      </c>
      <c r="BE337" s="48">
        <f t="shared" si="204"/>
        <v>0</v>
      </c>
      <c r="BF337" s="49">
        <f t="shared" si="205"/>
        <v>37.946666666666665</v>
      </c>
      <c r="BG337" s="50"/>
      <c r="BH337" s="51">
        <f t="shared" si="206"/>
        <v>24</v>
      </c>
      <c r="BI337" s="51">
        <f t="shared" si="207"/>
        <v>1</v>
      </c>
      <c r="BJ337" s="51">
        <f t="shared" si="208"/>
        <v>13.946666666666667</v>
      </c>
      <c r="BK337" s="52">
        <f t="shared" si="209"/>
        <v>0</v>
      </c>
      <c r="BL337" s="52">
        <f t="shared" si="210"/>
        <v>0</v>
      </c>
      <c r="BM337" s="52">
        <f t="shared" si="211"/>
        <v>0</v>
      </c>
    </row>
    <row r="338" spans="1:65" ht="30" customHeight="1" x14ac:dyDescent="0.25">
      <c r="A338" s="31" t="str">
        <f t="shared" si="177"/>
        <v>Д</v>
      </c>
      <c r="B338" s="31" t="str">
        <f t="shared" si="178"/>
        <v>Б</v>
      </c>
      <c r="C338" s="32" t="s">
        <v>211</v>
      </c>
      <c r="D338" s="33" t="str">
        <f t="shared" si="179"/>
        <v>Факультет физико-математических и естественных наук</v>
      </c>
      <c r="E338" s="34" t="str">
        <f t="shared" si="180"/>
        <v>'02.03.02</v>
      </c>
      <c r="F338" s="35" t="str">
        <f t="shared" si="181"/>
        <v>Фундаментальная информатика и информационные технологии</v>
      </c>
      <c r="G338" s="36" t="s">
        <v>153</v>
      </c>
      <c r="H338" s="36" t="s">
        <v>183</v>
      </c>
      <c r="I338" s="37"/>
      <c r="J338" s="37"/>
      <c r="K338" s="38" t="s">
        <v>167</v>
      </c>
      <c r="L338" s="39">
        <v>8</v>
      </c>
      <c r="M338" s="39">
        <v>18</v>
      </c>
      <c r="N338" s="40" t="s">
        <v>168</v>
      </c>
      <c r="O338" s="39"/>
      <c r="P338" s="39"/>
      <c r="Q338" s="39"/>
      <c r="R338" s="40"/>
      <c r="S338" s="41"/>
      <c r="T338" s="41"/>
      <c r="U338" s="41"/>
      <c r="V338" s="41">
        <v>3</v>
      </c>
      <c r="W338" s="41"/>
      <c r="X338" s="42" t="str">
        <f t="shared" si="182"/>
        <v>НФИбд</v>
      </c>
      <c r="Y338" s="39" t="s">
        <v>216</v>
      </c>
      <c r="Z338" s="39">
        <v>4</v>
      </c>
      <c r="AA338" s="39">
        <v>2</v>
      </c>
      <c r="AB338" s="42">
        <f t="shared" si="183"/>
        <v>29</v>
      </c>
      <c r="AC338" s="120">
        <v>21</v>
      </c>
      <c r="AD338" s="58">
        <v>8</v>
      </c>
      <c r="AE338" s="44">
        <f t="shared" si="184"/>
        <v>1</v>
      </c>
      <c r="AF338" s="45">
        <f t="shared" si="185"/>
        <v>1</v>
      </c>
      <c r="AG338" s="45">
        <f t="shared" si="186"/>
        <v>29</v>
      </c>
      <c r="AH338" s="46" t="s">
        <v>82</v>
      </c>
      <c r="AI338" s="40" t="s">
        <v>115</v>
      </c>
      <c r="AJ338" s="40" t="s">
        <v>84</v>
      </c>
      <c r="AK338" s="47" t="s">
        <v>147</v>
      </c>
      <c r="AL338" s="40"/>
      <c r="AM338" s="48">
        <f t="shared" si="187"/>
        <v>0</v>
      </c>
      <c r="AN338" s="48">
        <f t="shared" si="188"/>
        <v>0</v>
      </c>
      <c r="AO338" s="48">
        <f t="shared" si="189"/>
        <v>0</v>
      </c>
      <c r="AP338" s="48">
        <f t="shared" si="190"/>
        <v>0</v>
      </c>
      <c r="AQ338" s="48">
        <f t="shared" si="191"/>
        <v>0</v>
      </c>
      <c r="AR338" s="48">
        <f t="shared" si="192"/>
        <v>0</v>
      </c>
      <c r="AS338" s="48">
        <f t="shared" si="193"/>
        <v>0</v>
      </c>
      <c r="AT338" s="48">
        <f t="shared" si="194"/>
        <v>0</v>
      </c>
      <c r="AU338" s="48">
        <f t="shared" si="195"/>
        <v>0</v>
      </c>
      <c r="AV338" s="48">
        <f t="shared" si="196"/>
        <v>0</v>
      </c>
      <c r="AW338" s="48">
        <f>IF(N338="ПП",РПП*AB338*(V338/1.5),IF(N338="ВП",ВПр*AB338*(V338/1.5),IF(N338="РПА",РПА*AB338*(V338/1.5),IF(N338="КПА",кпа*AB338*(V338/1.5),0))))</f>
        <v>87</v>
      </c>
      <c r="AX338" s="48">
        <f t="shared" si="197"/>
        <v>0</v>
      </c>
      <c r="AY338" s="48">
        <f t="shared" si="198"/>
        <v>0</v>
      </c>
      <c r="AZ338" s="48">
        <f t="shared" si="199"/>
        <v>0</v>
      </c>
      <c r="BA338" s="48">
        <f t="shared" si="200"/>
        <v>0</v>
      </c>
      <c r="BB338" s="48">
        <f t="shared" si="201"/>
        <v>0</v>
      </c>
      <c r="BC338" s="48">
        <f t="shared" si="202"/>
        <v>0</v>
      </c>
      <c r="BD338" s="48">
        <f t="shared" si="203"/>
        <v>0</v>
      </c>
      <c r="BE338" s="48">
        <f t="shared" si="204"/>
        <v>0</v>
      </c>
      <c r="BF338" s="49">
        <f t="shared" si="205"/>
        <v>87</v>
      </c>
      <c r="BG338" s="50"/>
      <c r="BH338" s="51">
        <f t="shared" si="206"/>
        <v>0</v>
      </c>
      <c r="BI338" s="51">
        <f t="shared" si="207"/>
        <v>0</v>
      </c>
      <c r="BJ338" s="51">
        <f t="shared" si="208"/>
        <v>0</v>
      </c>
      <c r="BK338" s="52">
        <f t="shared" si="209"/>
        <v>0</v>
      </c>
      <c r="BL338" s="52">
        <f t="shared" si="210"/>
        <v>0</v>
      </c>
      <c r="BM338" s="52">
        <f t="shared" si="211"/>
        <v>87</v>
      </c>
    </row>
    <row r="339" spans="1:65" ht="30" customHeight="1" x14ac:dyDescent="0.25">
      <c r="A339" s="31" t="str">
        <f t="shared" si="177"/>
        <v>Д</v>
      </c>
      <c r="B339" s="31" t="str">
        <f t="shared" si="178"/>
        <v>Б</v>
      </c>
      <c r="C339" s="32" t="s">
        <v>211</v>
      </c>
      <c r="D339" s="33" t="str">
        <f t="shared" si="179"/>
        <v>Факультет физико-математических и естественных наук</v>
      </c>
      <c r="E339" s="34" t="str">
        <f t="shared" si="180"/>
        <v>'02.03.02</v>
      </c>
      <c r="F339" s="35" t="str">
        <f t="shared" si="181"/>
        <v>Фундаментальная информатика и информационные технологии</v>
      </c>
      <c r="G339" s="36" t="s">
        <v>153</v>
      </c>
      <c r="H339" s="36" t="s">
        <v>183</v>
      </c>
      <c r="I339" s="37"/>
      <c r="J339" s="37"/>
      <c r="K339" s="38" t="s">
        <v>169</v>
      </c>
      <c r="L339" s="39">
        <v>8</v>
      </c>
      <c r="M339" s="39">
        <v>18</v>
      </c>
      <c r="N339" s="126" t="s">
        <v>2680</v>
      </c>
      <c r="O339" s="39"/>
      <c r="P339" s="39"/>
      <c r="Q339" s="39"/>
      <c r="R339" s="40"/>
      <c r="S339" s="41"/>
      <c r="T339" s="41"/>
      <c r="U339" s="41"/>
      <c r="V339" s="41"/>
      <c r="W339" s="41">
        <v>9</v>
      </c>
      <c r="X339" s="42" t="str">
        <f t="shared" si="182"/>
        <v>НФИбд</v>
      </c>
      <c r="Y339" s="39" t="s">
        <v>216</v>
      </c>
      <c r="Z339" s="39">
        <v>4</v>
      </c>
      <c r="AA339" s="39">
        <v>2</v>
      </c>
      <c r="AB339" s="42">
        <f t="shared" si="183"/>
        <v>29</v>
      </c>
      <c r="AC339" s="120">
        <v>21</v>
      </c>
      <c r="AD339" s="58">
        <v>8</v>
      </c>
      <c r="AE339" s="44">
        <f t="shared" si="184"/>
        <v>1</v>
      </c>
      <c r="AF339" s="45">
        <f t="shared" si="185"/>
        <v>1</v>
      </c>
      <c r="AG339" s="45">
        <f t="shared" si="186"/>
        <v>29</v>
      </c>
      <c r="AH339" s="46" t="s">
        <v>82</v>
      </c>
      <c r="AI339" s="40" t="s">
        <v>115</v>
      </c>
      <c r="AJ339" s="40" t="s">
        <v>84</v>
      </c>
      <c r="AK339" s="47" t="s">
        <v>147</v>
      </c>
      <c r="AL339" s="40"/>
      <c r="AM339" s="48">
        <f t="shared" si="187"/>
        <v>0</v>
      </c>
      <c r="AN339" s="48">
        <f t="shared" si="188"/>
        <v>0</v>
      </c>
      <c r="AO339" s="48">
        <f t="shared" si="189"/>
        <v>0</v>
      </c>
      <c r="AP339" s="48">
        <f t="shared" si="190"/>
        <v>0</v>
      </c>
      <c r="AQ339" s="48">
        <f t="shared" si="191"/>
        <v>0</v>
      </c>
      <c r="AR339" s="48">
        <f t="shared" si="192"/>
        <v>0</v>
      </c>
      <c r="AS339" s="48">
        <f t="shared" si="193"/>
        <v>0</v>
      </c>
      <c r="AT339" s="48">
        <f t="shared" si="194"/>
        <v>0</v>
      </c>
      <c r="AU339" s="48">
        <f t="shared" si="195"/>
        <v>0</v>
      </c>
      <c r="AV339" s="48">
        <f t="shared" si="196"/>
        <v>0</v>
      </c>
      <c r="AW339" s="48">
        <f>IF(N339="ПП",РПП*AB339*(V339/1.5),IF(N339="ВП",ВПр*AB339*(V339/1.5),IF(N339="РПА",РПА*AB339*(V339/1.5),IF(N339="КПА",кпа*AB339*(V339/1.5),0))))</f>
        <v>0</v>
      </c>
      <c r="AX339" s="48">
        <f t="shared" si="197"/>
        <v>198</v>
      </c>
      <c r="AY339" s="48">
        <f t="shared" si="198"/>
        <v>0</v>
      </c>
      <c r="AZ339" s="48">
        <f t="shared" si="199"/>
        <v>0</v>
      </c>
      <c r="BA339" s="48">
        <f t="shared" si="200"/>
        <v>0</v>
      </c>
      <c r="BB339" s="48">
        <f t="shared" si="201"/>
        <v>0</v>
      </c>
      <c r="BC339" s="48">
        <f t="shared" si="202"/>
        <v>0</v>
      </c>
      <c r="BD339" s="48">
        <f t="shared" si="203"/>
        <v>0</v>
      </c>
      <c r="BE339" s="48">
        <f t="shared" si="204"/>
        <v>0</v>
      </c>
      <c r="BF339" s="49">
        <f t="shared" si="205"/>
        <v>198</v>
      </c>
      <c r="BG339" s="50"/>
      <c r="BH339" s="51">
        <f t="shared" si="206"/>
        <v>0</v>
      </c>
      <c r="BI339" s="51">
        <f t="shared" si="207"/>
        <v>0</v>
      </c>
      <c r="BJ339" s="51">
        <f t="shared" si="208"/>
        <v>0</v>
      </c>
      <c r="BK339" s="52">
        <f t="shared" si="209"/>
        <v>0</v>
      </c>
      <c r="BL339" s="52">
        <f t="shared" si="210"/>
        <v>0</v>
      </c>
      <c r="BM339" s="52">
        <f t="shared" si="211"/>
        <v>198</v>
      </c>
    </row>
    <row r="340" spans="1:65" ht="30" customHeight="1" x14ac:dyDescent="0.25">
      <c r="A340" s="31" t="str">
        <f t="shared" si="177"/>
        <v>Д</v>
      </c>
      <c r="B340" s="31" t="str">
        <f t="shared" si="178"/>
        <v>Б</v>
      </c>
      <c r="C340" s="32" t="s">
        <v>211</v>
      </c>
      <c r="D340" s="33" t="str">
        <f t="shared" si="179"/>
        <v>Факультет физико-математических и естественных наук</v>
      </c>
      <c r="E340" s="34" t="str">
        <f t="shared" si="180"/>
        <v>'02.03.02</v>
      </c>
      <c r="F340" s="35" t="str">
        <f t="shared" si="181"/>
        <v>Фундаментальная информатика и информационные технологии</v>
      </c>
      <c r="G340" s="36" t="s">
        <v>153</v>
      </c>
      <c r="H340" s="36" t="s">
        <v>183</v>
      </c>
      <c r="I340" s="37"/>
      <c r="J340" s="37"/>
      <c r="K340" s="38" t="s">
        <v>170</v>
      </c>
      <c r="L340" s="39">
        <v>8</v>
      </c>
      <c r="M340" s="39">
        <v>18</v>
      </c>
      <c r="N340" s="40" t="s">
        <v>168</v>
      </c>
      <c r="O340" s="39"/>
      <c r="P340" s="39"/>
      <c r="Q340" s="39"/>
      <c r="R340" s="40"/>
      <c r="S340" s="41"/>
      <c r="T340" s="41"/>
      <c r="U340" s="41"/>
      <c r="V340" s="41">
        <v>6</v>
      </c>
      <c r="W340" s="41"/>
      <c r="X340" s="42" t="str">
        <f t="shared" si="182"/>
        <v>НФИбд</v>
      </c>
      <c r="Y340" s="39" t="s">
        <v>216</v>
      </c>
      <c r="Z340" s="39">
        <v>4</v>
      </c>
      <c r="AA340" s="39">
        <v>2</v>
      </c>
      <c r="AB340" s="42">
        <f t="shared" si="183"/>
        <v>29</v>
      </c>
      <c r="AC340" s="120">
        <v>21</v>
      </c>
      <c r="AD340" s="58">
        <v>8</v>
      </c>
      <c r="AE340" s="44">
        <f t="shared" si="184"/>
        <v>1</v>
      </c>
      <c r="AF340" s="45">
        <f t="shared" si="185"/>
        <v>1</v>
      </c>
      <c r="AG340" s="45">
        <f t="shared" si="186"/>
        <v>29</v>
      </c>
      <c r="AH340" s="46" t="s">
        <v>82</v>
      </c>
      <c r="AI340" s="40" t="s">
        <v>99</v>
      </c>
      <c r="AJ340" s="40" t="s">
        <v>100</v>
      </c>
      <c r="AK340" s="47" t="s">
        <v>101</v>
      </c>
      <c r="AL340" s="40"/>
      <c r="AM340" s="48">
        <f t="shared" si="187"/>
        <v>0</v>
      </c>
      <c r="AN340" s="48">
        <f t="shared" si="188"/>
        <v>0</v>
      </c>
      <c r="AO340" s="48">
        <f t="shared" si="189"/>
        <v>0</v>
      </c>
      <c r="AP340" s="48">
        <f t="shared" si="190"/>
        <v>0</v>
      </c>
      <c r="AQ340" s="48">
        <f t="shared" si="191"/>
        <v>0</v>
      </c>
      <c r="AR340" s="48">
        <f t="shared" si="192"/>
        <v>0</v>
      </c>
      <c r="AS340" s="48">
        <f t="shared" si="193"/>
        <v>0</v>
      </c>
      <c r="AT340" s="48">
        <f t="shared" si="194"/>
        <v>0</v>
      </c>
      <c r="AU340" s="48">
        <f t="shared" si="195"/>
        <v>0</v>
      </c>
      <c r="AV340" s="48">
        <f t="shared" si="196"/>
        <v>0</v>
      </c>
      <c r="AW340" s="48">
        <f>IF(N340="ПП",РПП*AB340*(V340/1.5),IF(N340="ВП",ВПр*AB340*(V340/1.5),IF(N340="РПА",РПА*AB340*(V340/1.5),IF(N340="КПА",кпа*AB340*(V340/1.5),0))))</f>
        <v>174</v>
      </c>
      <c r="AX340" s="48">
        <f t="shared" si="197"/>
        <v>0</v>
      </c>
      <c r="AY340" s="48">
        <f t="shared" si="198"/>
        <v>0</v>
      </c>
      <c r="AZ340" s="48">
        <f t="shared" si="199"/>
        <v>0</v>
      </c>
      <c r="BA340" s="48">
        <f t="shared" si="200"/>
        <v>0</v>
      </c>
      <c r="BB340" s="48">
        <f t="shared" si="201"/>
        <v>0</v>
      </c>
      <c r="BC340" s="48">
        <f t="shared" si="202"/>
        <v>0</v>
      </c>
      <c r="BD340" s="48">
        <f t="shared" si="203"/>
        <v>0</v>
      </c>
      <c r="BE340" s="48">
        <f t="shared" si="204"/>
        <v>0</v>
      </c>
      <c r="BF340" s="49">
        <f t="shared" si="205"/>
        <v>174</v>
      </c>
      <c r="BG340" s="50"/>
      <c r="BH340" s="51">
        <f t="shared" si="206"/>
        <v>0</v>
      </c>
      <c r="BI340" s="51">
        <f t="shared" si="207"/>
        <v>0</v>
      </c>
      <c r="BJ340" s="51">
        <f t="shared" si="208"/>
        <v>0</v>
      </c>
      <c r="BK340" s="52">
        <f t="shared" si="209"/>
        <v>0</v>
      </c>
      <c r="BL340" s="52">
        <f t="shared" si="210"/>
        <v>0</v>
      </c>
      <c r="BM340" s="52">
        <f t="shared" si="211"/>
        <v>174</v>
      </c>
    </row>
    <row r="341" spans="1:65" ht="30" customHeight="1" x14ac:dyDescent="0.25">
      <c r="A341" s="31" t="str">
        <f t="shared" si="177"/>
        <v>Д</v>
      </c>
      <c r="B341" s="31" t="str">
        <f t="shared" si="178"/>
        <v>Б</v>
      </c>
      <c r="C341" s="32" t="s">
        <v>211</v>
      </c>
      <c r="D341" s="33" t="str">
        <f t="shared" si="179"/>
        <v>Факультет физико-математических и естественных наук</v>
      </c>
      <c r="E341" s="34" t="str">
        <f t="shared" si="180"/>
        <v>'02.03.02</v>
      </c>
      <c r="F341" s="35" t="str">
        <f t="shared" si="181"/>
        <v>Фундаментальная информатика и информационные технологии</v>
      </c>
      <c r="G341" s="36" t="s">
        <v>166</v>
      </c>
      <c r="H341" s="36" t="s">
        <v>77</v>
      </c>
      <c r="I341" s="37"/>
      <c r="J341" s="37"/>
      <c r="K341" s="38" t="s">
        <v>217</v>
      </c>
      <c r="L341" s="39">
        <v>8</v>
      </c>
      <c r="M341" s="39">
        <v>18</v>
      </c>
      <c r="N341" s="40" t="s">
        <v>172</v>
      </c>
      <c r="O341" s="39"/>
      <c r="P341" s="39"/>
      <c r="Q341" s="39"/>
      <c r="R341" s="40" t="s">
        <v>173</v>
      </c>
      <c r="S341" s="41"/>
      <c r="T341" s="41"/>
      <c r="U341" s="41"/>
      <c r="V341" s="41"/>
      <c r="W341" s="41"/>
      <c r="X341" s="42" t="str">
        <f t="shared" si="182"/>
        <v>НФИбд</v>
      </c>
      <c r="Y341" s="39" t="s">
        <v>216</v>
      </c>
      <c r="Z341" s="39">
        <v>4</v>
      </c>
      <c r="AA341" s="39">
        <v>2</v>
      </c>
      <c r="AB341" s="42">
        <f t="shared" si="183"/>
        <v>29</v>
      </c>
      <c r="AC341" s="120">
        <v>21</v>
      </c>
      <c r="AD341" s="58">
        <v>8</v>
      </c>
      <c r="AE341" s="44">
        <f t="shared" si="184"/>
        <v>1</v>
      </c>
      <c r="AF341" s="45">
        <f t="shared" si="185"/>
        <v>1</v>
      </c>
      <c r="AG341" s="45">
        <f t="shared" si="186"/>
        <v>29</v>
      </c>
      <c r="AH341" s="46" t="s">
        <v>82</v>
      </c>
      <c r="AI341" s="40" t="s">
        <v>83</v>
      </c>
      <c r="AJ341" s="40" t="s">
        <v>84</v>
      </c>
      <c r="AK341" s="47" t="s">
        <v>97</v>
      </c>
      <c r="AL341" s="40"/>
      <c r="AM341" s="48">
        <f t="shared" si="187"/>
        <v>0</v>
      </c>
      <c r="AN341" s="48">
        <f t="shared" si="188"/>
        <v>0</v>
      </c>
      <c r="AO341" s="48">
        <f t="shared" si="189"/>
        <v>0</v>
      </c>
      <c r="AP341" s="48">
        <f t="shared" si="190"/>
        <v>0</v>
      </c>
      <c r="AQ341" s="48">
        <f t="shared" si="191"/>
        <v>0</v>
      </c>
      <c r="AR341" s="48">
        <f t="shared" si="192"/>
        <v>0</v>
      </c>
      <c r="AS341" s="48">
        <f t="shared" si="193"/>
        <v>0</v>
      </c>
      <c r="AT341" s="48">
        <f t="shared" si="194"/>
        <v>0</v>
      </c>
      <c r="AU341" s="48">
        <f t="shared" si="195"/>
        <v>0</v>
      </c>
      <c r="AV341" s="48">
        <f t="shared" si="196"/>
        <v>0</v>
      </c>
      <c r="AW341" s="48">
        <f>IF(N341="ПП",РПП*AB341*(V341/1.5),IF(N341="ВП",ВПр*AB341*(V341/1.5),IF(N341="РПА",РПА*AB341*(V341/1.5),IF(N341="КПА",кпа*AB341*(V341/1.5),0))))</f>
        <v>0</v>
      </c>
      <c r="AX341" s="48">
        <f t="shared" si="197"/>
        <v>0</v>
      </c>
      <c r="AY341" s="48">
        <f t="shared" si="198"/>
        <v>0</v>
      </c>
      <c r="AZ341" s="48">
        <f t="shared" si="199"/>
        <v>0</v>
      </c>
      <c r="BA341" s="48">
        <f t="shared" si="200"/>
        <v>0</v>
      </c>
      <c r="BB341" s="48">
        <f t="shared" si="201"/>
        <v>0</v>
      </c>
      <c r="BC341" s="48">
        <f t="shared" si="202"/>
        <v>660</v>
      </c>
      <c r="BD341" s="48">
        <f t="shared" si="203"/>
        <v>0</v>
      </c>
      <c r="BE341" s="48">
        <f t="shared" si="204"/>
        <v>0</v>
      </c>
      <c r="BF341" s="49">
        <f t="shared" si="205"/>
        <v>660</v>
      </c>
      <c r="BG341" s="50"/>
      <c r="BH341" s="51">
        <f t="shared" si="206"/>
        <v>0</v>
      </c>
      <c r="BI341" s="51">
        <f t="shared" si="207"/>
        <v>0</v>
      </c>
      <c r="BJ341" s="51">
        <f t="shared" si="208"/>
        <v>0</v>
      </c>
      <c r="BK341" s="52">
        <f t="shared" si="209"/>
        <v>0</v>
      </c>
      <c r="BL341" s="52">
        <f t="shared" si="210"/>
        <v>0</v>
      </c>
      <c r="BM341" s="52">
        <f t="shared" si="211"/>
        <v>660</v>
      </c>
    </row>
    <row r="342" spans="1:65" ht="30" customHeight="1" x14ac:dyDescent="0.25">
      <c r="A342" s="31" t="str">
        <f t="shared" si="177"/>
        <v>Д</v>
      </c>
      <c r="B342" s="31" t="str">
        <f t="shared" si="178"/>
        <v>Б</v>
      </c>
      <c r="C342" s="32" t="s">
        <v>211</v>
      </c>
      <c r="D342" s="33" t="str">
        <f t="shared" si="179"/>
        <v>Факультет физико-математических и естественных наук</v>
      </c>
      <c r="E342" s="34" t="str">
        <f t="shared" si="180"/>
        <v>'02.03.02</v>
      </c>
      <c r="F342" s="35" t="str">
        <f t="shared" si="181"/>
        <v>Фундаментальная информатика и информационные технологии</v>
      </c>
      <c r="G342" s="36" t="s">
        <v>166</v>
      </c>
      <c r="H342" s="36" t="s">
        <v>77</v>
      </c>
      <c r="I342" s="37"/>
      <c r="J342" s="37"/>
      <c r="K342" s="38" t="s">
        <v>47</v>
      </c>
      <c r="L342" s="39">
        <v>8</v>
      </c>
      <c r="M342" s="39">
        <v>18</v>
      </c>
      <c r="N342" s="40" t="s">
        <v>174</v>
      </c>
      <c r="O342" s="39"/>
      <c r="P342" s="39"/>
      <c r="Q342" s="39"/>
      <c r="R342" s="40" t="s">
        <v>173</v>
      </c>
      <c r="S342" s="41"/>
      <c r="T342" s="41"/>
      <c r="U342" s="41"/>
      <c r="V342" s="41"/>
      <c r="W342" s="41"/>
      <c r="X342" s="42" t="str">
        <f t="shared" si="182"/>
        <v>НФИбд</v>
      </c>
      <c r="Y342" s="39" t="s">
        <v>216</v>
      </c>
      <c r="Z342" s="39">
        <v>4</v>
      </c>
      <c r="AA342" s="39">
        <v>2</v>
      </c>
      <c r="AB342" s="42">
        <f t="shared" si="183"/>
        <v>29</v>
      </c>
      <c r="AC342" s="120">
        <v>21</v>
      </c>
      <c r="AD342" s="58">
        <v>8</v>
      </c>
      <c r="AE342" s="44">
        <f t="shared" si="184"/>
        <v>1</v>
      </c>
      <c r="AF342" s="45">
        <f t="shared" si="185"/>
        <v>1</v>
      </c>
      <c r="AG342" s="45">
        <f t="shared" si="186"/>
        <v>29</v>
      </c>
      <c r="AH342" s="46" t="s">
        <v>82</v>
      </c>
      <c r="AI342" s="40" t="s">
        <v>83</v>
      </c>
      <c r="AJ342" s="40" t="s">
        <v>84</v>
      </c>
      <c r="AK342" s="47" t="s">
        <v>200</v>
      </c>
      <c r="AL342" s="40"/>
      <c r="AM342" s="48">
        <f t="shared" si="187"/>
        <v>0</v>
      </c>
      <c r="AN342" s="48">
        <f t="shared" si="188"/>
        <v>0</v>
      </c>
      <c r="AO342" s="48">
        <f t="shared" si="189"/>
        <v>0</v>
      </c>
      <c r="AP342" s="48">
        <f t="shared" si="190"/>
        <v>0</v>
      </c>
      <c r="AQ342" s="48">
        <f t="shared" si="191"/>
        <v>0</v>
      </c>
      <c r="AR342" s="48">
        <f t="shared" si="192"/>
        <v>0</v>
      </c>
      <c r="AS342" s="48">
        <f t="shared" si="193"/>
        <v>0</v>
      </c>
      <c r="AT342" s="48">
        <f t="shared" si="194"/>
        <v>0</v>
      </c>
      <c r="AU342" s="48">
        <f t="shared" si="195"/>
        <v>0</v>
      </c>
      <c r="AV342" s="48">
        <f t="shared" si="196"/>
        <v>0</v>
      </c>
      <c r="AW342" s="48">
        <f>IF(N342="ПП",РПП*AB342*(V342/1.5),IF(N342="ВП",ВПр*AB342*(V342/1.5),IF(N342="РПА",РПА*AB342*(V342/1.5),IF(N342="КПА",кпа*AB342*(V342/1.5),0))))</f>
        <v>0</v>
      </c>
      <c r="AX342" s="48">
        <f t="shared" si="197"/>
        <v>0</v>
      </c>
      <c r="AY342" s="48">
        <f t="shared" si="198"/>
        <v>0</v>
      </c>
      <c r="AZ342" s="48">
        <f t="shared" si="199"/>
        <v>0</v>
      </c>
      <c r="BA342" s="48">
        <f t="shared" si="200"/>
        <v>0</v>
      </c>
      <c r="BB342" s="48">
        <f t="shared" si="201"/>
        <v>0</v>
      </c>
      <c r="BC342" s="48">
        <f t="shared" si="202"/>
        <v>0</v>
      </c>
      <c r="BD342" s="48">
        <f t="shared" si="203"/>
        <v>58</v>
      </c>
      <c r="BE342" s="48">
        <f t="shared" si="204"/>
        <v>0</v>
      </c>
      <c r="BF342" s="49">
        <f t="shared" si="205"/>
        <v>58</v>
      </c>
      <c r="BG342" s="50"/>
      <c r="BH342" s="51">
        <f t="shared" si="206"/>
        <v>0</v>
      </c>
      <c r="BI342" s="51">
        <f t="shared" si="207"/>
        <v>0</v>
      </c>
      <c r="BJ342" s="51">
        <f t="shared" si="208"/>
        <v>0</v>
      </c>
      <c r="BK342" s="52">
        <f t="shared" si="209"/>
        <v>0</v>
      </c>
      <c r="BL342" s="52">
        <f t="shared" si="210"/>
        <v>0</v>
      </c>
      <c r="BM342" s="52">
        <f t="shared" si="211"/>
        <v>58</v>
      </c>
    </row>
    <row r="343" spans="1:65" ht="30" customHeight="1" x14ac:dyDescent="0.25">
      <c r="A343" s="31" t="str">
        <f t="shared" si="177"/>
        <v>Д</v>
      </c>
      <c r="B343" s="31" t="str">
        <f t="shared" si="178"/>
        <v>Б</v>
      </c>
      <c r="C343" s="32" t="s">
        <v>211</v>
      </c>
      <c r="D343" s="33" t="str">
        <f t="shared" si="179"/>
        <v>Факультет физико-математических и естественных наук</v>
      </c>
      <c r="E343" s="34" t="str">
        <f t="shared" si="180"/>
        <v>'02.03.02</v>
      </c>
      <c r="F343" s="35" t="str">
        <f t="shared" si="181"/>
        <v>Фундаментальная информатика и информационные технологии</v>
      </c>
      <c r="G343" s="36" t="s">
        <v>166</v>
      </c>
      <c r="H343" s="36" t="s">
        <v>77</v>
      </c>
      <c r="I343" s="37"/>
      <c r="J343" s="37"/>
      <c r="K343" s="38" t="s">
        <v>175</v>
      </c>
      <c r="L343" s="39">
        <v>8</v>
      </c>
      <c r="M343" s="39"/>
      <c r="N343" s="40" t="s">
        <v>176</v>
      </c>
      <c r="O343" s="39"/>
      <c r="P343" s="39"/>
      <c r="Q343" s="39"/>
      <c r="R343" s="40"/>
      <c r="S343" s="41"/>
      <c r="T343" s="41"/>
      <c r="U343" s="41"/>
      <c r="V343" s="41">
        <v>3</v>
      </c>
      <c r="W343" s="41"/>
      <c r="X343" s="42" t="str">
        <f t="shared" si="182"/>
        <v>НФИбд</v>
      </c>
      <c r="Y343" s="39" t="s">
        <v>216</v>
      </c>
      <c r="Z343" s="39">
        <v>4</v>
      </c>
      <c r="AA343" s="39">
        <v>2</v>
      </c>
      <c r="AB343" s="42">
        <f t="shared" si="183"/>
        <v>29</v>
      </c>
      <c r="AC343" s="120">
        <v>21</v>
      </c>
      <c r="AD343" s="58">
        <v>8</v>
      </c>
      <c r="AE343" s="44">
        <f t="shared" si="184"/>
        <v>24</v>
      </c>
      <c r="AF343" s="45">
        <f t="shared" si="185"/>
        <v>1</v>
      </c>
      <c r="AG343" s="45">
        <f t="shared" si="186"/>
        <v>1.2083333333333333</v>
      </c>
      <c r="AH343" s="46" t="s">
        <v>82</v>
      </c>
      <c r="AI343" s="40" t="s">
        <v>83</v>
      </c>
      <c r="AJ343" s="40" t="s">
        <v>84</v>
      </c>
      <c r="AK343" s="47" t="s">
        <v>93</v>
      </c>
      <c r="AL343" s="40"/>
      <c r="AM343" s="48">
        <f t="shared" si="187"/>
        <v>0</v>
      </c>
      <c r="AN343" s="48">
        <f t="shared" si="188"/>
        <v>0</v>
      </c>
      <c r="AO343" s="48">
        <f t="shared" si="189"/>
        <v>0</v>
      </c>
      <c r="AP343" s="48">
        <f t="shared" si="190"/>
        <v>0</v>
      </c>
      <c r="AQ343" s="48">
        <f t="shared" si="191"/>
        <v>0</v>
      </c>
      <c r="AR343" s="48">
        <f t="shared" si="192"/>
        <v>0</v>
      </c>
      <c r="AS343" s="48">
        <f t="shared" si="193"/>
        <v>0</v>
      </c>
      <c r="AT343" s="48">
        <f t="shared" si="194"/>
        <v>0</v>
      </c>
      <c r="AU343" s="48">
        <f t="shared" si="195"/>
        <v>0</v>
      </c>
      <c r="AV343" s="48">
        <f t="shared" si="196"/>
        <v>0</v>
      </c>
      <c r="AW343" s="48">
        <f>IF(N343="ПП",РПП*AB343*(V343/1.5),IF(N343="ВП",ВПр*AB343*(V343/1.5),IF(N343="РПА",РПА*AB343*(V343/1.5),IF(N343="КПА",кпа*AB343*(V343/1.5),0))))</f>
        <v>0</v>
      </c>
      <c r="AX343" s="48">
        <f t="shared" si="197"/>
        <v>0</v>
      </c>
      <c r="AY343" s="48">
        <f t="shared" si="198"/>
        <v>0</v>
      </c>
      <c r="AZ343" s="48">
        <f t="shared" si="199"/>
        <v>0</v>
      </c>
      <c r="BA343" s="48">
        <f t="shared" si="200"/>
        <v>0</v>
      </c>
      <c r="BB343" s="48">
        <f t="shared" si="201"/>
        <v>0</v>
      </c>
      <c r="BC343" s="48">
        <f t="shared" si="202"/>
        <v>0</v>
      </c>
      <c r="BD343" s="48">
        <f t="shared" si="203"/>
        <v>0</v>
      </c>
      <c r="BE343" s="48">
        <f t="shared" si="204"/>
        <v>2</v>
      </c>
      <c r="BF343" s="49">
        <f t="shared" si="205"/>
        <v>2</v>
      </c>
      <c r="BG343" s="50"/>
      <c r="BH343" s="51">
        <f t="shared" si="206"/>
        <v>0</v>
      </c>
      <c r="BI343" s="51">
        <f t="shared" si="207"/>
        <v>0</v>
      </c>
      <c r="BJ343" s="51">
        <f t="shared" si="208"/>
        <v>0</v>
      </c>
      <c r="BK343" s="52">
        <f t="shared" si="209"/>
        <v>0</v>
      </c>
      <c r="BL343" s="52">
        <f t="shared" si="210"/>
        <v>0</v>
      </c>
      <c r="BM343" s="52">
        <f t="shared" si="211"/>
        <v>2</v>
      </c>
    </row>
    <row r="344" spans="1:65" ht="30" customHeight="1" x14ac:dyDescent="0.25">
      <c r="A344" s="31" t="str">
        <f t="shared" si="177"/>
        <v>Д</v>
      </c>
      <c r="B344" s="31" t="str">
        <f t="shared" si="178"/>
        <v>Б</v>
      </c>
      <c r="C344" s="32" t="s">
        <v>211</v>
      </c>
      <c r="D344" s="33" t="str">
        <f t="shared" si="179"/>
        <v>Факультет физико-математических и естественных наук</v>
      </c>
      <c r="E344" s="34" t="str">
        <f t="shared" si="180"/>
        <v>'02.03.02</v>
      </c>
      <c r="F344" s="35" t="str">
        <f t="shared" si="181"/>
        <v>Фундаментальная информатика и информационные технологии</v>
      </c>
      <c r="G344" s="36" t="s">
        <v>166</v>
      </c>
      <c r="H344" s="36" t="s">
        <v>77</v>
      </c>
      <c r="I344" s="37"/>
      <c r="J344" s="37"/>
      <c r="K344" s="38" t="s">
        <v>177</v>
      </c>
      <c r="L344" s="39">
        <v>8</v>
      </c>
      <c r="M344" s="39"/>
      <c r="N344" s="40" t="s">
        <v>181</v>
      </c>
      <c r="O344" s="39"/>
      <c r="P344" s="39"/>
      <c r="Q344" s="39"/>
      <c r="R344" s="40"/>
      <c r="S344" s="41"/>
      <c r="T344" s="41"/>
      <c r="U344" s="41"/>
      <c r="V344" s="41"/>
      <c r="W344" s="41"/>
      <c r="X344" s="42" t="str">
        <f t="shared" si="182"/>
        <v>НФИбд</v>
      </c>
      <c r="Y344" s="39" t="s">
        <v>216</v>
      </c>
      <c r="Z344" s="39">
        <v>4</v>
      </c>
      <c r="AA344" s="39">
        <v>2</v>
      </c>
      <c r="AB344" s="42">
        <f t="shared" si="183"/>
        <v>29</v>
      </c>
      <c r="AC344" s="120">
        <v>21</v>
      </c>
      <c r="AD344" s="58">
        <v>8</v>
      </c>
      <c r="AE344" s="44">
        <f t="shared" si="184"/>
        <v>1</v>
      </c>
      <c r="AF344" s="45">
        <f t="shared" si="185"/>
        <v>1</v>
      </c>
      <c r="AG344" s="45">
        <f t="shared" si="186"/>
        <v>29</v>
      </c>
      <c r="AH344" s="46" t="s">
        <v>82</v>
      </c>
      <c r="AI344" s="40" t="s">
        <v>83</v>
      </c>
      <c r="AJ344" s="40" t="s">
        <v>84</v>
      </c>
      <c r="AK344" s="47" t="s">
        <v>93</v>
      </c>
      <c r="AL344" s="40"/>
      <c r="AM344" s="48">
        <f t="shared" si="187"/>
        <v>0</v>
      </c>
      <c r="AN344" s="48">
        <f t="shared" si="188"/>
        <v>0</v>
      </c>
      <c r="AO344" s="48">
        <f t="shared" si="189"/>
        <v>0</v>
      </c>
      <c r="AP344" s="48">
        <f t="shared" si="190"/>
        <v>0</v>
      </c>
      <c r="AQ344" s="48">
        <f t="shared" si="191"/>
        <v>0</v>
      </c>
      <c r="AR344" s="48">
        <f t="shared" si="192"/>
        <v>0</v>
      </c>
      <c r="AS344" s="48">
        <f t="shared" si="193"/>
        <v>0</v>
      </c>
      <c r="AT344" s="48">
        <f t="shared" si="194"/>
        <v>0</v>
      </c>
      <c r="AU344" s="48">
        <f t="shared" si="195"/>
        <v>0</v>
      </c>
      <c r="AV344" s="48">
        <f t="shared" si="196"/>
        <v>0</v>
      </c>
      <c r="AW344" s="48">
        <f>IF(N344="ПП",РПП*AB344*(V344/1.5),IF(N344="ВП",ВПр*AB344*(V344/1.5),IF(N344="РПА",РПА*AB344*(V344/1.5),IF(N344="КПА",кпа*AB344*(V344/1.5),0))))</f>
        <v>0</v>
      </c>
      <c r="AX344" s="48">
        <f t="shared" si="197"/>
        <v>0</v>
      </c>
      <c r="AY344" s="48">
        <f t="shared" si="198"/>
        <v>0</v>
      </c>
      <c r="AZ344" s="48">
        <f t="shared" si="199"/>
        <v>0</v>
      </c>
      <c r="BA344" s="48">
        <f t="shared" si="200"/>
        <v>0</v>
      </c>
      <c r="BB344" s="48">
        <f t="shared" si="201"/>
        <v>0</v>
      </c>
      <c r="BC344" s="48">
        <f t="shared" si="202"/>
        <v>0</v>
      </c>
      <c r="BD344" s="48">
        <f t="shared" si="203"/>
        <v>0</v>
      </c>
      <c r="BE344" s="48">
        <f t="shared" si="204"/>
        <v>14.5</v>
      </c>
      <c r="BF344" s="49">
        <f t="shared" si="205"/>
        <v>14.5</v>
      </c>
      <c r="BG344" s="50"/>
      <c r="BH344" s="51">
        <f t="shared" si="206"/>
        <v>0</v>
      </c>
      <c r="BI344" s="51">
        <f t="shared" si="207"/>
        <v>0</v>
      </c>
      <c r="BJ344" s="51">
        <f t="shared" si="208"/>
        <v>0</v>
      </c>
      <c r="BK344" s="52">
        <f t="shared" si="209"/>
        <v>0</v>
      </c>
      <c r="BL344" s="52">
        <f t="shared" si="210"/>
        <v>0</v>
      </c>
      <c r="BM344" s="52">
        <f t="shared" si="211"/>
        <v>14.5</v>
      </c>
    </row>
    <row r="345" spans="1:65" ht="30" customHeight="1" x14ac:dyDescent="0.25">
      <c r="A345" s="31" t="str">
        <f t="shared" si="177"/>
        <v>Д</v>
      </c>
      <c r="B345" s="31" t="str">
        <f t="shared" si="178"/>
        <v>Б</v>
      </c>
      <c r="C345" s="32" t="s">
        <v>218</v>
      </c>
      <c r="D345" s="33" t="str">
        <f t="shared" si="179"/>
        <v>Факультет физико-математических и естественных наук</v>
      </c>
      <c r="E345" s="34" t="str">
        <f t="shared" si="180"/>
        <v>'03.03.02</v>
      </c>
      <c r="F345" s="35" t="str">
        <f t="shared" si="181"/>
        <v>Физика</v>
      </c>
      <c r="G345" s="36" t="s">
        <v>76</v>
      </c>
      <c r="H345" s="36" t="s">
        <v>77</v>
      </c>
      <c r="I345" s="37"/>
      <c r="J345" s="37"/>
      <c r="K345" s="38" t="s">
        <v>219</v>
      </c>
      <c r="L345" s="39">
        <v>2</v>
      </c>
      <c r="M345" s="39">
        <v>18</v>
      </c>
      <c r="N345" s="40" t="s">
        <v>94</v>
      </c>
      <c r="O345" s="39"/>
      <c r="P345" s="39">
        <v>3</v>
      </c>
      <c r="Q345" s="39"/>
      <c r="R345" s="40" t="s">
        <v>95</v>
      </c>
      <c r="S345" s="41"/>
      <c r="T345" s="41"/>
      <c r="U345" s="41"/>
      <c r="V345" s="41"/>
      <c r="W345" s="41"/>
      <c r="X345" s="42" t="str">
        <f t="shared" si="182"/>
        <v>НФЗбд</v>
      </c>
      <c r="Y345" s="43" t="s">
        <v>87</v>
      </c>
      <c r="Z345" s="39">
        <v>2</v>
      </c>
      <c r="AA345" s="39">
        <v>1</v>
      </c>
      <c r="AB345" s="42">
        <f t="shared" si="183"/>
        <v>35</v>
      </c>
      <c r="AC345" s="39">
        <v>32</v>
      </c>
      <c r="AD345" s="39">
        <v>3</v>
      </c>
      <c r="AE345" s="44">
        <f t="shared" si="184"/>
        <v>12</v>
      </c>
      <c r="AF345" s="45">
        <f t="shared" si="185"/>
        <v>1</v>
      </c>
      <c r="AG345" s="45">
        <f t="shared" si="186"/>
        <v>2.9166666666666665</v>
      </c>
      <c r="AH345" s="46" t="s">
        <v>82</v>
      </c>
      <c r="AI345" s="40" t="s">
        <v>112</v>
      </c>
      <c r="AJ345" s="40" t="s">
        <v>100</v>
      </c>
      <c r="AK345" s="47" t="s">
        <v>220</v>
      </c>
      <c r="AL345" s="40"/>
      <c r="AM345" s="48">
        <f t="shared" si="187"/>
        <v>0</v>
      </c>
      <c r="AN345" s="48">
        <f t="shared" si="188"/>
        <v>0</v>
      </c>
      <c r="AO345" s="48">
        <f t="shared" si="189"/>
        <v>54</v>
      </c>
      <c r="AP345" s="48">
        <f t="shared" si="190"/>
        <v>11.55</v>
      </c>
      <c r="AQ345" s="48">
        <f t="shared" si="191"/>
        <v>17.5</v>
      </c>
      <c r="AR345" s="48">
        <f t="shared" si="192"/>
        <v>1</v>
      </c>
      <c r="AS345" s="48">
        <f t="shared" si="193"/>
        <v>0</v>
      </c>
      <c r="AT345" s="48">
        <f t="shared" si="194"/>
        <v>0</v>
      </c>
      <c r="AU345" s="48">
        <f t="shared" si="195"/>
        <v>0</v>
      </c>
      <c r="AV345" s="48">
        <f t="shared" si="196"/>
        <v>0</v>
      </c>
      <c r="AW345" s="48">
        <f>IF(N345="ПП",РПП*AB345*(V345/1.5),IF(N345="ВП",ВПр*AB345*(V345/1.5),IF(N345="РПА",РПА*AB345*(V345/1.5),IF(N345="КПА",кпа*AB345*(V345/1.5),0))))</f>
        <v>0</v>
      </c>
      <c r="AX345" s="48">
        <f t="shared" si="197"/>
        <v>0</v>
      </c>
      <c r="AY345" s="48">
        <f t="shared" si="198"/>
        <v>0</v>
      </c>
      <c r="AZ345" s="48">
        <f t="shared" si="199"/>
        <v>0</v>
      </c>
      <c r="BA345" s="48">
        <f t="shared" si="200"/>
        <v>0</v>
      </c>
      <c r="BB345" s="48">
        <f t="shared" si="201"/>
        <v>0</v>
      </c>
      <c r="BC345" s="48">
        <f t="shared" si="202"/>
        <v>0</v>
      </c>
      <c r="BD345" s="48">
        <f t="shared" si="203"/>
        <v>0</v>
      </c>
      <c r="BE345" s="48">
        <f t="shared" si="204"/>
        <v>0</v>
      </c>
      <c r="BF345" s="49">
        <f t="shared" si="205"/>
        <v>84.05</v>
      </c>
      <c r="BG345" s="50"/>
      <c r="BH345" s="51">
        <f t="shared" si="206"/>
        <v>0</v>
      </c>
      <c r="BI345" s="51">
        <f t="shared" si="207"/>
        <v>0</v>
      </c>
      <c r="BJ345" s="51">
        <f t="shared" si="208"/>
        <v>0</v>
      </c>
      <c r="BK345" s="52">
        <f t="shared" si="209"/>
        <v>54</v>
      </c>
      <c r="BL345" s="52">
        <f t="shared" si="210"/>
        <v>1.5</v>
      </c>
      <c r="BM345" s="52">
        <f t="shared" si="211"/>
        <v>30.05</v>
      </c>
    </row>
    <row r="346" spans="1:65" ht="30" customHeight="1" x14ac:dyDescent="0.25">
      <c r="A346" s="31" t="str">
        <f t="shared" si="177"/>
        <v>Д</v>
      </c>
      <c r="B346" s="31" t="str">
        <f t="shared" si="178"/>
        <v>Б</v>
      </c>
      <c r="C346" s="32" t="s">
        <v>218</v>
      </c>
      <c r="D346" s="33" t="str">
        <f t="shared" si="179"/>
        <v>Факультет физико-математических и естественных наук</v>
      </c>
      <c r="E346" s="34" t="str">
        <f t="shared" si="180"/>
        <v>'03.03.02</v>
      </c>
      <c r="F346" s="35" t="str">
        <f t="shared" si="181"/>
        <v>Физика</v>
      </c>
      <c r="G346" s="36" t="s">
        <v>76</v>
      </c>
      <c r="H346" s="36" t="s">
        <v>77</v>
      </c>
      <c r="I346" s="37"/>
      <c r="J346" s="37"/>
      <c r="K346" s="38" t="s">
        <v>219</v>
      </c>
      <c r="L346" s="39">
        <v>2</v>
      </c>
      <c r="M346" s="39">
        <v>18</v>
      </c>
      <c r="N346" s="40" t="s">
        <v>94</v>
      </c>
      <c r="O346" s="39"/>
      <c r="P346" s="39">
        <v>3</v>
      </c>
      <c r="Q346" s="39"/>
      <c r="R346" s="40" t="s">
        <v>95</v>
      </c>
      <c r="S346" s="41"/>
      <c r="T346" s="41"/>
      <c r="U346" s="41"/>
      <c r="V346" s="41"/>
      <c r="W346" s="41"/>
      <c r="X346" s="42" t="str">
        <f t="shared" si="182"/>
        <v>НФЗбд</v>
      </c>
      <c r="Y346" s="43" t="s">
        <v>87</v>
      </c>
      <c r="Z346" s="39">
        <v>1</v>
      </c>
      <c r="AA346" s="39">
        <v>1</v>
      </c>
      <c r="AB346" s="42">
        <f t="shared" si="183"/>
        <v>0</v>
      </c>
      <c r="AC346" s="39"/>
      <c r="AD346" s="39"/>
      <c r="AE346" s="44">
        <f t="shared" si="184"/>
        <v>12</v>
      </c>
      <c r="AF346" s="45">
        <f t="shared" si="185"/>
        <v>0</v>
      </c>
      <c r="AG346" s="45">
        <f t="shared" si="186"/>
        <v>0</v>
      </c>
      <c r="AH346" s="46" t="s">
        <v>82</v>
      </c>
      <c r="AI346" s="40" t="s">
        <v>112</v>
      </c>
      <c r="AJ346" s="40" t="s">
        <v>100</v>
      </c>
      <c r="AK346" s="47" t="s">
        <v>220</v>
      </c>
      <c r="AL346" s="40"/>
      <c r="AM346" s="48">
        <f t="shared" si="187"/>
        <v>0</v>
      </c>
      <c r="AN346" s="48">
        <f t="shared" si="188"/>
        <v>0</v>
      </c>
      <c r="AO346" s="48">
        <f t="shared" si="189"/>
        <v>0</v>
      </c>
      <c r="AP346" s="48">
        <f t="shared" si="190"/>
        <v>0</v>
      </c>
      <c r="AQ346" s="48">
        <f t="shared" si="191"/>
        <v>0</v>
      </c>
      <c r="AR346" s="48">
        <f t="shared" si="192"/>
        <v>0</v>
      </c>
      <c r="AS346" s="48">
        <f t="shared" si="193"/>
        <v>0</v>
      </c>
      <c r="AT346" s="48">
        <f t="shared" si="194"/>
        <v>0</v>
      </c>
      <c r="AU346" s="48">
        <f t="shared" si="195"/>
        <v>0</v>
      </c>
      <c r="AV346" s="48">
        <f t="shared" si="196"/>
        <v>0</v>
      </c>
      <c r="AW346" s="48">
        <f>IF(N346="ПП",РПП*AB346*(V346/1.5),IF(N346="ВП",ВПр*AB346*(V346/1.5),IF(N346="РПА",РПА*AB346*(V346/1.5),IF(N346="КПА",кпа*AB346*(V346/1.5),0))))</f>
        <v>0</v>
      </c>
      <c r="AX346" s="48">
        <f t="shared" si="197"/>
        <v>0</v>
      </c>
      <c r="AY346" s="48">
        <f t="shared" si="198"/>
        <v>0</v>
      </c>
      <c r="AZ346" s="48">
        <f t="shared" si="199"/>
        <v>0</v>
      </c>
      <c r="BA346" s="48">
        <f t="shared" si="200"/>
        <v>0</v>
      </c>
      <c r="BB346" s="48">
        <f t="shared" si="201"/>
        <v>0</v>
      </c>
      <c r="BC346" s="48">
        <f t="shared" si="202"/>
        <v>0</v>
      </c>
      <c r="BD346" s="48">
        <f t="shared" si="203"/>
        <v>0</v>
      </c>
      <c r="BE346" s="48">
        <f t="shared" si="204"/>
        <v>0</v>
      </c>
      <c r="BF346" s="49">
        <f t="shared" si="205"/>
        <v>0</v>
      </c>
      <c r="BG346" s="50"/>
      <c r="BH346" s="51">
        <f t="shared" si="206"/>
        <v>0</v>
      </c>
      <c r="BI346" s="51">
        <f t="shared" si="207"/>
        <v>0</v>
      </c>
      <c r="BJ346" s="51">
        <f t="shared" si="208"/>
        <v>0</v>
      </c>
      <c r="BK346" s="52">
        <f t="shared" si="209"/>
        <v>0</v>
      </c>
      <c r="BL346" s="52">
        <f t="shared" si="210"/>
        <v>0</v>
      </c>
      <c r="BM346" s="52">
        <f t="shared" si="211"/>
        <v>0</v>
      </c>
    </row>
    <row r="347" spans="1:65" ht="30" customHeight="1" x14ac:dyDescent="0.25">
      <c r="A347" s="31" t="str">
        <f t="shared" si="177"/>
        <v>Д</v>
      </c>
      <c r="B347" s="31" t="str">
        <f t="shared" si="178"/>
        <v>Б</v>
      </c>
      <c r="C347" s="32" t="s">
        <v>221</v>
      </c>
      <c r="D347" s="33" t="str">
        <f t="shared" si="179"/>
        <v>Факультет физико-математических и естественных наук</v>
      </c>
      <c r="E347" s="34" t="str">
        <f t="shared" si="180"/>
        <v>'04.03.01</v>
      </c>
      <c r="F347" s="35" t="str">
        <f t="shared" si="181"/>
        <v>Химия</v>
      </c>
      <c r="G347" s="36" t="s">
        <v>76</v>
      </c>
      <c r="H347" s="36" t="s">
        <v>77</v>
      </c>
      <c r="I347" s="37"/>
      <c r="J347" s="37"/>
      <c r="K347" s="38" t="s">
        <v>222</v>
      </c>
      <c r="L347" s="39">
        <v>1</v>
      </c>
      <c r="M347" s="39">
        <v>18</v>
      </c>
      <c r="N347" s="40" t="s">
        <v>79</v>
      </c>
      <c r="O347" s="39">
        <v>1</v>
      </c>
      <c r="P347" s="39"/>
      <c r="Q347" s="39"/>
      <c r="R347" s="40"/>
      <c r="S347" s="41"/>
      <c r="T347" s="41"/>
      <c r="U347" s="41"/>
      <c r="V347" s="41"/>
      <c r="W347" s="41"/>
      <c r="X347" s="42" t="str">
        <f t="shared" si="182"/>
        <v>НХМбд</v>
      </c>
      <c r="Y347" s="43" t="s">
        <v>223</v>
      </c>
      <c r="Z347" s="39">
        <v>6</v>
      </c>
      <c r="AA347" s="39">
        <v>3</v>
      </c>
      <c r="AB347" s="42">
        <f t="shared" si="183"/>
        <v>68</v>
      </c>
      <c r="AC347" s="39">
        <v>60</v>
      </c>
      <c r="AD347" s="39">
        <v>8</v>
      </c>
      <c r="AE347" s="44">
        <f t="shared" si="184"/>
        <v>68</v>
      </c>
      <c r="AF347" s="45">
        <f t="shared" si="185"/>
        <v>1</v>
      </c>
      <c r="AG347" s="45">
        <f t="shared" si="186"/>
        <v>1</v>
      </c>
      <c r="AH347" s="46" t="s">
        <v>82</v>
      </c>
      <c r="AI347" s="40" t="s">
        <v>112</v>
      </c>
      <c r="AJ347" s="40" t="s">
        <v>84</v>
      </c>
      <c r="AK347" s="47" t="s">
        <v>113</v>
      </c>
      <c r="AL347" s="40"/>
      <c r="AM347" s="48">
        <f t="shared" si="187"/>
        <v>18</v>
      </c>
      <c r="AN347" s="48">
        <f t="shared" si="188"/>
        <v>0</v>
      </c>
      <c r="AO347" s="48">
        <f t="shared" si="189"/>
        <v>0</v>
      </c>
      <c r="AP347" s="48">
        <f t="shared" si="190"/>
        <v>0</v>
      </c>
      <c r="AQ347" s="48">
        <f t="shared" si="191"/>
        <v>0</v>
      </c>
      <c r="AR347" s="48">
        <f t="shared" si="192"/>
        <v>0</v>
      </c>
      <c r="AS347" s="48">
        <f t="shared" si="193"/>
        <v>2.7</v>
      </c>
      <c r="AT347" s="48">
        <f t="shared" si="194"/>
        <v>0</v>
      </c>
      <c r="AU347" s="48">
        <f t="shared" si="195"/>
        <v>0</v>
      </c>
      <c r="AV347" s="48">
        <f t="shared" si="196"/>
        <v>0</v>
      </c>
      <c r="AW347" s="48">
        <f>IF(N347="ПП",РПП*AB347*(V347/1.5),IF(N347="ВП",ВПр*AB347*(V347/1.5),IF(N347="РПА",РПА*AB347*(V347/1.5),IF(N347="КПА",кпа*AB347*(V347/1.5),0))))</f>
        <v>0</v>
      </c>
      <c r="AX347" s="48">
        <f t="shared" si="197"/>
        <v>0</v>
      </c>
      <c r="AY347" s="48">
        <f t="shared" si="198"/>
        <v>0</v>
      </c>
      <c r="AZ347" s="48">
        <f t="shared" si="199"/>
        <v>0</v>
      </c>
      <c r="BA347" s="48">
        <f t="shared" si="200"/>
        <v>0</v>
      </c>
      <c r="BB347" s="48">
        <f t="shared" si="201"/>
        <v>0</v>
      </c>
      <c r="BC347" s="48">
        <f t="shared" si="202"/>
        <v>0</v>
      </c>
      <c r="BD347" s="48">
        <f t="shared" si="203"/>
        <v>0</v>
      </c>
      <c r="BE347" s="48">
        <f t="shared" si="204"/>
        <v>0</v>
      </c>
      <c r="BF347" s="49">
        <f t="shared" si="205"/>
        <v>20.7</v>
      </c>
      <c r="BG347" s="50"/>
      <c r="BH347" s="51">
        <f t="shared" si="206"/>
        <v>18</v>
      </c>
      <c r="BI347" s="51">
        <f t="shared" si="207"/>
        <v>0.5</v>
      </c>
      <c r="BJ347" s="51">
        <f t="shared" si="208"/>
        <v>2.7</v>
      </c>
      <c r="BK347" s="52">
        <f t="shared" si="209"/>
        <v>0</v>
      </c>
      <c r="BL347" s="52">
        <f t="shared" si="210"/>
        <v>0</v>
      </c>
      <c r="BM347" s="52">
        <f t="shared" si="211"/>
        <v>0</v>
      </c>
    </row>
    <row r="348" spans="1:65" ht="30" customHeight="1" x14ac:dyDescent="0.25">
      <c r="A348" s="31" t="str">
        <f t="shared" si="177"/>
        <v>Д</v>
      </c>
      <c r="B348" s="31" t="str">
        <f t="shared" si="178"/>
        <v>Б</v>
      </c>
      <c r="C348" s="32" t="s">
        <v>221</v>
      </c>
      <c r="D348" s="33" t="str">
        <f t="shared" si="179"/>
        <v>Факультет физико-математических и естественных наук</v>
      </c>
      <c r="E348" s="34" t="str">
        <f t="shared" si="180"/>
        <v>'04.03.01</v>
      </c>
      <c r="F348" s="35" t="str">
        <f t="shared" si="181"/>
        <v>Химия</v>
      </c>
      <c r="G348" s="36" t="s">
        <v>76</v>
      </c>
      <c r="H348" s="36" t="s">
        <v>77</v>
      </c>
      <c r="I348" s="37"/>
      <c r="J348" s="37"/>
      <c r="K348" s="38" t="s">
        <v>222</v>
      </c>
      <c r="L348" s="39">
        <v>1</v>
      </c>
      <c r="M348" s="39">
        <v>18</v>
      </c>
      <c r="N348" s="40" t="s">
        <v>86</v>
      </c>
      <c r="O348" s="39"/>
      <c r="P348" s="39"/>
      <c r="Q348" s="39">
        <v>1</v>
      </c>
      <c r="R348" s="40" t="s">
        <v>95</v>
      </c>
      <c r="S348" s="41"/>
      <c r="T348" s="41"/>
      <c r="U348" s="41"/>
      <c r="V348" s="41"/>
      <c r="W348" s="41"/>
      <c r="X348" s="42" t="str">
        <f t="shared" si="182"/>
        <v>НХМбд</v>
      </c>
      <c r="Y348" s="43" t="s">
        <v>87</v>
      </c>
      <c r="Z348" s="39">
        <v>2</v>
      </c>
      <c r="AA348" s="39">
        <v>1</v>
      </c>
      <c r="AB348" s="42">
        <f t="shared" si="183"/>
        <v>23</v>
      </c>
      <c r="AC348" s="39">
        <v>20</v>
      </c>
      <c r="AD348" s="39">
        <v>3</v>
      </c>
      <c r="AE348" s="44">
        <f t="shared" si="184"/>
        <v>24</v>
      </c>
      <c r="AF348" s="45">
        <f t="shared" si="185"/>
        <v>0.95833333333333337</v>
      </c>
      <c r="AG348" s="45">
        <f t="shared" si="186"/>
        <v>0.95833333333333337</v>
      </c>
      <c r="AH348" s="46" t="s">
        <v>82</v>
      </c>
      <c r="AI348" s="40" t="s">
        <v>112</v>
      </c>
      <c r="AJ348" s="40" t="s">
        <v>84</v>
      </c>
      <c r="AK348" s="47" t="s">
        <v>113</v>
      </c>
      <c r="AL348" s="40"/>
      <c r="AM348" s="48">
        <f t="shared" si="187"/>
        <v>0</v>
      </c>
      <c r="AN348" s="48">
        <f t="shared" si="188"/>
        <v>17.25</v>
      </c>
      <c r="AO348" s="48">
        <f t="shared" si="189"/>
        <v>0</v>
      </c>
      <c r="AP348" s="48">
        <f t="shared" si="190"/>
        <v>7.5900000000000007</v>
      </c>
      <c r="AQ348" s="48">
        <f t="shared" si="191"/>
        <v>11.5</v>
      </c>
      <c r="AR348" s="48">
        <f t="shared" si="192"/>
        <v>0.95833333333333337</v>
      </c>
      <c r="AS348" s="48">
        <f t="shared" si="193"/>
        <v>0</v>
      </c>
      <c r="AT348" s="48">
        <f t="shared" si="194"/>
        <v>0</v>
      </c>
      <c r="AU348" s="48">
        <f t="shared" si="195"/>
        <v>0</v>
      </c>
      <c r="AV348" s="48">
        <f t="shared" si="196"/>
        <v>0</v>
      </c>
      <c r="AW348" s="48">
        <f>IF(N348="ПП",РПП*AB348*(V348/1.5),IF(N348="ВП",ВПр*AB348*(V348/1.5),IF(N348="РПА",РПА*AB348*(V348/1.5),IF(N348="КПА",кпа*AB348*(V348/1.5),0))))</f>
        <v>0</v>
      </c>
      <c r="AX348" s="48">
        <f t="shared" si="197"/>
        <v>0</v>
      </c>
      <c r="AY348" s="48">
        <f t="shared" si="198"/>
        <v>0</v>
      </c>
      <c r="AZ348" s="48">
        <f t="shared" si="199"/>
        <v>0</v>
      </c>
      <c r="BA348" s="48">
        <f t="shared" si="200"/>
        <v>0</v>
      </c>
      <c r="BB348" s="48">
        <f t="shared" si="201"/>
        <v>0</v>
      </c>
      <c r="BC348" s="48">
        <f t="shared" si="202"/>
        <v>0</v>
      </c>
      <c r="BD348" s="48">
        <f t="shared" si="203"/>
        <v>0</v>
      </c>
      <c r="BE348" s="48">
        <f t="shared" si="204"/>
        <v>0</v>
      </c>
      <c r="BF348" s="49">
        <f t="shared" si="205"/>
        <v>37.298333333333339</v>
      </c>
      <c r="BG348" s="50"/>
      <c r="BH348" s="51">
        <f t="shared" si="206"/>
        <v>17.25</v>
      </c>
      <c r="BI348" s="51">
        <f t="shared" si="207"/>
        <v>0.5</v>
      </c>
      <c r="BJ348" s="51">
        <f t="shared" si="208"/>
        <v>20.048333333333332</v>
      </c>
      <c r="BK348" s="52">
        <f t="shared" si="209"/>
        <v>0</v>
      </c>
      <c r="BL348" s="52">
        <f t="shared" si="210"/>
        <v>0</v>
      </c>
      <c r="BM348" s="52">
        <f t="shared" si="211"/>
        <v>0</v>
      </c>
    </row>
    <row r="349" spans="1:65" ht="30" customHeight="1" x14ac:dyDescent="0.25">
      <c r="A349" s="31" t="str">
        <f t="shared" si="177"/>
        <v>Д</v>
      </c>
      <c r="B349" s="31" t="str">
        <f t="shared" si="178"/>
        <v>Б</v>
      </c>
      <c r="C349" s="32" t="s">
        <v>221</v>
      </c>
      <c r="D349" s="33" t="str">
        <f t="shared" si="179"/>
        <v>Факультет физико-математических и естественных наук</v>
      </c>
      <c r="E349" s="34" t="str">
        <f t="shared" si="180"/>
        <v>'04.03.01</v>
      </c>
      <c r="F349" s="35" t="str">
        <f t="shared" si="181"/>
        <v>Химия</v>
      </c>
      <c r="G349" s="36" t="s">
        <v>76</v>
      </c>
      <c r="H349" s="36" t="s">
        <v>77</v>
      </c>
      <c r="I349" s="37"/>
      <c r="J349" s="37"/>
      <c r="K349" s="38" t="s">
        <v>222</v>
      </c>
      <c r="L349" s="39">
        <v>1</v>
      </c>
      <c r="M349" s="39">
        <v>18</v>
      </c>
      <c r="N349" s="40" t="s">
        <v>86</v>
      </c>
      <c r="O349" s="39"/>
      <c r="P349" s="39"/>
      <c r="Q349" s="39">
        <v>1</v>
      </c>
      <c r="R349" s="40" t="s">
        <v>95</v>
      </c>
      <c r="S349" s="41"/>
      <c r="T349" s="41"/>
      <c r="U349" s="41"/>
      <c r="V349" s="41"/>
      <c r="W349" s="41"/>
      <c r="X349" s="42" t="str">
        <f t="shared" si="182"/>
        <v>НХМбд</v>
      </c>
      <c r="Y349" s="43" t="s">
        <v>87</v>
      </c>
      <c r="Z349" s="39">
        <v>2</v>
      </c>
      <c r="AA349" s="39">
        <v>1</v>
      </c>
      <c r="AB349" s="42">
        <f t="shared" si="183"/>
        <v>23</v>
      </c>
      <c r="AC349" s="39">
        <v>20</v>
      </c>
      <c r="AD349" s="39">
        <v>3</v>
      </c>
      <c r="AE349" s="44">
        <f t="shared" si="184"/>
        <v>24</v>
      </c>
      <c r="AF349" s="45">
        <f t="shared" si="185"/>
        <v>0.95833333333333337</v>
      </c>
      <c r="AG349" s="45">
        <f t="shared" si="186"/>
        <v>0.95833333333333337</v>
      </c>
      <c r="AH349" s="46" t="s">
        <v>82</v>
      </c>
      <c r="AI349" s="40" t="s">
        <v>112</v>
      </c>
      <c r="AJ349" s="40" t="s">
        <v>84</v>
      </c>
      <c r="AK349" s="47" t="s">
        <v>113</v>
      </c>
      <c r="AL349" s="40"/>
      <c r="AM349" s="48">
        <f t="shared" si="187"/>
        <v>0</v>
      </c>
      <c r="AN349" s="48">
        <f t="shared" si="188"/>
        <v>17.25</v>
      </c>
      <c r="AO349" s="48">
        <f t="shared" si="189"/>
        <v>0</v>
      </c>
      <c r="AP349" s="48">
        <f t="shared" si="190"/>
        <v>7.5900000000000007</v>
      </c>
      <c r="AQ349" s="48">
        <f t="shared" si="191"/>
        <v>11.5</v>
      </c>
      <c r="AR349" s="48">
        <f t="shared" si="192"/>
        <v>0.95833333333333337</v>
      </c>
      <c r="AS349" s="48">
        <f t="shared" si="193"/>
        <v>0</v>
      </c>
      <c r="AT349" s="48">
        <f t="shared" si="194"/>
        <v>0</v>
      </c>
      <c r="AU349" s="48">
        <f t="shared" si="195"/>
        <v>0</v>
      </c>
      <c r="AV349" s="48">
        <f t="shared" si="196"/>
        <v>0</v>
      </c>
      <c r="AW349" s="48">
        <f>IF(N349="ПП",РПП*AB349*(V349/1.5),IF(N349="ВП",ВПр*AB349*(V349/1.5),IF(N349="РПА",РПА*AB349*(V349/1.5),IF(N349="КПА",кпа*AB349*(V349/1.5),0))))</f>
        <v>0</v>
      </c>
      <c r="AX349" s="48">
        <f t="shared" si="197"/>
        <v>0</v>
      </c>
      <c r="AY349" s="48">
        <f t="shared" si="198"/>
        <v>0</v>
      </c>
      <c r="AZ349" s="48">
        <f t="shared" si="199"/>
        <v>0</v>
      </c>
      <c r="BA349" s="48">
        <f t="shared" si="200"/>
        <v>0</v>
      </c>
      <c r="BB349" s="48">
        <f t="shared" si="201"/>
        <v>0</v>
      </c>
      <c r="BC349" s="48">
        <f t="shared" si="202"/>
        <v>0</v>
      </c>
      <c r="BD349" s="48">
        <f t="shared" si="203"/>
        <v>0</v>
      </c>
      <c r="BE349" s="48">
        <f t="shared" si="204"/>
        <v>0</v>
      </c>
      <c r="BF349" s="49">
        <f t="shared" si="205"/>
        <v>37.298333333333339</v>
      </c>
      <c r="BG349" s="50"/>
      <c r="BH349" s="51">
        <f t="shared" si="206"/>
        <v>17.25</v>
      </c>
      <c r="BI349" s="51">
        <f t="shared" si="207"/>
        <v>0.5</v>
      </c>
      <c r="BJ349" s="51">
        <f t="shared" si="208"/>
        <v>20.048333333333332</v>
      </c>
      <c r="BK349" s="52">
        <f t="shared" si="209"/>
        <v>0</v>
      </c>
      <c r="BL349" s="52">
        <f t="shared" si="210"/>
        <v>0</v>
      </c>
      <c r="BM349" s="52">
        <f t="shared" si="211"/>
        <v>0</v>
      </c>
    </row>
    <row r="350" spans="1:65" ht="30" customHeight="1" x14ac:dyDescent="0.25">
      <c r="A350" s="31" t="str">
        <f t="shared" si="177"/>
        <v>Д</v>
      </c>
      <c r="B350" s="31" t="str">
        <f t="shared" si="178"/>
        <v>Б</v>
      </c>
      <c r="C350" s="32" t="s">
        <v>221</v>
      </c>
      <c r="D350" s="33" t="str">
        <f t="shared" si="179"/>
        <v>Факультет физико-математических и естественных наук</v>
      </c>
      <c r="E350" s="34" t="str">
        <f t="shared" si="180"/>
        <v>'04.03.01</v>
      </c>
      <c r="F350" s="35" t="str">
        <f t="shared" si="181"/>
        <v>Химия</v>
      </c>
      <c r="G350" s="36" t="s">
        <v>76</v>
      </c>
      <c r="H350" s="36" t="s">
        <v>77</v>
      </c>
      <c r="I350" s="37"/>
      <c r="J350" s="37"/>
      <c r="K350" s="38" t="s">
        <v>222</v>
      </c>
      <c r="L350" s="39">
        <v>1</v>
      </c>
      <c r="M350" s="39">
        <v>18</v>
      </c>
      <c r="N350" s="40" t="s">
        <v>86</v>
      </c>
      <c r="O350" s="39"/>
      <c r="P350" s="39"/>
      <c r="Q350" s="39">
        <v>1</v>
      </c>
      <c r="R350" s="40" t="s">
        <v>95</v>
      </c>
      <c r="S350" s="41"/>
      <c r="T350" s="41"/>
      <c r="U350" s="41"/>
      <c r="V350" s="41"/>
      <c r="W350" s="41"/>
      <c r="X350" s="42" t="str">
        <f t="shared" si="182"/>
        <v>НХМбд</v>
      </c>
      <c r="Y350" s="43" t="s">
        <v>88</v>
      </c>
      <c r="Z350" s="39">
        <v>2</v>
      </c>
      <c r="AA350" s="39">
        <v>1</v>
      </c>
      <c r="AB350" s="42">
        <f t="shared" si="183"/>
        <v>22</v>
      </c>
      <c r="AC350" s="39">
        <v>20</v>
      </c>
      <c r="AD350" s="39">
        <v>2</v>
      </c>
      <c r="AE350" s="44">
        <f t="shared" si="184"/>
        <v>24</v>
      </c>
      <c r="AF350" s="45">
        <f t="shared" si="185"/>
        <v>0.91666666666666663</v>
      </c>
      <c r="AG350" s="45">
        <f t="shared" si="186"/>
        <v>0.91666666666666663</v>
      </c>
      <c r="AH350" s="46" t="s">
        <v>82</v>
      </c>
      <c r="AI350" s="40" t="s">
        <v>112</v>
      </c>
      <c r="AJ350" s="40" t="s">
        <v>84</v>
      </c>
      <c r="AK350" s="47" t="s">
        <v>113</v>
      </c>
      <c r="AL350" s="40"/>
      <c r="AM350" s="48">
        <f t="shared" si="187"/>
        <v>0</v>
      </c>
      <c r="AN350" s="48">
        <f t="shared" si="188"/>
        <v>16.5</v>
      </c>
      <c r="AO350" s="48">
        <f t="shared" si="189"/>
        <v>0</v>
      </c>
      <c r="AP350" s="48">
        <f t="shared" si="190"/>
        <v>7.2600000000000007</v>
      </c>
      <c r="AQ350" s="48">
        <f t="shared" si="191"/>
        <v>11</v>
      </c>
      <c r="AR350" s="48">
        <f t="shared" si="192"/>
        <v>0.91666666666666663</v>
      </c>
      <c r="AS350" s="48">
        <f t="shared" si="193"/>
        <v>0</v>
      </c>
      <c r="AT350" s="48">
        <f t="shared" si="194"/>
        <v>0</v>
      </c>
      <c r="AU350" s="48">
        <f t="shared" si="195"/>
        <v>0</v>
      </c>
      <c r="AV350" s="48">
        <f t="shared" si="196"/>
        <v>0</v>
      </c>
      <c r="AW350" s="48">
        <f>IF(N350="ПП",РПП*AB350*(V350/1.5),IF(N350="ВП",ВПр*AB350*(V350/1.5),IF(N350="РПА",РПА*AB350*(V350/1.5),IF(N350="КПА",кпа*AB350*(V350/1.5),0))))</f>
        <v>0</v>
      </c>
      <c r="AX350" s="48">
        <f t="shared" si="197"/>
        <v>0</v>
      </c>
      <c r="AY350" s="48">
        <f t="shared" si="198"/>
        <v>0</v>
      </c>
      <c r="AZ350" s="48">
        <f t="shared" si="199"/>
        <v>0</v>
      </c>
      <c r="BA350" s="48">
        <f t="shared" si="200"/>
        <v>0</v>
      </c>
      <c r="BB350" s="48">
        <f t="shared" si="201"/>
        <v>0</v>
      </c>
      <c r="BC350" s="48">
        <f t="shared" si="202"/>
        <v>0</v>
      </c>
      <c r="BD350" s="48">
        <f t="shared" si="203"/>
        <v>0</v>
      </c>
      <c r="BE350" s="48">
        <f t="shared" si="204"/>
        <v>0</v>
      </c>
      <c r="BF350" s="49">
        <f t="shared" si="205"/>
        <v>35.676666666666669</v>
      </c>
      <c r="BG350" s="50"/>
      <c r="BH350" s="51">
        <f t="shared" si="206"/>
        <v>16.5</v>
      </c>
      <c r="BI350" s="51">
        <f t="shared" si="207"/>
        <v>0.5</v>
      </c>
      <c r="BJ350" s="51">
        <f t="shared" si="208"/>
        <v>19.176666666666669</v>
      </c>
      <c r="BK350" s="52">
        <f t="shared" si="209"/>
        <v>0</v>
      </c>
      <c r="BL350" s="52">
        <f t="shared" si="210"/>
        <v>0</v>
      </c>
      <c r="BM350" s="52">
        <f t="shared" si="211"/>
        <v>0</v>
      </c>
    </row>
    <row r="351" spans="1:65" ht="30" customHeight="1" x14ac:dyDescent="0.25">
      <c r="A351" s="31" t="str">
        <f t="shared" si="177"/>
        <v>Д</v>
      </c>
      <c r="B351" s="31" t="str">
        <f t="shared" si="178"/>
        <v>Б</v>
      </c>
      <c r="C351" s="32" t="s">
        <v>221</v>
      </c>
      <c r="D351" s="33" t="str">
        <f t="shared" si="179"/>
        <v>Факультет физико-математических и естественных наук</v>
      </c>
      <c r="E351" s="34" t="str">
        <f t="shared" si="180"/>
        <v>'04.03.01</v>
      </c>
      <c r="F351" s="35" t="str">
        <f t="shared" si="181"/>
        <v>Химия</v>
      </c>
      <c r="G351" s="36" t="s">
        <v>76</v>
      </c>
      <c r="H351" s="36" t="s">
        <v>77</v>
      </c>
      <c r="I351" s="37"/>
      <c r="J351" s="37"/>
      <c r="K351" s="38" t="s">
        <v>222</v>
      </c>
      <c r="L351" s="39">
        <v>2</v>
      </c>
      <c r="M351" s="39">
        <v>18</v>
      </c>
      <c r="N351" s="40" t="s">
        <v>79</v>
      </c>
      <c r="O351" s="39">
        <v>1</v>
      </c>
      <c r="P351" s="39"/>
      <c r="Q351" s="39"/>
      <c r="R351" s="40"/>
      <c r="S351" s="41"/>
      <c r="T351" s="41"/>
      <c r="U351" s="41"/>
      <c r="V351" s="41"/>
      <c r="W351" s="41"/>
      <c r="X351" s="42" t="str">
        <f t="shared" si="182"/>
        <v>НХМбд</v>
      </c>
      <c r="Y351" s="43" t="s">
        <v>223</v>
      </c>
      <c r="Z351" s="39">
        <v>6</v>
      </c>
      <c r="AA351" s="39">
        <v>3</v>
      </c>
      <c r="AB351" s="42">
        <f t="shared" si="183"/>
        <v>68</v>
      </c>
      <c r="AC351" s="39">
        <v>60</v>
      </c>
      <c r="AD351" s="39">
        <v>8</v>
      </c>
      <c r="AE351" s="44">
        <f t="shared" si="184"/>
        <v>68</v>
      </c>
      <c r="AF351" s="45">
        <f t="shared" si="185"/>
        <v>1</v>
      </c>
      <c r="AG351" s="45">
        <f t="shared" si="186"/>
        <v>1</v>
      </c>
      <c r="AH351" s="46" t="s">
        <v>82</v>
      </c>
      <c r="AI351" s="40" t="s">
        <v>112</v>
      </c>
      <c r="AJ351" s="40" t="s">
        <v>84</v>
      </c>
      <c r="AK351" s="47" t="s">
        <v>113</v>
      </c>
      <c r="AL351" s="40"/>
      <c r="AM351" s="48">
        <f t="shared" si="187"/>
        <v>18</v>
      </c>
      <c r="AN351" s="48">
        <f t="shared" si="188"/>
        <v>0</v>
      </c>
      <c r="AO351" s="48">
        <f t="shared" si="189"/>
        <v>0</v>
      </c>
      <c r="AP351" s="48">
        <f t="shared" si="190"/>
        <v>0</v>
      </c>
      <c r="AQ351" s="48">
        <f t="shared" si="191"/>
        <v>0</v>
      </c>
      <c r="AR351" s="48">
        <f t="shared" si="192"/>
        <v>0</v>
      </c>
      <c r="AS351" s="48">
        <f t="shared" si="193"/>
        <v>2.7</v>
      </c>
      <c r="AT351" s="48">
        <f t="shared" si="194"/>
        <v>0</v>
      </c>
      <c r="AU351" s="48">
        <f t="shared" si="195"/>
        <v>0</v>
      </c>
      <c r="AV351" s="48">
        <f t="shared" si="196"/>
        <v>0</v>
      </c>
      <c r="AW351" s="48">
        <f>IF(N351="ПП",РПП*AB351*(V351/1.5),IF(N351="ВП",ВПр*AB351*(V351/1.5),IF(N351="РПА",РПА*AB351*(V351/1.5),IF(N351="КПА",кпа*AB351*(V351/1.5),0))))</f>
        <v>0</v>
      </c>
      <c r="AX351" s="48">
        <f t="shared" si="197"/>
        <v>0</v>
      </c>
      <c r="AY351" s="48">
        <f t="shared" si="198"/>
        <v>0</v>
      </c>
      <c r="AZ351" s="48">
        <f t="shared" si="199"/>
        <v>0</v>
      </c>
      <c r="BA351" s="48">
        <f t="shared" si="200"/>
        <v>0</v>
      </c>
      <c r="BB351" s="48">
        <f t="shared" si="201"/>
        <v>0</v>
      </c>
      <c r="BC351" s="48">
        <f t="shared" si="202"/>
        <v>0</v>
      </c>
      <c r="BD351" s="48">
        <f t="shared" si="203"/>
        <v>0</v>
      </c>
      <c r="BE351" s="48">
        <f t="shared" si="204"/>
        <v>0</v>
      </c>
      <c r="BF351" s="49">
        <f t="shared" si="205"/>
        <v>20.7</v>
      </c>
      <c r="BG351" s="50"/>
      <c r="BH351" s="51">
        <f t="shared" si="206"/>
        <v>0</v>
      </c>
      <c r="BI351" s="51">
        <f t="shared" si="207"/>
        <v>0</v>
      </c>
      <c r="BJ351" s="51">
        <f t="shared" si="208"/>
        <v>0</v>
      </c>
      <c r="BK351" s="52">
        <f t="shared" si="209"/>
        <v>18</v>
      </c>
      <c r="BL351" s="52">
        <f t="shared" si="210"/>
        <v>0.5</v>
      </c>
      <c r="BM351" s="52">
        <f t="shared" si="211"/>
        <v>2.7</v>
      </c>
    </row>
    <row r="352" spans="1:65" ht="30" customHeight="1" x14ac:dyDescent="0.25">
      <c r="A352" s="31" t="str">
        <f t="shared" si="177"/>
        <v>Д</v>
      </c>
      <c r="B352" s="31" t="str">
        <f t="shared" si="178"/>
        <v>Б</v>
      </c>
      <c r="C352" s="32" t="s">
        <v>221</v>
      </c>
      <c r="D352" s="33" t="str">
        <f t="shared" si="179"/>
        <v>Факультет физико-математических и естественных наук</v>
      </c>
      <c r="E352" s="34" t="str">
        <f t="shared" si="180"/>
        <v>'04.03.01</v>
      </c>
      <c r="F352" s="35" t="str">
        <f t="shared" si="181"/>
        <v>Химия</v>
      </c>
      <c r="G352" s="36" t="s">
        <v>76</v>
      </c>
      <c r="H352" s="36" t="s">
        <v>77</v>
      </c>
      <c r="I352" s="37"/>
      <c r="J352" s="37"/>
      <c r="K352" s="38" t="s">
        <v>222</v>
      </c>
      <c r="L352" s="39">
        <v>2</v>
      </c>
      <c r="M352" s="39">
        <v>18</v>
      </c>
      <c r="N352" s="40" t="s">
        <v>86</v>
      </c>
      <c r="O352" s="39"/>
      <c r="P352" s="39"/>
      <c r="Q352" s="39">
        <v>1</v>
      </c>
      <c r="R352" s="40" t="s">
        <v>95</v>
      </c>
      <c r="S352" s="41"/>
      <c r="T352" s="41"/>
      <c r="U352" s="41"/>
      <c r="V352" s="41"/>
      <c r="W352" s="41"/>
      <c r="X352" s="42" t="str">
        <f t="shared" si="182"/>
        <v>НХМбд</v>
      </c>
      <c r="Y352" s="43" t="s">
        <v>87</v>
      </c>
      <c r="Z352" s="39">
        <v>2</v>
      </c>
      <c r="AA352" s="39">
        <v>1</v>
      </c>
      <c r="AB352" s="42">
        <f t="shared" si="183"/>
        <v>23</v>
      </c>
      <c r="AC352" s="39">
        <v>20</v>
      </c>
      <c r="AD352" s="39">
        <v>3</v>
      </c>
      <c r="AE352" s="44">
        <f t="shared" si="184"/>
        <v>24</v>
      </c>
      <c r="AF352" s="45">
        <f t="shared" si="185"/>
        <v>0.95833333333333337</v>
      </c>
      <c r="AG352" s="45">
        <f t="shared" si="186"/>
        <v>0.95833333333333337</v>
      </c>
      <c r="AH352" s="46" t="s">
        <v>82</v>
      </c>
      <c r="AI352" s="40" t="s">
        <v>112</v>
      </c>
      <c r="AJ352" s="40" t="s">
        <v>84</v>
      </c>
      <c r="AK352" s="47" t="s">
        <v>113</v>
      </c>
      <c r="AL352" s="40"/>
      <c r="AM352" s="48">
        <f t="shared" si="187"/>
        <v>0</v>
      </c>
      <c r="AN352" s="48">
        <f t="shared" si="188"/>
        <v>17.25</v>
      </c>
      <c r="AO352" s="48">
        <f t="shared" si="189"/>
        <v>0</v>
      </c>
      <c r="AP352" s="48">
        <f t="shared" si="190"/>
        <v>7.5900000000000007</v>
      </c>
      <c r="AQ352" s="48">
        <f t="shared" si="191"/>
        <v>11.5</v>
      </c>
      <c r="AR352" s="48">
        <f t="shared" si="192"/>
        <v>0.95833333333333337</v>
      </c>
      <c r="AS352" s="48">
        <f t="shared" si="193"/>
        <v>0</v>
      </c>
      <c r="AT352" s="48">
        <f t="shared" si="194"/>
        <v>0</v>
      </c>
      <c r="AU352" s="48">
        <f t="shared" si="195"/>
        <v>0</v>
      </c>
      <c r="AV352" s="48">
        <f t="shared" si="196"/>
        <v>0</v>
      </c>
      <c r="AW352" s="48">
        <f>IF(N352="ПП",РПП*AB352*(V352/1.5),IF(N352="ВП",ВПр*AB352*(V352/1.5),IF(N352="РПА",РПА*AB352*(V352/1.5),IF(N352="КПА",кпа*AB352*(V352/1.5),0))))</f>
        <v>0</v>
      </c>
      <c r="AX352" s="48">
        <f t="shared" si="197"/>
        <v>0</v>
      </c>
      <c r="AY352" s="48">
        <f t="shared" si="198"/>
        <v>0</v>
      </c>
      <c r="AZ352" s="48">
        <f t="shared" si="199"/>
        <v>0</v>
      </c>
      <c r="BA352" s="48">
        <f t="shared" si="200"/>
        <v>0</v>
      </c>
      <c r="BB352" s="48">
        <f t="shared" si="201"/>
        <v>0</v>
      </c>
      <c r="BC352" s="48">
        <f t="shared" si="202"/>
        <v>0</v>
      </c>
      <c r="BD352" s="48">
        <f t="shared" si="203"/>
        <v>0</v>
      </c>
      <c r="BE352" s="48">
        <f t="shared" si="204"/>
        <v>0</v>
      </c>
      <c r="BF352" s="49">
        <f t="shared" si="205"/>
        <v>37.298333333333339</v>
      </c>
      <c r="BG352" s="50"/>
      <c r="BH352" s="51">
        <f t="shared" si="206"/>
        <v>0</v>
      </c>
      <c r="BI352" s="51">
        <f t="shared" si="207"/>
        <v>0</v>
      </c>
      <c r="BJ352" s="51">
        <f t="shared" si="208"/>
        <v>0</v>
      </c>
      <c r="BK352" s="52">
        <f t="shared" si="209"/>
        <v>17.25</v>
      </c>
      <c r="BL352" s="52">
        <f t="shared" si="210"/>
        <v>0.5</v>
      </c>
      <c r="BM352" s="52">
        <f t="shared" si="211"/>
        <v>20.048333333333332</v>
      </c>
    </row>
    <row r="353" spans="1:65" ht="30" customHeight="1" x14ac:dyDescent="0.25">
      <c r="A353" s="31" t="str">
        <f t="shared" si="177"/>
        <v>Д</v>
      </c>
      <c r="B353" s="31" t="str">
        <f t="shared" si="178"/>
        <v>Б</v>
      </c>
      <c r="C353" s="32" t="s">
        <v>221</v>
      </c>
      <c r="D353" s="33" t="str">
        <f t="shared" si="179"/>
        <v>Факультет физико-математических и естественных наук</v>
      </c>
      <c r="E353" s="34" t="str">
        <f t="shared" si="180"/>
        <v>'04.03.01</v>
      </c>
      <c r="F353" s="35" t="str">
        <f t="shared" si="181"/>
        <v>Химия</v>
      </c>
      <c r="G353" s="36" t="s">
        <v>76</v>
      </c>
      <c r="H353" s="36" t="s">
        <v>77</v>
      </c>
      <c r="I353" s="37"/>
      <c r="J353" s="37"/>
      <c r="K353" s="38" t="s">
        <v>222</v>
      </c>
      <c r="L353" s="39">
        <v>2</v>
      </c>
      <c r="M353" s="39">
        <v>18</v>
      </c>
      <c r="N353" s="40" t="s">
        <v>86</v>
      </c>
      <c r="O353" s="39"/>
      <c r="P353" s="39"/>
      <c r="Q353" s="39">
        <v>1</v>
      </c>
      <c r="R353" s="40" t="s">
        <v>95</v>
      </c>
      <c r="S353" s="41"/>
      <c r="T353" s="41"/>
      <c r="U353" s="41"/>
      <c r="V353" s="41"/>
      <c r="W353" s="41"/>
      <c r="X353" s="42" t="str">
        <f t="shared" si="182"/>
        <v>НХМбд</v>
      </c>
      <c r="Y353" s="43" t="s">
        <v>87</v>
      </c>
      <c r="Z353" s="39">
        <v>2</v>
      </c>
      <c r="AA353" s="39">
        <v>1</v>
      </c>
      <c r="AB353" s="42">
        <f t="shared" si="183"/>
        <v>23</v>
      </c>
      <c r="AC353" s="39">
        <v>20</v>
      </c>
      <c r="AD353" s="39">
        <v>3</v>
      </c>
      <c r="AE353" s="44">
        <f t="shared" si="184"/>
        <v>24</v>
      </c>
      <c r="AF353" s="45">
        <f t="shared" si="185"/>
        <v>0.95833333333333337</v>
      </c>
      <c r="AG353" s="45">
        <f t="shared" si="186"/>
        <v>0.95833333333333337</v>
      </c>
      <c r="AH353" s="46" t="s">
        <v>82</v>
      </c>
      <c r="AI353" s="40" t="s">
        <v>112</v>
      </c>
      <c r="AJ353" s="40" t="s">
        <v>84</v>
      </c>
      <c r="AK353" s="47" t="s">
        <v>113</v>
      </c>
      <c r="AL353" s="40"/>
      <c r="AM353" s="48">
        <f t="shared" si="187"/>
        <v>0</v>
      </c>
      <c r="AN353" s="48">
        <f t="shared" si="188"/>
        <v>17.25</v>
      </c>
      <c r="AO353" s="48">
        <f t="shared" si="189"/>
        <v>0</v>
      </c>
      <c r="AP353" s="48">
        <f t="shared" si="190"/>
        <v>7.5900000000000007</v>
      </c>
      <c r="AQ353" s="48">
        <f t="shared" si="191"/>
        <v>11.5</v>
      </c>
      <c r="AR353" s="48">
        <f t="shared" si="192"/>
        <v>0.95833333333333337</v>
      </c>
      <c r="AS353" s="48">
        <f t="shared" si="193"/>
        <v>0</v>
      </c>
      <c r="AT353" s="48">
        <f t="shared" si="194"/>
        <v>0</v>
      </c>
      <c r="AU353" s="48">
        <f t="shared" si="195"/>
        <v>0</v>
      </c>
      <c r="AV353" s="48">
        <f t="shared" si="196"/>
        <v>0</v>
      </c>
      <c r="AW353" s="48">
        <f>IF(N353="ПП",РПП*AB353*(V353/1.5),IF(N353="ВП",ВПр*AB353*(V353/1.5),IF(N353="РПА",РПА*AB353*(V353/1.5),IF(N353="КПА",кпа*AB353*(V353/1.5),0))))</f>
        <v>0</v>
      </c>
      <c r="AX353" s="48">
        <f t="shared" si="197"/>
        <v>0</v>
      </c>
      <c r="AY353" s="48">
        <f t="shared" si="198"/>
        <v>0</v>
      </c>
      <c r="AZ353" s="48">
        <f t="shared" si="199"/>
        <v>0</v>
      </c>
      <c r="BA353" s="48">
        <f t="shared" si="200"/>
        <v>0</v>
      </c>
      <c r="BB353" s="48">
        <f t="shared" si="201"/>
        <v>0</v>
      </c>
      <c r="BC353" s="48">
        <f t="shared" si="202"/>
        <v>0</v>
      </c>
      <c r="BD353" s="48">
        <f t="shared" si="203"/>
        <v>0</v>
      </c>
      <c r="BE353" s="48">
        <f t="shared" si="204"/>
        <v>0</v>
      </c>
      <c r="BF353" s="49">
        <f t="shared" si="205"/>
        <v>37.298333333333339</v>
      </c>
      <c r="BG353" s="50"/>
      <c r="BH353" s="51">
        <f t="shared" si="206"/>
        <v>0</v>
      </c>
      <c r="BI353" s="51">
        <f t="shared" si="207"/>
        <v>0</v>
      </c>
      <c r="BJ353" s="51">
        <f t="shared" si="208"/>
        <v>0</v>
      </c>
      <c r="BK353" s="52">
        <f t="shared" si="209"/>
        <v>17.25</v>
      </c>
      <c r="BL353" s="52">
        <f t="shared" si="210"/>
        <v>0.5</v>
      </c>
      <c r="BM353" s="52">
        <f t="shared" si="211"/>
        <v>20.048333333333332</v>
      </c>
    </row>
    <row r="354" spans="1:65" ht="30" customHeight="1" x14ac:dyDescent="0.25">
      <c r="A354" s="31" t="str">
        <f t="shared" si="177"/>
        <v>Д</v>
      </c>
      <c r="B354" s="31" t="str">
        <f t="shared" si="178"/>
        <v>Б</v>
      </c>
      <c r="C354" s="32" t="s">
        <v>221</v>
      </c>
      <c r="D354" s="33" t="str">
        <f t="shared" si="179"/>
        <v>Факультет физико-математических и естественных наук</v>
      </c>
      <c r="E354" s="34" t="str">
        <f t="shared" si="180"/>
        <v>'04.03.01</v>
      </c>
      <c r="F354" s="35" t="str">
        <f t="shared" si="181"/>
        <v>Химия</v>
      </c>
      <c r="G354" s="36" t="s">
        <v>76</v>
      </c>
      <c r="H354" s="36" t="s">
        <v>77</v>
      </c>
      <c r="I354" s="37"/>
      <c r="J354" s="37"/>
      <c r="K354" s="38" t="s">
        <v>222</v>
      </c>
      <c r="L354" s="39">
        <v>2</v>
      </c>
      <c r="M354" s="39">
        <v>18</v>
      </c>
      <c r="N354" s="40" t="s">
        <v>86</v>
      </c>
      <c r="O354" s="39"/>
      <c r="P354" s="39"/>
      <c r="Q354" s="39">
        <v>1</v>
      </c>
      <c r="R354" s="40" t="s">
        <v>95</v>
      </c>
      <c r="S354" s="41"/>
      <c r="T354" s="41"/>
      <c r="U354" s="41"/>
      <c r="V354" s="41"/>
      <c r="W354" s="41"/>
      <c r="X354" s="42" t="str">
        <f t="shared" si="182"/>
        <v>НХМбд</v>
      </c>
      <c r="Y354" s="43" t="s">
        <v>88</v>
      </c>
      <c r="Z354" s="39">
        <v>2</v>
      </c>
      <c r="AA354" s="39">
        <v>1</v>
      </c>
      <c r="AB354" s="42">
        <f t="shared" si="183"/>
        <v>22</v>
      </c>
      <c r="AC354" s="39">
        <v>20</v>
      </c>
      <c r="AD354" s="39">
        <v>2</v>
      </c>
      <c r="AE354" s="44">
        <f t="shared" si="184"/>
        <v>24</v>
      </c>
      <c r="AF354" s="45">
        <f t="shared" si="185"/>
        <v>0.91666666666666663</v>
      </c>
      <c r="AG354" s="45">
        <f t="shared" si="186"/>
        <v>0.91666666666666663</v>
      </c>
      <c r="AH354" s="46" t="s">
        <v>82</v>
      </c>
      <c r="AI354" s="40" t="s">
        <v>112</v>
      </c>
      <c r="AJ354" s="40" t="s">
        <v>84</v>
      </c>
      <c r="AK354" s="47" t="s">
        <v>113</v>
      </c>
      <c r="AL354" s="40"/>
      <c r="AM354" s="48">
        <f t="shared" si="187"/>
        <v>0</v>
      </c>
      <c r="AN354" s="48">
        <f t="shared" si="188"/>
        <v>16.5</v>
      </c>
      <c r="AO354" s="48">
        <f t="shared" si="189"/>
        <v>0</v>
      </c>
      <c r="AP354" s="48">
        <f t="shared" si="190"/>
        <v>7.2600000000000007</v>
      </c>
      <c r="AQ354" s="48">
        <f t="shared" si="191"/>
        <v>11</v>
      </c>
      <c r="AR354" s="48">
        <f t="shared" si="192"/>
        <v>0.91666666666666663</v>
      </c>
      <c r="AS354" s="48">
        <f t="shared" si="193"/>
        <v>0</v>
      </c>
      <c r="AT354" s="48">
        <f t="shared" si="194"/>
        <v>0</v>
      </c>
      <c r="AU354" s="48">
        <f t="shared" si="195"/>
        <v>0</v>
      </c>
      <c r="AV354" s="48">
        <f t="shared" si="196"/>
        <v>0</v>
      </c>
      <c r="AW354" s="48">
        <f>IF(N354="ПП",РПП*AB354*(V354/1.5),IF(N354="ВП",ВПр*AB354*(V354/1.5),IF(N354="РПА",РПА*AB354*(V354/1.5),IF(N354="КПА",кпа*AB354*(V354/1.5),0))))</f>
        <v>0</v>
      </c>
      <c r="AX354" s="48">
        <f t="shared" si="197"/>
        <v>0</v>
      </c>
      <c r="AY354" s="48">
        <f t="shared" si="198"/>
        <v>0</v>
      </c>
      <c r="AZ354" s="48">
        <f t="shared" si="199"/>
        <v>0</v>
      </c>
      <c r="BA354" s="48">
        <f t="shared" si="200"/>
        <v>0</v>
      </c>
      <c r="BB354" s="48">
        <f t="shared" si="201"/>
        <v>0</v>
      </c>
      <c r="BC354" s="48">
        <f t="shared" si="202"/>
        <v>0</v>
      </c>
      <c r="BD354" s="48">
        <f t="shared" si="203"/>
        <v>0</v>
      </c>
      <c r="BE354" s="48">
        <f t="shared" si="204"/>
        <v>0</v>
      </c>
      <c r="BF354" s="49">
        <f t="shared" si="205"/>
        <v>35.676666666666669</v>
      </c>
      <c r="BG354" s="50"/>
      <c r="BH354" s="51">
        <f t="shared" si="206"/>
        <v>0</v>
      </c>
      <c r="BI354" s="51">
        <f t="shared" si="207"/>
        <v>0</v>
      </c>
      <c r="BJ354" s="51">
        <f t="shared" si="208"/>
        <v>0</v>
      </c>
      <c r="BK354" s="52">
        <f t="shared" si="209"/>
        <v>16.5</v>
      </c>
      <c r="BL354" s="52">
        <f t="shared" si="210"/>
        <v>0.5</v>
      </c>
      <c r="BM354" s="52">
        <f t="shared" si="211"/>
        <v>19.176666666666669</v>
      </c>
    </row>
    <row r="355" spans="1:65" ht="30" customHeight="1" x14ac:dyDescent="0.25">
      <c r="A355" s="31" t="str">
        <f t="shared" si="177"/>
        <v>Д</v>
      </c>
      <c r="B355" s="31" t="str">
        <f t="shared" si="178"/>
        <v>С</v>
      </c>
      <c r="C355" s="32" t="s">
        <v>224</v>
      </c>
      <c r="D355" s="33" t="str">
        <f t="shared" si="179"/>
        <v>Аграрно-технологический институт</v>
      </c>
      <c r="E355" s="34" t="str">
        <f t="shared" si="180"/>
        <v>'06.05.01</v>
      </c>
      <c r="F355" s="35" t="str">
        <f t="shared" si="181"/>
        <v>Биоинженерия и биоинформатика</v>
      </c>
      <c r="G355" s="36" t="s">
        <v>76</v>
      </c>
      <c r="H355" s="36" t="s">
        <v>77</v>
      </c>
      <c r="I355" s="37"/>
      <c r="J355" s="37"/>
      <c r="K355" s="38" t="s">
        <v>225</v>
      </c>
      <c r="L355" s="39">
        <v>3</v>
      </c>
      <c r="M355" s="39">
        <v>18</v>
      </c>
      <c r="N355" s="40" t="s">
        <v>86</v>
      </c>
      <c r="O355" s="39"/>
      <c r="P355" s="39"/>
      <c r="Q355" s="39">
        <v>2</v>
      </c>
      <c r="R355" s="40" t="s">
        <v>95</v>
      </c>
      <c r="S355" s="41"/>
      <c r="T355" s="41"/>
      <c r="U355" s="41"/>
      <c r="V355" s="41"/>
      <c r="W355" s="41"/>
      <c r="X355" s="42" t="str">
        <f t="shared" si="182"/>
        <v>СББсд</v>
      </c>
      <c r="Y355" s="43" t="s">
        <v>107</v>
      </c>
      <c r="Z355" s="39">
        <v>2</v>
      </c>
      <c r="AA355" s="39">
        <v>1</v>
      </c>
      <c r="AB355" s="42">
        <f t="shared" si="183"/>
        <v>19</v>
      </c>
      <c r="AC355" s="39">
        <v>18</v>
      </c>
      <c r="AD355" s="39">
        <v>1</v>
      </c>
      <c r="AE355" s="44">
        <f t="shared" si="184"/>
        <v>24</v>
      </c>
      <c r="AF355" s="45">
        <f t="shared" si="185"/>
        <v>0.79166666666666663</v>
      </c>
      <c r="AG355" s="45">
        <f t="shared" si="186"/>
        <v>0.79166666666666663</v>
      </c>
      <c r="AH355" s="46" t="s">
        <v>82</v>
      </c>
      <c r="AI355" s="40" t="s">
        <v>83</v>
      </c>
      <c r="AJ355" s="40" t="s">
        <v>84</v>
      </c>
      <c r="AK355" s="47" t="s">
        <v>93</v>
      </c>
      <c r="AL355" s="40"/>
      <c r="AM355" s="48">
        <f t="shared" si="187"/>
        <v>0</v>
      </c>
      <c r="AN355" s="48">
        <f t="shared" si="188"/>
        <v>28.5</v>
      </c>
      <c r="AO355" s="48">
        <f t="shared" si="189"/>
        <v>0</v>
      </c>
      <c r="AP355" s="48">
        <f t="shared" si="190"/>
        <v>6.2700000000000005</v>
      </c>
      <c r="AQ355" s="48">
        <f t="shared" si="191"/>
        <v>9.5</v>
      </c>
      <c r="AR355" s="48">
        <f t="shared" si="192"/>
        <v>0.79166666666666663</v>
      </c>
      <c r="AS355" s="48">
        <f t="shared" si="193"/>
        <v>0</v>
      </c>
      <c r="AT355" s="48">
        <f t="shared" si="194"/>
        <v>0</v>
      </c>
      <c r="AU355" s="48">
        <f t="shared" si="195"/>
        <v>0</v>
      </c>
      <c r="AV355" s="48">
        <f t="shared" si="196"/>
        <v>0</v>
      </c>
      <c r="AW355" s="48">
        <f>IF(N355="ПП",РПП*AB355*(V355/1.5),IF(N355="ВП",ВПр*AB355*(V355/1.5),IF(N355="РПА",РПА*AB355*(V355/1.5),IF(N355="КПА",кпа*AB355*(V355/1.5),0))))</f>
        <v>0</v>
      </c>
      <c r="AX355" s="48">
        <f t="shared" si="197"/>
        <v>0</v>
      </c>
      <c r="AY355" s="48">
        <f t="shared" si="198"/>
        <v>0</v>
      </c>
      <c r="AZ355" s="48">
        <f t="shared" si="199"/>
        <v>0</v>
      </c>
      <c r="BA355" s="48">
        <f t="shared" si="200"/>
        <v>0</v>
      </c>
      <c r="BB355" s="48">
        <f t="shared" si="201"/>
        <v>0</v>
      </c>
      <c r="BC355" s="48">
        <f t="shared" si="202"/>
        <v>0</v>
      </c>
      <c r="BD355" s="48">
        <f t="shared" si="203"/>
        <v>0</v>
      </c>
      <c r="BE355" s="48">
        <f t="shared" si="204"/>
        <v>0</v>
      </c>
      <c r="BF355" s="49">
        <f t="shared" si="205"/>
        <v>45.061666666666667</v>
      </c>
      <c r="BG355" s="50"/>
      <c r="BH355" s="51">
        <f t="shared" si="206"/>
        <v>28.5</v>
      </c>
      <c r="BI355" s="51">
        <f t="shared" si="207"/>
        <v>1</v>
      </c>
      <c r="BJ355" s="51">
        <f t="shared" si="208"/>
        <v>16.561666666666667</v>
      </c>
      <c r="BK355" s="52">
        <f t="shared" si="209"/>
        <v>0</v>
      </c>
      <c r="BL355" s="52">
        <f t="shared" si="210"/>
        <v>0</v>
      </c>
      <c r="BM355" s="52">
        <f t="shared" si="211"/>
        <v>0</v>
      </c>
    </row>
    <row r="356" spans="1:65" ht="30" customHeight="1" x14ac:dyDescent="0.25">
      <c r="A356" s="31" t="str">
        <f t="shared" si="177"/>
        <v>Д</v>
      </c>
      <c r="B356" s="31" t="str">
        <f t="shared" si="178"/>
        <v>С</v>
      </c>
      <c r="C356" s="32" t="s">
        <v>224</v>
      </c>
      <c r="D356" s="33" t="str">
        <f t="shared" si="179"/>
        <v>Аграрно-технологический институт</v>
      </c>
      <c r="E356" s="34" t="str">
        <f t="shared" si="180"/>
        <v>'06.05.01</v>
      </c>
      <c r="F356" s="35" t="str">
        <f t="shared" si="181"/>
        <v>Биоинженерия и биоинформатика</v>
      </c>
      <c r="G356" s="36" t="s">
        <v>76</v>
      </c>
      <c r="H356" s="36" t="s">
        <v>77</v>
      </c>
      <c r="I356" s="37"/>
      <c r="J356" s="37"/>
      <c r="K356" s="38" t="s">
        <v>225</v>
      </c>
      <c r="L356" s="39">
        <v>4</v>
      </c>
      <c r="M356" s="58">
        <v>17</v>
      </c>
      <c r="N356" s="40" t="s">
        <v>86</v>
      </c>
      <c r="O356" s="39"/>
      <c r="P356" s="39"/>
      <c r="Q356" s="39">
        <v>2</v>
      </c>
      <c r="R356" s="40" t="s">
        <v>95</v>
      </c>
      <c r="S356" s="41"/>
      <c r="T356" s="41"/>
      <c r="U356" s="41"/>
      <c r="V356" s="41"/>
      <c r="W356" s="41"/>
      <c r="X356" s="42" t="str">
        <f t="shared" si="182"/>
        <v>СББсд</v>
      </c>
      <c r="Y356" s="43" t="s">
        <v>107</v>
      </c>
      <c r="Z356" s="39">
        <v>2</v>
      </c>
      <c r="AA356" s="39">
        <v>1</v>
      </c>
      <c r="AB356" s="42">
        <f t="shared" si="183"/>
        <v>19</v>
      </c>
      <c r="AC356" s="39">
        <v>18</v>
      </c>
      <c r="AD356" s="39">
        <v>1</v>
      </c>
      <c r="AE356" s="44">
        <f t="shared" si="184"/>
        <v>24</v>
      </c>
      <c r="AF356" s="45">
        <f t="shared" si="185"/>
        <v>0.79166666666666663</v>
      </c>
      <c r="AG356" s="45">
        <f t="shared" si="186"/>
        <v>0.79166666666666663</v>
      </c>
      <c r="AH356" s="46" t="s">
        <v>82</v>
      </c>
      <c r="AI356" s="40" t="s">
        <v>83</v>
      </c>
      <c r="AJ356" s="40" t="s">
        <v>84</v>
      </c>
      <c r="AK356" s="47" t="s">
        <v>93</v>
      </c>
      <c r="AL356" s="40"/>
      <c r="AM356" s="48">
        <f t="shared" si="187"/>
        <v>0</v>
      </c>
      <c r="AN356" s="48">
        <f t="shared" si="188"/>
        <v>26.916666666666664</v>
      </c>
      <c r="AO356" s="48">
        <f t="shared" si="189"/>
        <v>0</v>
      </c>
      <c r="AP356" s="48">
        <f t="shared" si="190"/>
        <v>6.2700000000000005</v>
      </c>
      <c r="AQ356" s="48">
        <f t="shared" si="191"/>
        <v>9.5</v>
      </c>
      <c r="AR356" s="48">
        <f t="shared" si="192"/>
        <v>0.79166666666666663</v>
      </c>
      <c r="AS356" s="48">
        <f t="shared" si="193"/>
        <v>0</v>
      </c>
      <c r="AT356" s="48">
        <f t="shared" si="194"/>
        <v>0</v>
      </c>
      <c r="AU356" s="48">
        <f t="shared" si="195"/>
        <v>0</v>
      </c>
      <c r="AV356" s="48">
        <f t="shared" si="196"/>
        <v>0</v>
      </c>
      <c r="AW356" s="48">
        <f>IF(N356="ПП",РПП*AB356*(V356/1.5),IF(N356="ВП",ВПр*AB356*(V356/1.5),IF(N356="РПА",РПА*AB356*(V356/1.5),IF(N356="КПА",кпа*AB356*(V356/1.5),0))))</f>
        <v>0</v>
      </c>
      <c r="AX356" s="48">
        <f t="shared" si="197"/>
        <v>0</v>
      </c>
      <c r="AY356" s="48">
        <f t="shared" si="198"/>
        <v>0</v>
      </c>
      <c r="AZ356" s="48">
        <f t="shared" si="199"/>
        <v>0</v>
      </c>
      <c r="BA356" s="48">
        <f t="shared" si="200"/>
        <v>0</v>
      </c>
      <c r="BB356" s="48">
        <f t="shared" si="201"/>
        <v>0</v>
      </c>
      <c r="BC356" s="48">
        <f t="shared" si="202"/>
        <v>0</v>
      </c>
      <c r="BD356" s="48">
        <f t="shared" si="203"/>
        <v>0</v>
      </c>
      <c r="BE356" s="48">
        <f t="shared" si="204"/>
        <v>0</v>
      </c>
      <c r="BF356" s="49">
        <f t="shared" si="205"/>
        <v>43.478333333333332</v>
      </c>
      <c r="BG356" s="50"/>
      <c r="BH356" s="51">
        <f t="shared" si="206"/>
        <v>0</v>
      </c>
      <c r="BI356" s="51">
        <f t="shared" si="207"/>
        <v>0</v>
      </c>
      <c r="BJ356" s="51">
        <f t="shared" si="208"/>
        <v>0</v>
      </c>
      <c r="BK356" s="52">
        <f t="shared" si="209"/>
        <v>26.916666666666664</v>
      </c>
      <c r="BL356" s="52">
        <f t="shared" si="210"/>
        <v>1</v>
      </c>
      <c r="BM356" s="52">
        <f t="shared" si="211"/>
        <v>16.561666666666667</v>
      </c>
    </row>
    <row r="357" spans="1:65" ht="30" customHeight="1" x14ac:dyDescent="0.25">
      <c r="A357" s="31" t="str">
        <f t="shared" si="177"/>
        <v>Д</v>
      </c>
      <c r="B357" s="31" t="str">
        <f t="shared" si="178"/>
        <v>Б</v>
      </c>
      <c r="C357" s="32" t="s">
        <v>226</v>
      </c>
      <c r="D357" s="33" t="str">
        <f t="shared" si="179"/>
        <v>Факультет физико-математических и естественных наук</v>
      </c>
      <c r="E357" s="34" t="str">
        <f t="shared" si="180"/>
        <v>'38.03.05</v>
      </c>
      <c r="F357" s="35" t="str">
        <f t="shared" si="181"/>
        <v>Бизнес-информатика</v>
      </c>
      <c r="G357" s="36" t="s">
        <v>76</v>
      </c>
      <c r="H357" s="36" t="s">
        <v>183</v>
      </c>
      <c r="I357" s="37"/>
      <c r="J357" s="37"/>
      <c r="K357" s="38" t="s">
        <v>227</v>
      </c>
      <c r="L357" s="39">
        <v>1</v>
      </c>
      <c r="M357" s="39">
        <v>18</v>
      </c>
      <c r="N357" s="40" t="s">
        <v>79</v>
      </c>
      <c r="O357" s="39">
        <v>1</v>
      </c>
      <c r="P357" s="39"/>
      <c r="Q357" s="39"/>
      <c r="R357" s="40" t="s">
        <v>80</v>
      </c>
      <c r="S357" s="41"/>
      <c r="T357" s="41"/>
      <c r="U357" s="41"/>
      <c r="V357" s="41"/>
      <c r="W357" s="41"/>
      <c r="X357" s="42" t="str">
        <f t="shared" si="182"/>
        <v>НБИбд</v>
      </c>
      <c r="Y357" s="43" t="s">
        <v>81</v>
      </c>
      <c r="Z357" s="39">
        <v>6</v>
      </c>
      <c r="AA357" s="39">
        <v>3</v>
      </c>
      <c r="AB357" s="42">
        <f t="shared" si="183"/>
        <v>81</v>
      </c>
      <c r="AC357" s="39">
        <v>69</v>
      </c>
      <c r="AD357" s="39">
        <v>12</v>
      </c>
      <c r="AE357" s="44">
        <f t="shared" si="184"/>
        <v>81</v>
      </c>
      <c r="AF357" s="45">
        <f t="shared" si="185"/>
        <v>1</v>
      </c>
      <c r="AG357" s="45">
        <f t="shared" si="186"/>
        <v>1</v>
      </c>
      <c r="AH357" s="46" t="s">
        <v>82</v>
      </c>
      <c r="AI357" s="40" t="s">
        <v>83</v>
      </c>
      <c r="AJ357" s="40" t="s">
        <v>84</v>
      </c>
      <c r="AK357" s="47" t="s">
        <v>85</v>
      </c>
      <c r="AL357" s="40"/>
      <c r="AM357" s="48">
        <f t="shared" si="187"/>
        <v>18</v>
      </c>
      <c r="AN357" s="48">
        <f t="shared" si="188"/>
        <v>0</v>
      </c>
      <c r="AO357" s="48">
        <f t="shared" si="189"/>
        <v>0</v>
      </c>
      <c r="AP357" s="48">
        <f t="shared" si="190"/>
        <v>26.73</v>
      </c>
      <c r="AQ357" s="48">
        <f t="shared" si="191"/>
        <v>40.5</v>
      </c>
      <c r="AR357" s="48">
        <f t="shared" si="192"/>
        <v>3</v>
      </c>
      <c r="AS357" s="48">
        <f t="shared" si="193"/>
        <v>2.7</v>
      </c>
      <c r="AT357" s="48">
        <f t="shared" si="194"/>
        <v>0</v>
      </c>
      <c r="AU357" s="48">
        <f t="shared" si="195"/>
        <v>0</v>
      </c>
      <c r="AV357" s="48">
        <f t="shared" si="196"/>
        <v>0</v>
      </c>
      <c r="AW357" s="48">
        <f>IF(N357="ПП",РПП*AB357*(V357/1.5),IF(N357="ВП",ВПр*AB357*(V357/1.5),IF(N357="РПА",РПА*AB357*(V357/1.5),IF(N357="КПА",кпа*AB357*(V357/1.5),0))))</f>
        <v>0</v>
      </c>
      <c r="AX357" s="48">
        <f t="shared" si="197"/>
        <v>0</v>
      </c>
      <c r="AY357" s="48">
        <f t="shared" si="198"/>
        <v>0</v>
      </c>
      <c r="AZ357" s="48">
        <f t="shared" si="199"/>
        <v>0</v>
      </c>
      <c r="BA357" s="48">
        <f t="shared" si="200"/>
        <v>0</v>
      </c>
      <c r="BB357" s="48">
        <f t="shared" si="201"/>
        <v>0</v>
      </c>
      <c r="BC357" s="48">
        <f t="shared" si="202"/>
        <v>0</v>
      </c>
      <c r="BD357" s="48">
        <f t="shared" si="203"/>
        <v>0</v>
      </c>
      <c r="BE357" s="48">
        <f t="shared" si="204"/>
        <v>0</v>
      </c>
      <c r="BF357" s="49">
        <f t="shared" si="205"/>
        <v>90.93</v>
      </c>
      <c r="BG357" s="50"/>
      <c r="BH357" s="51">
        <f t="shared" si="206"/>
        <v>18</v>
      </c>
      <c r="BI357" s="51">
        <f t="shared" si="207"/>
        <v>0.5</v>
      </c>
      <c r="BJ357" s="51">
        <f t="shared" si="208"/>
        <v>72.930000000000007</v>
      </c>
      <c r="BK357" s="52">
        <f t="shared" si="209"/>
        <v>0</v>
      </c>
      <c r="BL357" s="52">
        <f t="shared" si="210"/>
        <v>0</v>
      </c>
      <c r="BM357" s="52">
        <f t="shared" si="211"/>
        <v>0</v>
      </c>
    </row>
    <row r="358" spans="1:65" ht="30" customHeight="1" x14ac:dyDescent="0.25">
      <c r="A358" s="31" t="str">
        <f t="shared" si="177"/>
        <v>Д</v>
      </c>
      <c r="B358" s="31" t="str">
        <f t="shared" si="178"/>
        <v>Б</v>
      </c>
      <c r="C358" s="32" t="s">
        <v>226</v>
      </c>
      <c r="D358" s="33" t="str">
        <f t="shared" si="179"/>
        <v>Факультет физико-математических и естественных наук</v>
      </c>
      <c r="E358" s="34" t="str">
        <f t="shared" si="180"/>
        <v>'38.03.05</v>
      </c>
      <c r="F358" s="35" t="str">
        <f t="shared" si="181"/>
        <v>Бизнес-информатика</v>
      </c>
      <c r="G358" s="36" t="s">
        <v>76</v>
      </c>
      <c r="H358" s="36" t="s">
        <v>183</v>
      </c>
      <c r="I358" s="37"/>
      <c r="J358" s="37"/>
      <c r="K358" s="38" t="s">
        <v>227</v>
      </c>
      <c r="L358" s="39">
        <v>1</v>
      </c>
      <c r="M358" s="39">
        <v>18</v>
      </c>
      <c r="N358" s="40" t="s">
        <v>86</v>
      </c>
      <c r="O358" s="39"/>
      <c r="P358" s="39"/>
      <c r="Q358" s="39">
        <v>2</v>
      </c>
      <c r="R358" s="40"/>
      <c r="S358" s="41"/>
      <c r="T358" s="41"/>
      <c r="U358" s="41"/>
      <c r="V358" s="41"/>
      <c r="W358" s="41"/>
      <c r="X358" s="42" t="str">
        <f t="shared" si="182"/>
        <v>НБИбд</v>
      </c>
      <c r="Y358" s="43" t="s">
        <v>87</v>
      </c>
      <c r="Z358" s="39">
        <v>2</v>
      </c>
      <c r="AA358" s="39">
        <v>1</v>
      </c>
      <c r="AB358" s="42">
        <f t="shared" si="183"/>
        <v>27</v>
      </c>
      <c r="AC358" s="39">
        <v>23</v>
      </c>
      <c r="AD358" s="39">
        <v>4</v>
      </c>
      <c r="AE358" s="44">
        <f t="shared" si="184"/>
        <v>24</v>
      </c>
      <c r="AF358" s="45">
        <f t="shared" si="185"/>
        <v>1</v>
      </c>
      <c r="AG358" s="45">
        <f t="shared" si="186"/>
        <v>1.125</v>
      </c>
      <c r="AH358" s="46" t="s">
        <v>82</v>
      </c>
      <c r="AI358" s="40" t="s">
        <v>83</v>
      </c>
      <c r="AJ358" s="40" t="s">
        <v>84</v>
      </c>
      <c r="AK358" s="47" t="s">
        <v>85</v>
      </c>
      <c r="AL358" s="40"/>
      <c r="AM358" s="48">
        <f t="shared" si="187"/>
        <v>0</v>
      </c>
      <c r="AN358" s="48">
        <f t="shared" si="188"/>
        <v>36</v>
      </c>
      <c r="AO358" s="48">
        <f t="shared" si="189"/>
        <v>0</v>
      </c>
      <c r="AP358" s="48">
        <f t="shared" si="190"/>
        <v>0</v>
      </c>
      <c r="AQ358" s="48">
        <f t="shared" si="191"/>
        <v>0</v>
      </c>
      <c r="AR358" s="48">
        <f t="shared" si="192"/>
        <v>0</v>
      </c>
      <c r="AS358" s="48">
        <f t="shared" si="193"/>
        <v>0</v>
      </c>
      <c r="AT358" s="48">
        <f t="shared" si="194"/>
        <v>0</v>
      </c>
      <c r="AU358" s="48">
        <f t="shared" si="195"/>
        <v>0</v>
      </c>
      <c r="AV358" s="48">
        <f t="shared" si="196"/>
        <v>0</v>
      </c>
      <c r="AW358" s="48">
        <f>IF(N358="ПП",РПП*AB358*(V358/1.5),IF(N358="ВП",ВПр*AB358*(V358/1.5),IF(N358="РПА",РПА*AB358*(V358/1.5),IF(N358="КПА",кпа*AB358*(V358/1.5),0))))</f>
        <v>0</v>
      </c>
      <c r="AX358" s="48">
        <f t="shared" si="197"/>
        <v>0</v>
      </c>
      <c r="AY358" s="48">
        <f t="shared" si="198"/>
        <v>0</v>
      </c>
      <c r="AZ358" s="48">
        <f t="shared" si="199"/>
        <v>0</v>
      </c>
      <c r="BA358" s="48">
        <f t="shared" si="200"/>
        <v>0</v>
      </c>
      <c r="BB358" s="48">
        <f t="shared" si="201"/>
        <v>0</v>
      </c>
      <c r="BC358" s="48">
        <f t="shared" si="202"/>
        <v>0</v>
      </c>
      <c r="BD358" s="48">
        <f t="shared" si="203"/>
        <v>0</v>
      </c>
      <c r="BE358" s="48">
        <f t="shared" si="204"/>
        <v>0</v>
      </c>
      <c r="BF358" s="49">
        <f t="shared" si="205"/>
        <v>36</v>
      </c>
      <c r="BG358" s="50"/>
      <c r="BH358" s="51">
        <f t="shared" si="206"/>
        <v>36</v>
      </c>
      <c r="BI358" s="51">
        <f t="shared" si="207"/>
        <v>1</v>
      </c>
      <c r="BJ358" s="51">
        <f t="shared" si="208"/>
        <v>0</v>
      </c>
      <c r="BK358" s="52">
        <f t="shared" si="209"/>
        <v>0</v>
      </c>
      <c r="BL358" s="52">
        <f t="shared" si="210"/>
        <v>0</v>
      </c>
      <c r="BM358" s="52">
        <f t="shared" si="211"/>
        <v>0</v>
      </c>
    </row>
    <row r="359" spans="1:65" ht="30" customHeight="1" x14ac:dyDescent="0.25">
      <c r="A359" s="31" t="str">
        <f t="shared" si="177"/>
        <v>Д</v>
      </c>
      <c r="B359" s="31" t="str">
        <f t="shared" si="178"/>
        <v>Б</v>
      </c>
      <c r="C359" s="32" t="s">
        <v>226</v>
      </c>
      <c r="D359" s="33" t="str">
        <f t="shared" si="179"/>
        <v>Факультет физико-математических и естественных наук</v>
      </c>
      <c r="E359" s="34" t="str">
        <f t="shared" si="180"/>
        <v>'38.03.05</v>
      </c>
      <c r="F359" s="35" t="str">
        <f t="shared" si="181"/>
        <v>Бизнес-информатика</v>
      </c>
      <c r="G359" s="36" t="s">
        <v>76</v>
      </c>
      <c r="H359" s="36" t="s">
        <v>183</v>
      </c>
      <c r="I359" s="37"/>
      <c r="J359" s="37"/>
      <c r="K359" s="38" t="s">
        <v>227</v>
      </c>
      <c r="L359" s="39">
        <v>1</v>
      </c>
      <c r="M359" s="39">
        <v>18</v>
      </c>
      <c r="N359" s="40" t="s">
        <v>86</v>
      </c>
      <c r="O359" s="39"/>
      <c r="P359" s="39"/>
      <c r="Q359" s="39">
        <v>2</v>
      </c>
      <c r="R359" s="40"/>
      <c r="S359" s="41"/>
      <c r="T359" s="41"/>
      <c r="U359" s="41"/>
      <c r="V359" s="41"/>
      <c r="W359" s="41"/>
      <c r="X359" s="42" t="str">
        <f t="shared" si="182"/>
        <v>НБИбд</v>
      </c>
      <c r="Y359" s="43" t="s">
        <v>88</v>
      </c>
      <c r="Z359" s="39">
        <v>2</v>
      </c>
      <c r="AA359" s="39">
        <v>1</v>
      </c>
      <c r="AB359" s="42">
        <f t="shared" si="183"/>
        <v>27</v>
      </c>
      <c r="AC359" s="39">
        <v>23</v>
      </c>
      <c r="AD359" s="39">
        <v>4</v>
      </c>
      <c r="AE359" s="44">
        <f t="shared" si="184"/>
        <v>24</v>
      </c>
      <c r="AF359" s="45">
        <f t="shared" si="185"/>
        <v>1</v>
      </c>
      <c r="AG359" s="45">
        <f t="shared" si="186"/>
        <v>1.125</v>
      </c>
      <c r="AH359" s="46" t="s">
        <v>82</v>
      </c>
      <c r="AI359" s="40" t="s">
        <v>83</v>
      </c>
      <c r="AJ359" s="40" t="s">
        <v>84</v>
      </c>
      <c r="AK359" s="47" t="s">
        <v>85</v>
      </c>
      <c r="AL359" s="40"/>
      <c r="AM359" s="48">
        <f t="shared" si="187"/>
        <v>0</v>
      </c>
      <c r="AN359" s="48">
        <f t="shared" si="188"/>
        <v>36</v>
      </c>
      <c r="AO359" s="48">
        <f t="shared" si="189"/>
        <v>0</v>
      </c>
      <c r="AP359" s="48">
        <f t="shared" si="190"/>
        <v>0</v>
      </c>
      <c r="AQ359" s="48">
        <f t="shared" si="191"/>
        <v>0</v>
      </c>
      <c r="AR359" s="48">
        <f t="shared" si="192"/>
        <v>0</v>
      </c>
      <c r="AS359" s="48">
        <f t="shared" si="193"/>
        <v>0</v>
      </c>
      <c r="AT359" s="48">
        <f t="shared" si="194"/>
        <v>0</v>
      </c>
      <c r="AU359" s="48">
        <f t="shared" si="195"/>
        <v>0</v>
      </c>
      <c r="AV359" s="48">
        <f t="shared" si="196"/>
        <v>0</v>
      </c>
      <c r="AW359" s="48">
        <f>IF(N359="ПП",РПП*AB359*(V359/1.5),IF(N359="ВП",ВПр*AB359*(V359/1.5),IF(N359="РПА",РПА*AB359*(V359/1.5),IF(N359="КПА",кпа*AB359*(V359/1.5),0))))</f>
        <v>0</v>
      </c>
      <c r="AX359" s="48">
        <f t="shared" si="197"/>
        <v>0</v>
      </c>
      <c r="AY359" s="48">
        <f t="shared" si="198"/>
        <v>0</v>
      </c>
      <c r="AZ359" s="48">
        <f t="shared" si="199"/>
        <v>0</v>
      </c>
      <c r="BA359" s="48">
        <f t="shared" si="200"/>
        <v>0</v>
      </c>
      <c r="BB359" s="48">
        <f t="shared" si="201"/>
        <v>0</v>
      </c>
      <c r="BC359" s="48">
        <f t="shared" si="202"/>
        <v>0</v>
      </c>
      <c r="BD359" s="48">
        <f t="shared" si="203"/>
        <v>0</v>
      </c>
      <c r="BE359" s="48">
        <f t="shared" si="204"/>
        <v>0</v>
      </c>
      <c r="BF359" s="49">
        <f t="shared" si="205"/>
        <v>36</v>
      </c>
      <c r="BG359" s="50"/>
      <c r="BH359" s="51">
        <f t="shared" si="206"/>
        <v>36</v>
      </c>
      <c r="BI359" s="51">
        <f t="shared" si="207"/>
        <v>1</v>
      </c>
      <c r="BJ359" s="51">
        <f t="shared" si="208"/>
        <v>0</v>
      </c>
      <c r="BK359" s="52">
        <f t="shared" si="209"/>
        <v>0</v>
      </c>
      <c r="BL359" s="52">
        <f t="shared" si="210"/>
        <v>0</v>
      </c>
      <c r="BM359" s="52">
        <f t="shared" si="211"/>
        <v>0</v>
      </c>
    </row>
    <row r="360" spans="1:65" ht="30" customHeight="1" x14ac:dyDescent="0.25">
      <c r="A360" s="31" t="str">
        <f t="shared" si="177"/>
        <v>Д</v>
      </c>
      <c r="B360" s="31" t="str">
        <f t="shared" si="178"/>
        <v>Б</v>
      </c>
      <c r="C360" s="32" t="s">
        <v>226</v>
      </c>
      <c r="D360" s="33" t="str">
        <f t="shared" si="179"/>
        <v>Факультет физико-математических и естественных наук</v>
      </c>
      <c r="E360" s="34" t="str">
        <f t="shared" si="180"/>
        <v>'38.03.05</v>
      </c>
      <c r="F360" s="35" t="str">
        <f t="shared" si="181"/>
        <v>Бизнес-информатика</v>
      </c>
      <c r="G360" s="36" t="s">
        <v>76</v>
      </c>
      <c r="H360" s="36" t="s">
        <v>183</v>
      </c>
      <c r="I360" s="37"/>
      <c r="J360" s="37"/>
      <c r="K360" s="38" t="s">
        <v>227</v>
      </c>
      <c r="L360" s="39">
        <v>1</v>
      </c>
      <c r="M360" s="39">
        <v>18</v>
      </c>
      <c r="N360" s="40" t="s">
        <v>86</v>
      </c>
      <c r="O360" s="39"/>
      <c r="P360" s="39"/>
      <c r="Q360" s="39">
        <v>2</v>
      </c>
      <c r="R360" s="40"/>
      <c r="S360" s="41"/>
      <c r="T360" s="41"/>
      <c r="U360" s="41"/>
      <c r="V360" s="41"/>
      <c r="W360" s="41"/>
      <c r="X360" s="42" t="str">
        <f t="shared" si="182"/>
        <v>НБИбд</v>
      </c>
      <c r="Y360" s="43" t="s">
        <v>89</v>
      </c>
      <c r="Z360" s="39">
        <v>2</v>
      </c>
      <c r="AA360" s="39">
        <v>1</v>
      </c>
      <c r="AB360" s="42">
        <f t="shared" si="183"/>
        <v>27</v>
      </c>
      <c r="AC360" s="39">
        <v>23</v>
      </c>
      <c r="AD360" s="39">
        <v>4</v>
      </c>
      <c r="AE360" s="44">
        <f t="shared" si="184"/>
        <v>24</v>
      </c>
      <c r="AF360" s="45">
        <f t="shared" si="185"/>
        <v>1</v>
      </c>
      <c r="AG360" s="45">
        <f t="shared" si="186"/>
        <v>1.125</v>
      </c>
      <c r="AH360" s="46" t="s">
        <v>82</v>
      </c>
      <c r="AI360" s="40" t="s">
        <v>83</v>
      </c>
      <c r="AJ360" s="40" t="s">
        <v>84</v>
      </c>
      <c r="AK360" s="47" t="s">
        <v>85</v>
      </c>
      <c r="AL360" s="40"/>
      <c r="AM360" s="48">
        <f t="shared" si="187"/>
        <v>0</v>
      </c>
      <c r="AN360" s="48">
        <f t="shared" si="188"/>
        <v>36</v>
      </c>
      <c r="AO360" s="48">
        <f t="shared" si="189"/>
        <v>0</v>
      </c>
      <c r="AP360" s="48">
        <f t="shared" si="190"/>
        <v>0</v>
      </c>
      <c r="AQ360" s="48">
        <f t="shared" si="191"/>
        <v>0</v>
      </c>
      <c r="AR360" s="48">
        <f t="shared" si="192"/>
        <v>0</v>
      </c>
      <c r="AS360" s="48">
        <f t="shared" si="193"/>
        <v>0</v>
      </c>
      <c r="AT360" s="48">
        <f t="shared" si="194"/>
        <v>0</v>
      </c>
      <c r="AU360" s="48">
        <f t="shared" si="195"/>
        <v>0</v>
      </c>
      <c r="AV360" s="48">
        <f t="shared" si="196"/>
        <v>0</v>
      </c>
      <c r="AW360" s="48">
        <f>IF(N360="ПП",РПП*AB360*(V360/1.5),IF(N360="ВП",ВПр*AB360*(V360/1.5),IF(N360="РПА",РПА*AB360*(V360/1.5),IF(N360="КПА",кпа*AB360*(V360/1.5),0))))</f>
        <v>0</v>
      </c>
      <c r="AX360" s="48">
        <f t="shared" si="197"/>
        <v>0</v>
      </c>
      <c r="AY360" s="48">
        <f t="shared" si="198"/>
        <v>0</v>
      </c>
      <c r="AZ360" s="48">
        <f t="shared" si="199"/>
        <v>0</v>
      </c>
      <c r="BA360" s="48">
        <f t="shared" si="200"/>
        <v>0</v>
      </c>
      <c r="BB360" s="48">
        <f t="shared" si="201"/>
        <v>0</v>
      </c>
      <c r="BC360" s="48">
        <f t="shared" si="202"/>
        <v>0</v>
      </c>
      <c r="BD360" s="48">
        <f t="shared" si="203"/>
        <v>0</v>
      </c>
      <c r="BE360" s="48">
        <f t="shared" si="204"/>
        <v>0</v>
      </c>
      <c r="BF360" s="49">
        <f t="shared" si="205"/>
        <v>36</v>
      </c>
      <c r="BG360" s="50"/>
      <c r="BH360" s="51">
        <f t="shared" si="206"/>
        <v>36</v>
      </c>
      <c r="BI360" s="51">
        <f t="shared" si="207"/>
        <v>1</v>
      </c>
      <c r="BJ360" s="51">
        <f t="shared" si="208"/>
        <v>0</v>
      </c>
      <c r="BK360" s="52">
        <f t="shared" si="209"/>
        <v>0</v>
      </c>
      <c r="BL360" s="52">
        <f t="shared" si="210"/>
        <v>0</v>
      </c>
      <c r="BM360" s="52">
        <f t="shared" si="211"/>
        <v>0</v>
      </c>
    </row>
    <row r="361" spans="1:65" ht="30" customHeight="1" x14ac:dyDescent="0.25">
      <c r="A361" s="31" t="str">
        <f t="shared" ref="A361:A417" si="212">IF(C361&gt;0, VLOOKUP(C361,Код_ООП,11,FALSE()),0)</f>
        <v>Д</v>
      </c>
      <c r="B361" s="31" t="str">
        <f t="shared" ref="B361:B417" si="213">IF(C361&gt;0, VLOOKUP(C361,Код_ООП,12,FALSE()),0)</f>
        <v>Б</v>
      </c>
      <c r="C361" s="32" t="s">
        <v>226</v>
      </c>
      <c r="D361" s="33" t="str">
        <f t="shared" ref="D361:D417" si="214">IF(C361&gt;0,VLOOKUP(LEFT(C361,1),ОУП,2,FALSE()),0)</f>
        <v>Факультет физико-математических и естественных наук</v>
      </c>
      <c r="E361" s="34" t="str">
        <f t="shared" ref="E361:E417" si="215">IF(C361&gt;0, VLOOKUP(C361,Код_ООП,2,FALSE()),0)</f>
        <v>'38.03.05</v>
      </c>
      <c r="F361" s="35" t="str">
        <f t="shared" ref="F361:F417" si="216">IF(C361&gt;0, VLOOKUP(C361,Код_ООП,13,FALSE()),0)</f>
        <v>Бизнес-информатика</v>
      </c>
      <c r="G361" s="36" t="s">
        <v>76</v>
      </c>
      <c r="H361" s="36" t="s">
        <v>183</v>
      </c>
      <c r="I361" s="37"/>
      <c r="J361" s="37"/>
      <c r="K361" s="38" t="s">
        <v>228</v>
      </c>
      <c r="L361" s="39">
        <v>1</v>
      </c>
      <c r="M361" s="39">
        <v>18</v>
      </c>
      <c r="N361" s="40" t="s">
        <v>79</v>
      </c>
      <c r="O361" s="39">
        <v>1</v>
      </c>
      <c r="P361" s="39"/>
      <c r="Q361" s="39"/>
      <c r="R361" s="40"/>
      <c r="S361" s="41"/>
      <c r="T361" s="41"/>
      <c r="U361" s="41"/>
      <c r="V361" s="41"/>
      <c r="W361" s="41"/>
      <c r="X361" s="42" t="str">
        <f t="shared" ref="X361:X417" si="217">MID(C361,1,5)</f>
        <v>НБИбд</v>
      </c>
      <c r="Y361" s="43" t="s">
        <v>92</v>
      </c>
      <c r="Z361" s="39">
        <v>6</v>
      </c>
      <c r="AA361" s="39">
        <v>3</v>
      </c>
      <c r="AB361" s="42">
        <f t="shared" ref="AB361:AB417" si="218">AC361+AD361</f>
        <v>81</v>
      </c>
      <c r="AC361" s="39">
        <v>69</v>
      </c>
      <c r="AD361" s="39">
        <v>12</v>
      </c>
      <c r="AE361" s="44">
        <f t="shared" ref="AE361:AE417" si="219">IF(N361="сп",6,IF(N361="клн",8,IF(OR(N361="лаб",N361="ия"),12,IF(OR(N361="пр",N361="ТЕСТ"),IF(OR(B361="Б",B361="С"),24,12),IF(N361="лек",AB361,1)))))</f>
        <v>81</v>
      </c>
      <c r="AF361" s="45">
        <f t="shared" ref="AF361:AF417" si="220">IF(AG361&gt;1,1,AG361)</f>
        <v>1</v>
      </c>
      <c r="AG361" s="45">
        <f t="shared" ref="AG361:AG417" si="221">AB361/AE361</f>
        <v>1</v>
      </c>
      <c r="AH361" s="46" t="s">
        <v>82</v>
      </c>
      <c r="AI361" s="40" t="s">
        <v>83</v>
      </c>
      <c r="AJ361" s="40" t="s">
        <v>84</v>
      </c>
      <c r="AK361" s="47" t="s">
        <v>93</v>
      </c>
      <c r="AL361" s="40"/>
      <c r="AM361" s="48">
        <f t="shared" ref="AM361:AM417" si="222">IF(AB361&gt;0,IF(OR(N361="лек",N361="ТУИС"),O361*M361,0),0)</f>
        <v>18</v>
      </c>
      <c r="AN361" s="48">
        <f t="shared" ref="AN361:AN417" si="223">IF(OR(N361="пр",N361="ия",N361="сп"),Q361*AF361*M361,0)</f>
        <v>0</v>
      </c>
      <c r="AO361" s="48">
        <f t="shared" ref="AO361:AO417" si="224">IF(OR(N361="лаб",N361="клн"),P361*AF361*M361,0)</f>
        <v>0</v>
      </c>
      <c r="AP361" s="48">
        <f t="shared" ref="AP361:AP417" si="225">(IF((AND(OR(L361=1,L361=2,L361=3,L361=4,L361=5,L361=6,L361=7,L361=8,L361=9,L361=10,L361=11,L361=12),OR(R361="Зач",R361="Экз"))),ТКиРА*AB361,0)+IF(SUM(O361:Q361)&lt;&gt;0,IF(R361="ТК",ТКиРА*AB361,0),0))*(IF(G361="ФТД",0,1))</f>
        <v>0</v>
      </c>
      <c r="AQ361" s="48">
        <f t="shared" ref="AQ361:AQ417" si="226">IF(SUM(P361:Q361)&lt;&gt;0,IF(R361="Зач",ПАБРС*AB361,0),0)+IF(O361&lt;&gt;0,IF(R361="Экз",ПАБРС*AB361,0),0)</f>
        <v>0</v>
      </c>
      <c r="AR361" s="48">
        <f t="shared" ref="AR361:AR417" si="227">(IF(AQ361&lt;&gt;0,ОфВед*(IF(OR(N361="лек",N361="лаб"),AA361,AF361)),0))*(IF(G361="ФТД",0,1))</f>
        <v>0</v>
      </c>
      <c r="AS361" s="48">
        <f t="shared" ref="AS361:AS417" si="228">(IF(A361="Д",ТКЛД,IF(A361="В",ТКЛВ,IF(A361="З",ТКЛЗ,0))))*(IF(G361="ФТД",0,IF(B361="ЦМ",O361*M361,AM361)))*AA361</f>
        <v>2.7</v>
      </c>
      <c r="AT361" s="48">
        <f t="shared" ref="AT361:AT417" si="229">IF(S361="К",AB361*ВПКР,IF(S361="М",AB361*ВПИБ,0))</f>
        <v>0</v>
      </c>
      <c r="AU361" s="48">
        <f t="shared" ref="AU361:AU417" si="230">IF(OR(N361="лаб",N361="пр"),IF(T361="К",AB361*ВПКП,0),0)</f>
        <v>0</v>
      </c>
      <c r="AV361" s="48">
        <f t="shared" ref="AV361:AV417" si="231">IF(N361="УП",U361/1.5*AB361*РУП,IF(N361="УПМ",U361/1.5*AB361*РУПЛеч,0))</f>
        <v>0</v>
      </c>
      <c r="AW361" s="48">
        <f>IF(N361="ПП",РПП*AB361*(V361/1.5),IF(N361="ВП",ВПр*AB361*(V361/1.5),IF(N361="РПА",РПА*AB361*(V361/1.5),IF(N361="КПА",кпа*AB361*(V361/1.5),0))))</f>
        <v>0</v>
      </c>
      <c r="AX361" s="48">
        <f t="shared" ref="AX361:AX417" si="232">IF(N361="НР",(AC361*НИРМ+AD361*НИРМИн)*(W361/1.5),IF(N361="НИ",(AC361*НИРА+AD361*НИРАИ)*(W361/1.5),0))</f>
        <v>0</v>
      </c>
      <c r="AY361" s="48">
        <f t="shared" ref="AY361:AY417" si="233">IF(AND(N361="ЦП",B361="ЦМ"),AB361*ЦП,0)</f>
        <v>0</v>
      </c>
      <c r="AZ361" s="48">
        <f t="shared" ref="AZ361:AZ417" si="234">IF(B361="А",IF(N361="РР",AB361*РефАсп,IF(N361="РРФ",AB361*РефФил,0)),0)</f>
        <v>0</v>
      </c>
      <c r="BA361" s="48">
        <f t="shared" ref="BA361:BA417" si="235">IF(AND(R361="КЭ",N361="ЧК"),AB361*КдЭк,0)</f>
        <v>0</v>
      </c>
      <c r="BB361" s="48">
        <f t="shared" ref="BB361:BB417" si="236">IF(AND(N361="НКД",B361="Д"),AB361*НКД,0)+IF(AND(N361="РПЛ",B361="А"),AB361*РукПЛ,0)+IF(AND(N361="РСтж",B361="А"),AC361*РукСт+AD361*РукИСт,0)+IF(N361="ФГТ",AC361*РукРФа+AD361*РукИна,0)</f>
        <v>0</v>
      </c>
      <c r="BC361" s="48">
        <f t="shared" ref="BC361:BC417" si="237">IF(N361="РК",IF(OR(B361="С",B361="М",B361="ЦМ"),(AC361*РСМ+AD361*РСМИ),0),0)+IF(N361="РК",IF(B361="Б",(AC361*РБ+AD361*РБИ),0),0)+IF(N361="РК",IF(B361="А",(AC361*РНКР+AD361*РНКРИн),0),0)+IF(AND(R361="ПАкр"),AB361*0.3)</f>
        <v>0</v>
      </c>
      <c r="BD361" s="48">
        <f t="shared" ref="BD361:BD417" si="238">IF(N361="РДП",IF(B361="А",AB361*РРА,IF(OR(B361="С",B361="М",B361="ЦМ"),AB361*РРСМ,IF(B361="Б",AB361*РРБ,0))),IF(N361="РДИ",AB361*РДП,0))</f>
        <v>0</v>
      </c>
      <c r="BE361" s="48">
        <f t="shared" ref="BE361:BE417" si="239">IF(N361="ЧГ",AB361*ЧГ,IF(N361="ПГ",AB361*ПГ,IF(N361="ТЕСТ",ТГИЭ*AF361,IF(N361="СГ",AB361*СГ,0))))</f>
        <v>0</v>
      </c>
      <c r="BF361" s="49">
        <f t="shared" ref="BF361:BF417" si="240">SUM(AM361:BE361)</f>
        <v>20.7</v>
      </c>
      <c r="BG361" s="50"/>
      <c r="BH361" s="51">
        <f t="shared" ref="BH361:BH417" si="241">IF(OR(L361="1;1",L361="1;2",L361=1,L361="3;1",L361="3;2",L361=3,L361="5;1",L361="5;2",L361=5,L361="7;1",L361="7;2",L361=7,L361="9;1",L361="9;2",L361=9,L361=11),SUM(AM361:AO361),0)</f>
        <v>18</v>
      </c>
      <c r="BI361" s="51">
        <f t="shared" ref="BI361:BI417" si="242">IF(BH361&lt;&gt;0,SUM(O361:Q361)/2,0)</f>
        <v>0.5</v>
      </c>
      <c r="BJ361" s="51">
        <f t="shared" ref="BJ361:BJ417" si="243">IF(OR(L361="1;1",L361="1;2",L361=1,L361="3;1",L361="3;2",L361=3,L361="5;1",L361="5;2",L361=5,L361="7;1",L361="7;2",L361=7,L361="9;1",L361="9;2",L361=9,L361=11),SUM(AP361:BE361),0)</f>
        <v>2.7</v>
      </c>
      <c r="BK361" s="52">
        <f t="shared" ref="BK361:BK417" si="244">IF(OR(L361="2;3",L361="2;4",L361=2,L361="4;3",L361="4;4",L361=4,L361="6;3",L361="6;4",L361=6,L361="8;3",L361="8;4",L361=8,L361="10;3",L361="10;4",L361=10,L361=12),SUM(AM361:AO361),0)</f>
        <v>0</v>
      </c>
      <c r="BL361" s="52">
        <f t="shared" ref="BL361:BL417" si="245">IF(BK361&lt;&gt;0,SUM(O361:Q361)/2,0)</f>
        <v>0</v>
      </c>
      <c r="BM361" s="52">
        <f t="shared" ref="BM361:BM417" si="246">IF(OR(L361="2;3",L361="2;4",L361=2,L361="4;3",L361="4;4",L361=4,L361="6;3",L361="6;4",L361=6,L361="8;3",L361="8;4",L361=8,L361="10;3",L361="10;4",L361=10,L361=12),SUM(AP361:BE361),0)</f>
        <v>0</v>
      </c>
    </row>
    <row r="362" spans="1:65" ht="30" customHeight="1" x14ac:dyDescent="0.25">
      <c r="A362" s="31" t="str">
        <f t="shared" si="212"/>
        <v>Д</v>
      </c>
      <c r="B362" s="31" t="str">
        <f t="shared" si="213"/>
        <v>Б</v>
      </c>
      <c r="C362" s="32" t="s">
        <v>226</v>
      </c>
      <c r="D362" s="33" t="str">
        <f t="shared" si="214"/>
        <v>Факультет физико-математических и естественных наук</v>
      </c>
      <c r="E362" s="34" t="str">
        <f t="shared" si="215"/>
        <v>'38.03.05</v>
      </c>
      <c r="F362" s="35" t="str">
        <f t="shared" si="216"/>
        <v>Бизнес-информатика</v>
      </c>
      <c r="G362" s="36" t="s">
        <v>76</v>
      </c>
      <c r="H362" s="36" t="s">
        <v>183</v>
      </c>
      <c r="I362" s="37"/>
      <c r="J362" s="37"/>
      <c r="K362" s="38" t="s">
        <v>228</v>
      </c>
      <c r="L362" s="39">
        <v>1</v>
      </c>
      <c r="M362" s="39">
        <v>18</v>
      </c>
      <c r="N362" s="40" t="s">
        <v>94</v>
      </c>
      <c r="O362" s="39"/>
      <c r="P362" s="39">
        <v>2</v>
      </c>
      <c r="Q362" s="39"/>
      <c r="R362" s="40" t="s">
        <v>95</v>
      </c>
      <c r="S362" s="41"/>
      <c r="T362" s="41"/>
      <c r="U362" s="41"/>
      <c r="V362" s="41"/>
      <c r="W362" s="41"/>
      <c r="X362" s="42" t="str">
        <f t="shared" si="217"/>
        <v>НБИбд</v>
      </c>
      <c r="Y362" s="43" t="s">
        <v>87</v>
      </c>
      <c r="Z362" s="39">
        <v>1</v>
      </c>
      <c r="AA362" s="39">
        <v>1</v>
      </c>
      <c r="AB362" s="42">
        <f t="shared" si="218"/>
        <v>27</v>
      </c>
      <c r="AC362" s="39">
        <v>23</v>
      </c>
      <c r="AD362" s="39">
        <v>4</v>
      </c>
      <c r="AE362" s="44">
        <f t="shared" si="219"/>
        <v>12</v>
      </c>
      <c r="AF362" s="45">
        <f t="shared" si="220"/>
        <v>1</v>
      </c>
      <c r="AG362" s="45">
        <f t="shared" si="221"/>
        <v>2.25</v>
      </c>
      <c r="AH362" s="46" t="s">
        <v>82</v>
      </c>
      <c r="AI362" s="40" t="s">
        <v>83</v>
      </c>
      <c r="AJ362" s="40" t="s">
        <v>84</v>
      </c>
      <c r="AK362" s="47" t="s">
        <v>93</v>
      </c>
      <c r="AL362" s="40"/>
      <c r="AM362" s="48">
        <f t="shared" si="222"/>
        <v>0</v>
      </c>
      <c r="AN362" s="48">
        <f t="shared" si="223"/>
        <v>0</v>
      </c>
      <c r="AO362" s="48">
        <f t="shared" si="224"/>
        <v>36</v>
      </c>
      <c r="AP362" s="48">
        <f t="shared" si="225"/>
        <v>8.91</v>
      </c>
      <c r="AQ362" s="48">
        <f t="shared" si="226"/>
        <v>13.5</v>
      </c>
      <c r="AR362" s="48">
        <f t="shared" si="227"/>
        <v>1</v>
      </c>
      <c r="AS362" s="48">
        <f t="shared" si="228"/>
        <v>0</v>
      </c>
      <c r="AT362" s="48">
        <f t="shared" si="229"/>
        <v>0</v>
      </c>
      <c r="AU362" s="48">
        <f t="shared" si="230"/>
        <v>0</v>
      </c>
      <c r="AV362" s="48">
        <f t="shared" si="231"/>
        <v>0</v>
      </c>
      <c r="AW362" s="48">
        <f>IF(N362="ПП",РПП*AB362*(V362/1.5),IF(N362="ВП",ВПр*AB362*(V362/1.5),IF(N362="РПА",РПА*AB362*(V362/1.5),IF(N362="КПА",кпа*AB362*(V362/1.5),0))))</f>
        <v>0</v>
      </c>
      <c r="AX362" s="48">
        <f t="shared" si="232"/>
        <v>0</v>
      </c>
      <c r="AY362" s="48">
        <f t="shared" si="233"/>
        <v>0</v>
      </c>
      <c r="AZ362" s="48">
        <f t="shared" si="234"/>
        <v>0</v>
      </c>
      <c r="BA362" s="48">
        <f t="shared" si="235"/>
        <v>0</v>
      </c>
      <c r="BB362" s="48">
        <f t="shared" si="236"/>
        <v>0</v>
      </c>
      <c r="BC362" s="48">
        <f t="shared" si="237"/>
        <v>0</v>
      </c>
      <c r="BD362" s="48">
        <f t="shared" si="238"/>
        <v>0</v>
      </c>
      <c r="BE362" s="48">
        <f t="shared" si="239"/>
        <v>0</v>
      </c>
      <c r="BF362" s="49">
        <f t="shared" si="240"/>
        <v>59.41</v>
      </c>
      <c r="BG362" s="50"/>
      <c r="BH362" s="51">
        <f t="shared" si="241"/>
        <v>36</v>
      </c>
      <c r="BI362" s="51">
        <f t="shared" si="242"/>
        <v>1</v>
      </c>
      <c r="BJ362" s="51">
        <f t="shared" si="243"/>
        <v>23.41</v>
      </c>
      <c r="BK362" s="52">
        <f t="shared" si="244"/>
        <v>0</v>
      </c>
      <c r="BL362" s="52">
        <f t="shared" si="245"/>
        <v>0</v>
      </c>
      <c r="BM362" s="52">
        <f t="shared" si="246"/>
        <v>0</v>
      </c>
    </row>
    <row r="363" spans="1:65" ht="30" customHeight="1" x14ac:dyDescent="0.25">
      <c r="A363" s="31" t="str">
        <f t="shared" si="212"/>
        <v>Д</v>
      </c>
      <c r="B363" s="31" t="str">
        <f t="shared" si="213"/>
        <v>Б</v>
      </c>
      <c r="C363" s="32" t="s">
        <v>226</v>
      </c>
      <c r="D363" s="33" t="str">
        <f t="shared" si="214"/>
        <v>Факультет физико-математических и естественных наук</v>
      </c>
      <c r="E363" s="34" t="str">
        <f t="shared" si="215"/>
        <v>'38.03.05</v>
      </c>
      <c r="F363" s="35" t="str">
        <f t="shared" si="216"/>
        <v>Бизнес-информатика</v>
      </c>
      <c r="G363" s="36" t="s">
        <v>76</v>
      </c>
      <c r="H363" s="36" t="s">
        <v>183</v>
      </c>
      <c r="I363" s="37"/>
      <c r="J363" s="37"/>
      <c r="K363" s="38" t="s">
        <v>228</v>
      </c>
      <c r="L363" s="39">
        <v>1</v>
      </c>
      <c r="M363" s="39">
        <v>18</v>
      </c>
      <c r="N363" s="40" t="s">
        <v>94</v>
      </c>
      <c r="O363" s="39"/>
      <c r="P363" s="39">
        <v>2</v>
      </c>
      <c r="Q363" s="39"/>
      <c r="R363" s="40" t="s">
        <v>95</v>
      </c>
      <c r="S363" s="41"/>
      <c r="T363" s="41"/>
      <c r="U363" s="41"/>
      <c r="V363" s="41"/>
      <c r="W363" s="41"/>
      <c r="X363" s="42" t="str">
        <f t="shared" si="217"/>
        <v>НБИбд</v>
      </c>
      <c r="Y363" s="43" t="s">
        <v>87</v>
      </c>
      <c r="Z363" s="39">
        <v>1</v>
      </c>
      <c r="AA363" s="39">
        <v>1</v>
      </c>
      <c r="AB363" s="42">
        <f t="shared" si="218"/>
        <v>0</v>
      </c>
      <c r="AC363" s="39"/>
      <c r="AD363" s="39"/>
      <c r="AE363" s="44">
        <f t="shared" si="219"/>
        <v>12</v>
      </c>
      <c r="AF363" s="45">
        <f t="shared" si="220"/>
        <v>0</v>
      </c>
      <c r="AG363" s="45">
        <f t="shared" si="221"/>
        <v>0</v>
      </c>
      <c r="AH363" s="46" t="s">
        <v>82</v>
      </c>
      <c r="AI363" s="40" t="s">
        <v>83</v>
      </c>
      <c r="AJ363" s="40" t="s">
        <v>84</v>
      </c>
      <c r="AK363" s="47" t="s">
        <v>93</v>
      </c>
      <c r="AL363" s="40"/>
      <c r="AM363" s="48">
        <f t="shared" si="222"/>
        <v>0</v>
      </c>
      <c r="AN363" s="48">
        <f t="shared" si="223"/>
        <v>0</v>
      </c>
      <c r="AO363" s="48">
        <f t="shared" si="224"/>
        <v>0</v>
      </c>
      <c r="AP363" s="48">
        <f t="shared" si="225"/>
        <v>0</v>
      </c>
      <c r="AQ363" s="48">
        <f t="shared" si="226"/>
        <v>0</v>
      </c>
      <c r="AR363" s="48">
        <f t="shared" si="227"/>
        <v>0</v>
      </c>
      <c r="AS363" s="48">
        <f t="shared" si="228"/>
        <v>0</v>
      </c>
      <c r="AT363" s="48">
        <f t="shared" si="229"/>
        <v>0</v>
      </c>
      <c r="AU363" s="48">
        <f t="shared" si="230"/>
        <v>0</v>
      </c>
      <c r="AV363" s="48">
        <f t="shared" si="231"/>
        <v>0</v>
      </c>
      <c r="AW363" s="48">
        <f>IF(N363="ПП",РПП*AB363*(V363/1.5),IF(N363="ВП",ВПр*AB363*(V363/1.5),IF(N363="РПА",РПА*AB363*(V363/1.5),IF(N363="КПА",кпа*AB363*(V363/1.5),0))))</f>
        <v>0</v>
      </c>
      <c r="AX363" s="48">
        <f t="shared" si="232"/>
        <v>0</v>
      </c>
      <c r="AY363" s="48">
        <f t="shared" si="233"/>
        <v>0</v>
      </c>
      <c r="AZ363" s="48">
        <f t="shared" si="234"/>
        <v>0</v>
      </c>
      <c r="BA363" s="48">
        <f t="shared" si="235"/>
        <v>0</v>
      </c>
      <c r="BB363" s="48">
        <f t="shared" si="236"/>
        <v>0</v>
      </c>
      <c r="BC363" s="48">
        <f t="shared" si="237"/>
        <v>0</v>
      </c>
      <c r="BD363" s="48">
        <f t="shared" si="238"/>
        <v>0</v>
      </c>
      <c r="BE363" s="48">
        <f t="shared" si="239"/>
        <v>0</v>
      </c>
      <c r="BF363" s="49">
        <f t="shared" si="240"/>
        <v>0</v>
      </c>
      <c r="BG363" s="50"/>
      <c r="BH363" s="51">
        <f t="shared" si="241"/>
        <v>0</v>
      </c>
      <c r="BI363" s="51">
        <f t="shared" si="242"/>
        <v>0</v>
      </c>
      <c r="BJ363" s="51">
        <f t="shared" si="243"/>
        <v>0</v>
      </c>
      <c r="BK363" s="52">
        <f t="shared" si="244"/>
        <v>0</v>
      </c>
      <c r="BL363" s="52">
        <f t="shared" si="245"/>
        <v>0</v>
      </c>
      <c r="BM363" s="52">
        <f t="shared" si="246"/>
        <v>0</v>
      </c>
    </row>
    <row r="364" spans="1:65" ht="30" customHeight="1" x14ac:dyDescent="0.25">
      <c r="A364" s="31" t="str">
        <f t="shared" si="212"/>
        <v>Д</v>
      </c>
      <c r="B364" s="31" t="str">
        <f t="shared" si="213"/>
        <v>Б</v>
      </c>
      <c r="C364" s="32" t="s">
        <v>226</v>
      </c>
      <c r="D364" s="33" t="str">
        <f t="shared" si="214"/>
        <v>Факультет физико-математических и естественных наук</v>
      </c>
      <c r="E364" s="34" t="str">
        <f t="shared" si="215"/>
        <v>'38.03.05</v>
      </c>
      <c r="F364" s="35" t="str">
        <f t="shared" si="216"/>
        <v>Бизнес-информатика</v>
      </c>
      <c r="G364" s="36" t="s">
        <v>76</v>
      </c>
      <c r="H364" s="36" t="s">
        <v>183</v>
      </c>
      <c r="I364" s="37"/>
      <c r="J364" s="37"/>
      <c r="K364" s="38" t="s">
        <v>228</v>
      </c>
      <c r="L364" s="39">
        <v>1</v>
      </c>
      <c r="M364" s="39">
        <v>18</v>
      </c>
      <c r="N364" s="40" t="s">
        <v>94</v>
      </c>
      <c r="O364" s="39"/>
      <c r="P364" s="39">
        <v>2</v>
      </c>
      <c r="Q364" s="39"/>
      <c r="R364" s="40" t="s">
        <v>95</v>
      </c>
      <c r="S364" s="41"/>
      <c r="T364" s="41"/>
      <c r="U364" s="41"/>
      <c r="V364" s="41"/>
      <c r="W364" s="41"/>
      <c r="X364" s="42" t="str">
        <f t="shared" si="217"/>
        <v>НБИбд</v>
      </c>
      <c r="Y364" s="43" t="s">
        <v>88</v>
      </c>
      <c r="Z364" s="39">
        <v>1</v>
      </c>
      <c r="AA364" s="39">
        <v>1</v>
      </c>
      <c r="AB364" s="42">
        <f t="shared" si="218"/>
        <v>27</v>
      </c>
      <c r="AC364" s="39">
        <v>23</v>
      </c>
      <c r="AD364" s="39">
        <v>4</v>
      </c>
      <c r="AE364" s="44">
        <f t="shared" si="219"/>
        <v>12</v>
      </c>
      <c r="AF364" s="45">
        <f t="shared" si="220"/>
        <v>1</v>
      </c>
      <c r="AG364" s="45">
        <f t="shared" si="221"/>
        <v>2.25</v>
      </c>
      <c r="AH364" s="46" t="s">
        <v>82</v>
      </c>
      <c r="AI364" s="40" t="s">
        <v>99</v>
      </c>
      <c r="AJ364" s="40" t="s">
        <v>84</v>
      </c>
      <c r="AK364" s="47" t="s">
        <v>109</v>
      </c>
      <c r="AL364" s="40"/>
      <c r="AM364" s="48">
        <f t="shared" si="222"/>
        <v>0</v>
      </c>
      <c r="AN364" s="48">
        <f t="shared" si="223"/>
        <v>0</v>
      </c>
      <c r="AO364" s="48">
        <f t="shared" si="224"/>
        <v>36</v>
      </c>
      <c r="AP364" s="48">
        <f t="shared" si="225"/>
        <v>8.91</v>
      </c>
      <c r="AQ364" s="48">
        <f t="shared" si="226"/>
        <v>13.5</v>
      </c>
      <c r="AR364" s="48">
        <f t="shared" si="227"/>
        <v>1</v>
      </c>
      <c r="AS364" s="48">
        <f t="shared" si="228"/>
        <v>0</v>
      </c>
      <c r="AT364" s="48">
        <f t="shared" si="229"/>
        <v>0</v>
      </c>
      <c r="AU364" s="48">
        <f t="shared" si="230"/>
        <v>0</v>
      </c>
      <c r="AV364" s="48">
        <f t="shared" si="231"/>
        <v>0</v>
      </c>
      <c r="AW364" s="48">
        <f>IF(N364="ПП",РПП*AB364*(V364/1.5),IF(N364="ВП",ВПр*AB364*(V364/1.5),IF(N364="РПА",РПА*AB364*(V364/1.5),IF(N364="КПА",кпа*AB364*(V364/1.5),0))))</f>
        <v>0</v>
      </c>
      <c r="AX364" s="48">
        <f t="shared" si="232"/>
        <v>0</v>
      </c>
      <c r="AY364" s="48">
        <f t="shared" si="233"/>
        <v>0</v>
      </c>
      <c r="AZ364" s="48">
        <f t="shared" si="234"/>
        <v>0</v>
      </c>
      <c r="BA364" s="48">
        <f t="shared" si="235"/>
        <v>0</v>
      </c>
      <c r="BB364" s="48">
        <f t="shared" si="236"/>
        <v>0</v>
      </c>
      <c r="BC364" s="48">
        <f t="shared" si="237"/>
        <v>0</v>
      </c>
      <c r="BD364" s="48">
        <f t="shared" si="238"/>
        <v>0</v>
      </c>
      <c r="BE364" s="48">
        <f t="shared" si="239"/>
        <v>0</v>
      </c>
      <c r="BF364" s="49">
        <f t="shared" si="240"/>
        <v>59.41</v>
      </c>
      <c r="BG364" s="50"/>
      <c r="BH364" s="51">
        <f t="shared" si="241"/>
        <v>36</v>
      </c>
      <c r="BI364" s="51">
        <f t="shared" si="242"/>
        <v>1</v>
      </c>
      <c r="BJ364" s="51">
        <f t="shared" si="243"/>
        <v>23.41</v>
      </c>
      <c r="BK364" s="52">
        <f t="shared" si="244"/>
        <v>0</v>
      </c>
      <c r="BL364" s="52">
        <f t="shared" si="245"/>
        <v>0</v>
      </c>
      <c r="BM364" s="52">
        <f t="shared" si="246"/>
        <v>0</v>
      </c>
    </row>
    <row r="365" spans="1:65" ht="30" customHeight="1" x14ac:dyDescent="0.25">
      <c r="A365" s="31" t="str">
        <f t="shared" si="212"/>
        <v>Д</v>
      </c>
      <c r="B365" s="31" t="str">
        <f t="shared" si="213"/>
        <v>Б</v>
      </c>
      <c r="C365" s="32" t="s">
        <v>226</v>
      </c>
      <c r="D365" s="33" t="str">
        <f t="shared" si="214"/>
        <v>Факультет физико-математических и естественных наук</v>
      </c>
      <c r="E365" s="34" t="str">
        <f t="shared" si="215"/>
        <v>'38.03.05</v>
      </c>
      <c r="F365" s="35" t="str">
        <f t="shared" si="216"/>
        <v>Бизнес-информатика</v>
      </c>
      <c r="G365" s="36" t="s">
        <v>76</v>
      </c>
      <c r="H365" s="36" t="s">
        <v>183</v>
      </c>
      <c r="I365" s="37"/>
      <c r="J365" s="37"/>
      <c r="K365" s="38" t="s">
        <v>228</v>
      </c>
      <c r="L365" s="39">
        <v>1</v>
      </c>
      <c r="M365" s="39">
        <v>18</v>
      </c>
      <c r="N365" s="40" t="s">
        <v>94</v>
      </c>
      <c r="O365" s="39"/>
      <c r="P365" s="39">
        <v>2</v>
      </c>
      <c r="Q365" s="39"/>
      <c r="R365" s="40" t="s">
        <v>95</v>
      </c>
      <c r="S365" s="41"/>
      <c r="T365" s="41"/>
      <c r="U365" s="41"/>
      <c r="V365" s="41"/>
      <c r="W365" s="41"/>
      <c r="X365" s="42" t="str">
        <f t="shared" si="217"/>
        <v>НБИбд</v>
      </c>
      <c r="Y365" s="43" t="s">
        <v>88</v>
      </c>
      <c r="Z365" s="39">
        <v>1</v>
      </c>
      <c r="AA365" s="39">
        <v>1</v>
      </c>
      <c r="AB365" s="42">
        <f t="shared" si="218"/>
        <v>0</v>
      </c>
      <c r="AC365" s="39"/>
      <c r="AD365" s="39"/>
      <c r="AE365" s="44">
        <f t="shared" si="219"/>
        <v>12</v>
      </c>
      <c r="AF365" s="45">
        <f t="shared" si="220"/>
        <v>0</v>
      </c>
      <c r="AG365" s="45">
        <f t="shared" si="221"/>
        <v>0</v>
      </c>
      <c r="AH365" s="46" t="s">
        <v>82</v>
      </c>
      <c r="AI365" s="40" t="s">
        <v>99</v>
      </c>
      <c r="AJ365" s="40" t="s">
        <v>84</v>
      </c>
      <c r="AK365" s="47" t="s">
        <v>109</v>
      </c>
      <c r="AL365" s="40"/>
      <c r="AM365" s="48">
        <f t="shared" si="222"/>
        <v>0</v>
      </c>
      <c r="AN365" s="48">
        <f t="shared" si="223"/>
        <v>0</v>
      </c>
      <c r="AO365" s="48">
        <f t="shared" si="224"/>
        <v>0</v>
      </c>
      <c r="AP365" s="48">
        <f t="shared" si="225"/>
        <v>0</v>
      </c>
      <c r="AQ365" s="48">
        <f t="shared" si="226"/>
        <v>0</v>
      </c>
      <c r="AR365" s="48">
        <f t="shared" si="227"/>
        <v>0</v>
      </c>
      <c r="AS365" s="48">
        <f t="shared" si="228"/>
        <v>0</v>
      </c>
      <c r="AT365" s="48">
        <f t="shared" si="229"/>
        <v>0</v>
      </c>
      <c r="AU365" s="48">
        <f t="shared" si="230"/>
        <v>0</v>
      </c>
      <c r="AV365" s="48">
        <f t="shared" si="231"/>
        <v>0</v>
      </c>
      <c r="AW365" s="48">
        <f>IF(N365="ПП",РПП*AB365*(V365/1.5),IF(N365="ВП",ВПр*AB365*(V365/1.5),IF(N365="РПА",РПА*AB365*(V365/1.5),IF(N365="КПА",кпа*AB365*(V365/1.5),0))))</f>
        <v>0</v>
      </c>
      <c r="AX365" s="48">
        <f t="shared" si="232"/>
        <v>0</v>
      </c>
      <c r="AY365" s="48">
        <f t="shared" si="233"/>
        <v>0</v>
      </c>
      <c r="AZ365" s="48">
        <f t="shared" si="234"/>
        <v>0</v>
      </c>
      <c r="BA365" s="48">
        <f t="shared" si="235"/>
        <v>0</v>
      </c>
      <c r="BB365" s="48">
        <f t="shared" si="236"/>
        <v>0</v>
      </c>
      <c r="BC365" s="48">
        <f t="shared" si="237"/>
        <v>0</v>
      </c>
      <c r="BD365" s="48">
        <f t="shared" si="238"/>
        <v>0</v>
      </c>
      <c r="BE365" s="48">
        <f t="shared" si="239"/>
        <v>0</v>
      </c>
      <c r="BF365" s="49">
        <f t="shared" si="240"/>
        <v>0</v>
      </c>
      <c r="BG365" s="50"/>
      <c r="BH365" s="51">
        <f t="shared" si="241"/>
        <v>0</v>
      </c>
      <c r="BI365" s="51">
        <f t="shared" si="242"/>
        <v>0</v>
      </c>
      <c r="BJ365" s="51">
        <f t="shared" si="243"/>
        <v>0</v>
      </c>
      <c r="BK365" s="52">
        <f t="shared" si="244"/>
        <v>0</v>
      </c>
      <c r="BL365" s="52">
        <f t="shared" si="245"/>
        <v>0</v>
      </c>
      <c r="BM365" s="52">
        <f t="shared" si="246"/>
        <v>0</v>
      </c>
    </row>
    <row r="366" spans="1:65" ht="30" customHeight="1" x14ac:dyDescent="0.25">
      <c r="A366" s="31" t="str">
        <f t="shared" si="212"/>
        <v>Д</v>
      </c>
      <c r="B366" s="31" t="str">
        <f t="shared" si="213"/>
        <v>Б</v>
      </c>
      <c r="C366" s="32" t="s">
        <v>226</v>
      </c>
      <c r="D366" s="33" t="str">
        <f t="shared" si="214"/>
        <v>Факультет физико-математических и естественных наук</v>
      </c>
      <c r="E366" s="34" t="str">
        <f t="shared" si="215"/>
        <v>'38.03.05</v>
      </c>
      <c r="F366" s="35" t="str">
        <f t="shared" si="216"/>
        <v>Бизнес-информатика</v>
      </c>
      <c r="G366" s="36" t="s">
        <v>76</v>
      </c>
      <c r="H366" s="36" t="s">
        <v>183</v>
      </c>
      <c r="I366" s="37"/>
      <c r="J366" s="37"/>
      <c r="K366" s="38" t="s">
        <v>228</v>
      </c>
      <c r="L366" s="39">
        <v>1</v>
      </c>
      <c r="M366" s="39">
        <v>18</v>
      </c>
      <c r="N366" s="40" t="s">
        <v>94</v>
      </c>
      <c r="O366" s="39"/>
      <c r="P366" s="39">
        <v>2</v>
      </c>
      <c r="Q366" s="39"/>
      <c r="R366" s="40" t="s">
        <v>95</v>
      </c>
      <c r="S366" s="41"/>
      <c r="T366" s="41"/>
      <c r="U366" s="41"/>
      <c r="V366" s="41"/>
      <c r="W366" s="41"/>
      <c r="X366" s="42" t="str">
        <f t="shared" si="217"/>
        <v>НБИбд</v>
      </c>
      <c r="Y366" s="43" t="s">
        <v>89</v>
      </c>
      <c r="Z366" s="39">
        <v>1</v>
      </c>
      <c r="AA366" s="39">
        <v>1</v>
      </c>
      <c r="AB366" s="42">
        <f t="shared" si="218"/>
        <v>27</v>
      </c>
      <c r="AC366" s="39">
        <v>23</v>
      </c>
      <c r="AD366" s="39">
        <v>4</v>
      </c>
      <c r="AE366" s="44">
        <f t="shared" si="219"/>
        <v>12</v>
      </c>
      <c r="AF366" s="45">
        <f t="shared" si="220"/>
        <v>1</v>
      </c>
      <c r="AG366" s="45">
        <f t="shared" si="221"/>
        <v>2.25</v>
      </c>
      <c r="AH366" s="46" t="s">
        <v>82</v>
      </c>
      <c r="AI366" s="40" t="s">
        <v>99</v>
      </c>
      <c r="AJ366" s="40" t="s">
        <v>84</v>
      </c>
      <c r="AK366" s="47" t="s">
        <v>109</v>
      </c>
      <c r="AL366" s="40"/>
      <c r="AM366" s="48">
        <f t="shared" si="222"/>
        <v>0</v>
      </c>
      <c r="AN366" s="48">
        <f t="shared" si="223"/>
        <v>0</v>
      </c>
      <c r="AO366" s="48">
        <f t="shared" si="224"/>
        <v>36</v>
      </c>
      <c r="AP366" s="48">
        <f t="shared" si="225"/>
        <v>8.91</v>
      </c>
      <c r="AQ366" s="48">
        <f t="shared" si="226"/>
        <v>13.5</v>
      </c>
      <c r="AR366" s="48">
        <f t="shared" si="227"/>
        <v>1</v>
      </c>
      <c r="AS366" s="48">
        <f t="shared" si="228"/>
        <v>0</v>
      </c>
      <c r="AT366" s="48">
        <f t="shared" si="229"/>
        <v>0</v>
      </c>
      <c r="AU366" s="48">
        <f t="shared" si="230"/>
        <v>0</v>
      </c>
      <c r="AV366" s="48">
        <f t="shared" si="231"/>
        <v>0</v>
      </c>
      <c r="AW366" s="48">
        <f>IF(N366="ПП",РПП*AB366*(V366/1.5),IF(N366="ВП",ВПр*AB366*(V366/1.5),IF(N366="РПА",РПА*AB366*(V366/1.5),IF(N366="КПА",кпа*AB366*(V366/1.5),0))))</f>
        <v>0</v>
      </c>
      <c r="AX366" s="48">
        <f t="shared" si="232"/>
        <v>0</v>
      </c>
      <c r="AY366" s="48">
        <f t="shared" si="233"/>
        <v>0</v>
      </c>
      <c r="AZ366" s="48">
        <f t="shared" si="234"/>
        <v>0</v>
      </c>
      <c r="BA366" s="48">
        <f t="shared" si="235"/>
        <v>0</v>
      </c>
      <c r="BB366" s="48">
        <f t="shared" si="236"/>
        <v>0</v>
      </c>
      <c r="BC366" s="48">
        <f t="shared" si="237"/>
        <v>0</v>
      </c>
      <c r="BD366" s="48">
        <f t="shared" si="238"/>
        <v>0</v>
      </c>
      <c r="BE366" s="48">
        <f t="shared" si="239"/>
        <v>0</v>
      </c>
      <c r="BF366" s="49">
        <f t="shared" si="240"/>
        <v>59.41</v>
      </c>
      <c r="BG366" s="50"/>
      <c r="BH366" s="51">
        <f t="shared" si="241"/>
        <v>36</v>
      </c>
      <c r="BI366" s="51">
        <f t="shared" si="242"/>
        <v>1</v>
      </c>
      <c r="BJ366" s="51">
        <f t="shared" si="243"/>
        <v>23.41</v>
      </c>
      <c r="BK366" s="52">
        <f t="shared" si="244"/>
        <v>0</v>
      </c>
      <c r="BL366" s="52">
        <f t="shared" si="245"/>
        <v>0</v>
      </c>
      <c r="BM366" s="52">
        <f t="shared" si="246"/>
        <v>0</v>
      </c>
    </row>
    <row r="367" spans="1:65" ht="30" customHeight="1" x14ac:dyDescent="0.25">
      <c r="A367" s="31" t="str">
        <f t="shared" si="212"/>
        <v>Д</v>
      </c>
      <c r="B367" s="31" t="str">
        <f t="shared" si="213"/>
        <v>Б</v>
      </c>
      <c r="C367" s="32" t="s">
        <v>226</v>
      </c>
      <c r="D367" s="33" t="str">
        <f t="shared" si="214"/>
        <v>Факультет физико-математических и естественных наук</v>
      </c>
      <c r="E367" s="34" t="str">
        <f t="shared" si="215"/>
        <v>'38.03.05</v>
      </c>
      <c r="F367" s="35" t="str">
        <f t="shared" si="216"/>
        <v>Бизнес-информатика</v>
      </c>
      <c r="G367" s="36" t="s">
        <v>76</v>
      </c>
      <c r="H367" s="36" t="s">
        <v>183</v>
      </c>
      <c r="I367" s="37"/>
      <c r="J367" s="37"/>
      <c r="K367" s="38" t="s">
        <v>228</v>
      </c>
      <c r="L367" s="39">
        <v>1</v>
      </c>
      <c r="M367" s="39">
        <v>18</v>
      </c>
      <c r="N367" s="40" t="s">
        <v>94</v>
      </c>
      <c r="O367" s="39"/>
      <c r="P367" s="39">
        <v>2</v>
      </c>
      <c r="Q367" s="39"/>
      <c r="R367" s="40" t="s">
        <v>95</v>
      </c>
      <c r="S367" s="41"/>
      <c r="T367" s="41"/>
      <c r="U367" s="41"/>
      <c r="V367" s="41"/>
      <c r="W367" s="41"/>
      <c r="X367" s="42" t="str">
        <f t="shared" si="217"/>
        <v>НБИбд</v>
      </c>
      <c r="Y367" s="43" t="s">
        <v>89</v>
      </c>
      <c r="Z367" s="39">
        <v>1</v>
      </c>
      <c r="AA367" s="39">
        <v>1</v>
      </c>
      <c r="AB367" s="42">
        <f t="shared" si="218"/>
        <v>0</v>
      </c>
      <c r="AC367" s="39"/>
      <c r="AD367" s="39"/>
      <c r="AE367" s="44">
        <f t="shared" si="219"/>
        <v>12</v>
      </c>
      <c r="AF367" s="45">
        <f t="shared" si="220"/>
        <v>0</v>
      </c>
      <c r="AG367" s="45">
        <f t="shared" si="221"/>
        <v>0</v>
      </c>
      <c r="AH367" s="46" t="s">
        <v>82</v>
      </c>
      <c r="AI367" s="40" t="s">
        <v>99</v>
      </c>
      <c r="AJ367" s="40" t="s">
        <v>84</v>
      </c>
      <c r="AK367" s="47" t="s">
        <v>109</v>
      </c>
      <c r="AL367" s="40"/>
      <c r="AM367" s="48">
        <f t="shared" si="222"/>
        <v>0</v>
      </c>
      <c r="AN367" s="48">
        <f t="shared" si="223"/>
        <v>0</v>
      </c>
      <c r="AO367" s="48">
        <f t="shared" si="224"/>
        <v>0</v>
      </c>
      <c r="AP367" s="48">
        <f t="shared" si="225"/>
        <v>0</v>
      </c>
      <c r="AQ367" s="48">
        <f t="shared" si="226"/>
        <v>0</v>
      </c>
      <c r="AR367" s="48">
        <f t="shared" si="227"/>
        <v>0</v>
      </c>
      <c r="AS367" s="48">
        <f t="shared" si="228"/>
        <v>0</v>
      </c>
      <c r="AT367" s="48">
        <f t="shared" si="229"/>
        <v>0</v>
      </c>
      <c r="AU367" s="48">
        <f t="shared" si="230"/>
        <v>0</v>
      </c>
      <c r="AV367" s="48">
        <f t="shared" si="231"/>
        <v>0</v>
      </c>
      <c r="AW367" s="48">
        <f>IF(N367="ПП",РПП*AB367*(V367/1.5),IF(N367="ВП",ВПр*AB367*(V367/1.5),IF(N367="РПА",РПА*AB367*(V367/1.5),IF(N367="КПА",кпа*AB367*(V367/1.5),0))))</f>
        <v>0</v>
      </c>
      <c r="AX367" s="48">
        <f t="shared" si="232"/>
        <v>0</v>
      </c>
      <c r="AY367" s="48">
        <f t="shared" si="233"/>
        <v>0</v>
      </c>
      <c r="AZ367" s="48">
        <f t="shared" si="234"/>
        <v>0</v>
      </c>
      <c r="BA367" s="48">
        <f t="shared" si="235"/>
        <v>0</v>
      </c>
      <c r="BB367" s="48">
        <f t="shared" si="236"/>
        <v>0</v>
      </c>
      <c r="BC367" s="48">
        <f t="shared" si="237"/>
        <v>0</v>
      </c>
      <c r="BD367" s="48">
        <f t="shared" si="238"/>
        <v>0</v>
      </c>
      <c r="BE367" s="48">
        <f t="shared" si="239"/>
        <v>0</v>
      </c>
      <c r="BF367" s="49">
        <f t="shared" si="240"/>
        <v>0</v>
      </c>
      <c r="BG367" s="50"/>
      <c r="BH367" s="51">
        <f t="shared" si="241"/>
        <v>0</v>
      </c>
      <c r="BI367" s="51">
        <f t="shared" si="242"/>
        <v>0</v>
      </c>
      <c r="BJ367" s="51">
        <f t="shared" si="243"/>
        <v>0</v>
      </c>
      <c r="BK367" s="52">
        <f t="shared" si="244"/>
        <v>0</v>
      </c>
      <c r="BL367" s="52">
        <f t="shared" si="245"/>
        <v>0</v>
      </c>
      <c r="BM367" s="52">
        <f t="shared" si="246"/>
        <v>0</v>
      </c>
    </row>
    <row r="368" spans="1:65" ht="30" customHeight="1" x14ac:dyDescent="0.25">
      <c r="A368" s="31" t="str">
        <f t="shared" si="212"/>
        <v>Д</v>
      </c>
      <c r="B368" s="31" t="str">
        <f t="shared" si="213"/>
        <v>Б</v>
      </c>
      <c r="C368" s="32" t="s">
        <v>226</v>
      </c>
      <c r="D368" s="33" t="str">
        <f t="shared" si="214"/>
        <v>Факультет физико-математических и естественных наук</v>
      </c>
      <c r="E368" s="34" t="str">
        <f t="shared" si="215"/>
        <v>'38.03.05</v>
      </c>
      <c r="F368" s="35" t="str">
        <f t="shared" si="216"/>
        <v>Бизнес-информатика</v>
      </c>
      <c r="G368" s="36" t="s">
        <v>76</v>
      </c>
      <c r="H368" s="36" t="s">
        <v>183</v>
      </c>
      <c r="I368" s="37"/>
      <c r="J368" s="37"/>
      <c r="K368" s="38" t="s">
        <v>229</v>
      </c>
      <c r="L368" s="39">
        <v>2</v>
      </c>
      <c r="M368" s="39">
        <v>18</v>
      </c>
      <c r="N368" s="40" t="s">
        <v>79</v>
      </c>
      <c r="O368" s="39">
        <v>1</v>
      </c>
      <c r="P368" s="39"/>
      <c r="Q368" s="39"/>
      <c r="R368" s="40" t="s">
        <v>80</v>
      </c>
      <c r="S368" s="41"/>
      <c r="T368" s="41"/>
      <c r="U368" s="41"/>
      <c r="V368" s="41"/>
      <c r="W368" s="41"/>
      <c r="X368" s="42" t="str">
        <f t="shared" si="217"/>
        <v>НБИбд</v>
      </c>
      <c r="Y368" s="43" t="s">
        <v>81</v>
      </c>
      <c r="Z368" s="39">
        <v>6</v>
      </c>
      <c r="AA368" s="39">
        <v>3</v>
      </c>
      <c r="AB368" s="42">
        <f t="shared" si="218"/>
        <v>81</v>
      </c>
      <c r="AC368" s="39">
        <v>69</v>
      </c>
      <c r="AD368" s="39">
        <v>12</v>
      </c>
      <c r="AE368" s="44">
        <f t="shared" si="219"/>
        <v>81</v>
      </c>
      <c r="AF368" s="45">
        <f t="shared" si="220"/>
        <v>1</v>
      </c>
      <c r="AG368" s="45">
        <f t="shared" si="221"/>
        <v>1</v>
      </c>
      <c r="AH368" s="46" t="s">
        <v>82</v>
      </c>
      <c r="AI368" s="40" t="s">
        <v>83</v>
      </c>
      <c r="AJ368" s="40" t="s">
        <v>84</v>
      </c>
      <c r="AK368" s="47" t="s">
        <v>85</v>
      </c>
      <c r="AL368" s="40"/>
      <c r="AM368" s="48">
        <f t="shared" si="222"/>
        <v>18</v>
      </c>
      <c r="AN368" s="48">
        <f t="shared" si="223"/>
        <v>0</v>
      </c>
      <c r="AO368" s="48">
        <f t="shared" si="224"/>
        <v>0</v>
      </c>
      <c r="AP368" s="48">
        <f t="shared" si="225"/>
        <v>26.73</v>
      </c>
      <c r="AQ368" s="48">
        <f t="shared" si="226"/>
        <v>40.5</v>
      </c>
      <c r="AR368" s="48">
        <f t="shared" si="227"/>
        <v>3</v>
      </c>
      <c r="AS368" s="48">
        <f t="shared" si="228"/>
        <v>2.7</v>
      </c>
      <c r="AT368" s="48">
        <f t="shared" si="229"/>
        <v>0</v>
      </c>
      <c r="AU368" s="48">
        <f t="shared" si="230"/>
        <v>0</v>
      </c>
      <c r="AV368" s="48">
        <f t="shared" si="231"/>
        <v>0</v>
      </c>
      <c r="AW368" s="48">
        <f>IF(N368="ПП",РПП*AB368*(V368/1.5),IF(N368="ВП",ВПр*AB368*(V368/1.5),IF(N368="РПА",РПА*AB368*(V368/1.5),IF(N368="КПА",кпа*AB368*(V368/1.5),0))))</f>
        <v>0</v>
      </c>
      <c r="AX368" s="48">
        <f t="shared" si="232"/>
        <v>0</v>
      </c>
      <c r="AY368" s="48">
        <f t="shared" si="233"/>
        <v>0</v>
      </c>
      <c r="AZ368" s="48">
        <f t="shared" si="234"/>
        <v>0</v>
      </c>
      <c r="BA368" s="48">
        <f t="shared" si="235"/>
        <v>0</v>
      </c>
      <c r="BB368" s="48">
        <f t="shared" si="236"/>
        <v>0</v>
      </c>
      <c r="BC368" s="48">
        <f t="shared" si="237"/>
        <v>0</v>
      </c>
      <c r="BD368" s="48">
        <f t="shared" si="238"/>
        <v>0</v>
      </c>
      <c r="BE368" s="48">
        <f t="shared" si="239"/>
        <v>0</v>
      </c>
      <c r="BF368" s="49">
        <f t="shared" si="240"/>
        <v>90.93</v>
      </c>
      <c r="BG368" s="50"/>
      <c r="BH368" s="51">
        <f t="shared" si="241"/>
        <v>0</v>
      </c>
      <c r="BI368" s="51">
        <f t="shared" si="242"/>
        <v>0</v>
      </c>
      <c r="BJ368" s="51">
        <f t="shared" si="243"/>
        <v>0</v>
      </c>
      <c r="BK368" s="52">
        <f t="shared" si="244"/>
        <v>18</v>
      </c>
      <c r="BL368" s="52">
        <f t="shared" si="245"/>
        <v>0.5</v>
      </c>
      <c r="BM368" s="52">
        <f t="shared" si="246"/>
        <v>72.930000000000007</v>
      </c>
    </row>
    <row r="369" spans="1:65" ht="30" customHeight="1" x14ac:dyDescent="0.25">
      <c r="A369" s="31" t="str">
        <f t="shared" si="212"/>
        <v>Д</v>
      </c>
      <c r="B369" s="31" t="str">
        <f t="shared" si="213"/>
        <v>Б</v>
      </c>
      <c r="C369" s="32" t="s">
        <v>226</v>
      </c>
      <c r="D369" s="33" t="str">
        <f t="shared" si="214"/>
        <v>Факультет физико-математических и естественных наук</v>
      </c>
      <c r="E369" s="34" t="str">
        <f t="shared" si="215"/>
        <v>'38.03.05</v>
      </c>
      <c r="F369" s="35" t="str">
        <f t="shared" si="216"/>
        <v>Бизнес-информатика</v>
      </c>
      <c r="G369" s="36" t="s">
        <v>76</v>
      </c>
      <c r="H369" s="36" t="s">
        <v>183</v>
      </c>
      <c r="I369" s="37"/>
      <c r="J369" s="37"/>
      <c r="K369" s="38" t="s">
        <v>229</v>
      </c>
      <c r="L369" s="39">
        <v>2</v>
      </c>
      <c r="M369" s="39">
        <v>18</v>
      </c>
      <c r="N369" s="40" t="s">
        <v>86</v>
      </c>
      <c r="O369" s="39"/>
      <c r="P369" s="39"/>
      <c r="Q369" s="39">
        <v>2</v>
      </c>
      <c r="R369" s="40"/>
      <c r="S369" s="41"/>
      <c r="T369" s="41"/>
      <c r="U369" s="41"/>
      <c r="V369" s="41"/>
      <c r="W369" s="41"/>
      <c r="X369" s="42" t="str">
        <f t="shared" si="217"/>
        <v>НБИбд</v>
      </c>
      <c r="Y369" s="43" t="s">
        <v>87</v>
      </c>
      <c r="Z369" s="39">
        <v>2</v>
      </c>
      <c r="AA369" s="39">
        <v>1</v>
      </c>
      <c r="AB369" s="42">
        <f t="shared" si="218"/>
        <v>27</v>
      </c>
      <c r="AC369" s="39">
        <v>23</v>
      </c>
      <c r="AD369" s="39">
        <v>4</v>
      </c>
      <c r="AE369" s="44">
        <f t="shared" si="219"/>
        <v>24</v>
      </c>
      <c r="AF369" s="45">
        <f t="shared" si="220"/>
        <v>1</v>
      </c>
      <c r="AG369" s="45">
        <f t="shared" si="221"/>
        <v>1.125</v>
      </c>
      <c r="AH369" s="46" t="s">
        <v>82</v>
      </c>
      <c r="AI369" s="40" t="s">
        <v>99</v>
      </c>
      <c r="AJ369" s="40" t="s">
        <v>116</v>
      </c>
      <c r="AK369" s="47" t="s">
        <v>189</v>
      </c>
      <c r="AL369" s="40"/>
      <c r="AM369" s="48">
        <f t="shared" si="222"/>
        <v>0</v>
      </c>
      <c r="AN369" s="48">
        <f t="shared" si="223"/>
        <v>36</v>
      </c>
      <c r="AO369" s="48">
        <f t="shared" si="224"/>
        <v>0</v>
      </c>
      <c r="AP369" s="48">
        <f t="shared" si="225"/>
        <v>0</v>
      </c>
      <c r="AQ369" s="48">
        <f t="shared" si="226"/>
        <v>0</v>
      </c>
      <c r="AR369" s="48">
        <f t="shared" si="227"/>
        <v>0</v>
      </c>
      <c r="AS369" s="48">
        <f t="shared" si="228"/>
        <v>0</v>
      </c>
      <c r="AT369" s="48">
        <f t="shared" si="229"/>
        <v>0</v>
      </c>
      <c r="AU369" s="48">
        <f t="shared" si="230"/>
        <v>0</v>
      </c>
      <c r="AV369" s="48">
        <f t="shared" si="231"/>
        <v>0</v>
      </c>
      <c r="AW369" s="48">
        <f>IF(N369="ПП",РПП*AB369*(V369/1.5),IF(N369="ВП",ВПр*AB369*(V369/1.5),IF(N369="РПА",РПА*AB369*(V369/1.5),IF(N369="КПА",кпа*AB369*(V369/1.5),0))))</f>
        <v>0</v>
      </c>
      <c r="AX369" s="48">
        <f t="shared" si="232"/>
        <v>0</v>
      </c>
      <c r="AY369" s="48">
        <f t="shared" si="233"/>
        <v>0</v>
      </c>
      <c r="AZ369" s="48">
        <f t="shared" si="234"/>
        <v>0</v>
      </c>
      <c r="BA369" s="48">
        <f t="shared" si="235"/>
        <v>0</v>
      </c>
      <c r="BB369" s="48">
        <f t="shared" si="236"/>
        <v>0</v>
      </c>
      <c r="BC369" s="48">
        <f t="shared" si="237"/>
        <v>0</v>
      </c>
      <c r="BD369" s="48">
        <f t="shared" si="238"/>
        <v>0</v>
      </c>
      <c r="BE369" s="48">
        <f t="shared" si="239"/>
        <v>0</v>
      </c>
      <c r="BF369" s="49">
        <f t="shared" si="240"/>
        <v>36</v>
      </c>
      <c r="BG369" s="50"/>
      <c r="BH369" s="51">
        <f t="shared" si="241"/>
        <v>0</v>
      </c>
      <c r="BI369" s="51">
        <f t="shared" si="242"/>
        <v>0</v>
      </c>
      <c r="BJ369" s="51">
        <f t="shared" si="243"/>
        <v>0</v>
      </c>
      <c r="BK369" s="52">
        <f t="shared" si="244"/>
        <v>36</v>
      </c>
      <c r="BL369" s="52">
        <f t="shared" si="245"/>
        <v>1</v>
      </c>
      <c r="BM369" s="52">
        <f t="shared" si="246"/>
        <v>0</v>
      </c>
    </row>
    <row r="370" spans="1:65" ht="30" customHeight="1" x14ac:dyDescent="0.25">
      <c r="A370" s="31" t="str">
        <f t="shared" si="212"/>
        <v>Д</v>
      </c>
      <c r="B370" s="31" t="str">
        <f t="shared" si="213"/>
        <v>Б</v>
      </c>
      <c r="C370" s="32" t="s">
        <v>226</v>
      </c>
      <c r="D370" s="33" t="str">
        <f t="shared" si="214"/>
        <v>Факультет физико-математических и естественных наук</v>
      </c>
      <c r="E370" s="34" t="str">
        <f t="shared" si="215"/>
        <v>'38.03.05</v>
      </c>
      <c r="F370" s="35" t="str">
        <f t="shared" si="216"/>
        <v>Бизнес-информатика</v>
      </c>
      <c r="G370" s="36" t="s">
        <v>76</v>
      </c>
      <c r="H370" s="36" t="s">
        <v>183</v>
      </c>
      <c r="I370" s="37"/>
      <c r="J370" s="37"/>
      <c r="K370" s="38" t="s">
        <v>229</v>
      </c>
      <c r="L370" s="39">
        <v>2</v>
      </c>
      <c r="M370" s="39">
        <v>18</v>
      </c>
      <c r="N370" s="40" t="s">
        <v>86</v>
      </c>
      <c r="O370" s="39"/>
      <c r="P370" s="39"/>
      <c r="Q370" s="39">
        <v>2</v>
      </c>
      <c r="R370" s="40"/>
      <c r="S370" s="41"/>
      <c r="T370" s="41"/>
      <c r="U370" s="41"/>
      <c r="V370" s="41"/>
      <c r="W370" s="41"/>
      <c r="X370" s="42" t="str">
        <f t="shared" si="217"/>
        <v>НБИбд</v>
      </c>
      <c r="Y370" s="43" t="s">
        <v>88</v>
      </c>
      <c r="Z370" s="39">
        <v>2</v>
      </c>
      <c r="AA370" s="39">
        <v>1</v>
      </c>
      <c r="AB370" s="42">
        <f t="shared" si="218"/>
        <v>27</v>
      </c>
      <c r="AC370" s="39">
        <v>23</v>
      </c>
      <c r="AD370" s="39">
        <v>4</v>
      </c>
      <c r="AE370" s="44">
        <f t="shared" si="219"/>
        <v>24</v>
      </c>
      <c r="AF370" s="45">
        <f t="shared" si="220"/>
        <v>1</v>
      </c>
      <c r="AG370" s="45">
        <f t="shared" si="221"/>
        <v>1.125</v>
      </c>
      <c r="AH370" s="46" t="s">
        <v>82</v>
      </c>
      <c r="AI370" s="40" t="s">
        <v>99</v>
      </c>
      <c r="AJ370" s="40" t="s">
        <v>116</v>
      </c>
      <c r="AK370" s="47" t="s">
        <v>189</v>
      </c>
      <c r="AL370" s="40"/>
      <c r="AM370" s="48">
        <f t="shared" si="222"/>
        <v>0</v>
      </c>
      <c r="AN370" s="48">
        <f t="shared" si="223"/>
        <v>36</v>
      </c>
      <c r="AO370" s="48">
        <f t="shared" si="224"/>
        <v>0</v>
      </c>
      <c r="AP370" s="48">
        <f t="shared" si="225"/>
        <v>0</v>
      </c>
      <c r="AQ370" s="48">
        <f t="shared" si="226"/>
        <v>0</v>
      </c>
      <c r="AR370" s="48">
        <f t="shared" si="227"/>
        <v>0</v>
      </c>
      <c r="AS370" s="48">
        <f t="shared" si="228"/>
        <v>0</v>
      </c>
      <c r="AT370" s="48">
        <f t="shared" si="229"/>
        <v>0</v>
      </c>
      <c r="AU370" s="48">
        <f t="shared" si="230"/>
        <v>0</v>
      </c>
      <c r="AV370" s="48">
        <f t="shared" si="231"/>
        <v>0</v>
      </c>
      <c r="AW370" s="48">
        <f>IF(N370="ПП",РПП*AB370*(V370/1.5),IF(N370="ВП",ВПр*AB370*(V370/1.5),IF(N370="РПА",РПА*AB370*(V370/1.5),IF(N370="КПА",кпа*AB370*(V370/1.5),0))))</f>
        <v>0</v>
      </c>
      <c r="AX370" s="48">
        <f t="shared" si="232"/>
        <v>0</v>
      </c>
      <c r="AY370" s="48">
        <f t="shared" si="233"/>
        <v>0</v>
      </c>
      <c r="AZ370" s="48">
        <f t="shared" si="234"/>
        <v>0</v>
      </c>
      <c r="BA370" s="48">
        <f t="shared" si="235"/>
        <v>0</v>
      </c>
      <c r="BB370" s="48">
        <f t="shared" si="236"/>
        <v>0</v>
      </c>
      <c r="BC370" s="48">
        <f t="shared" si="237"/>
        <v>0</v>
      </c>
      <c r="BD370" s="48">
        <f t="shared" si="238"/>
        <v>0</v>
      </c>
      <c r="BE370" s="48">
        <f t="shared" si="239"/>
        <v>0</v>
      </c>
      <c r="BF370" s="49">
        <f t="shared" si="240"/>
        <v>36</v>
      </c>
      <c r="BG370" s="50"/>
      <c r="BH370" s="51">
        <f t="shared" si="241"/>
        <v>0</v>
      </c>
      <c r="BI370" s="51">
        <f t="shared" si="242"/>
        <v>0</v>
      </c>
      <c r="BJ370" s="51">
        <f t="shared" si="243"/>
        <v>0</v>
      </c>
      <c r="BK370" s="52">
        <f t="shared" si="244"/>
        <v>36</v>
      </c>
      <c r="BL370" s="52">
        <f t="shared" si="245"/>
        <v>1</v>
      </c>
      <c r="BM370" s="52">
        <f t="shared" si="246"/>
        <v>0</v>
      </c>
    </row>
    <row r="371" spans="1:65" ht="30" customHeight="1" x14ac:dyDescent="0.25">
      <c r="A371" s="31" t="str">
        <f t="shared" si="212"/>
        <v>Д</v>
      </c>
      <c r="B371" s="31" t="str">
        <f t="shared" si="213"/>
        <v>Б</v>
      </c>
      <c r="C371" s="32" t="s">
        <v>226</v>
      </c>
      <c r="D371" s="33" t="str">
        <f t="shared" si="214"/>
        <v>Факультет физико-математических и естественных наук</v>
      </c>
      <c r="E371" s="34" t="str">
        <f t="shared" si="215"/>
        <v>'38.03.05</v>
      </c>
      <c r="F371" s="35" t="str">
        <f t="shared" si="216"/>
        <v>Бизнес-информатика</v>
      </c>
      <c r="G371" s="36" t="s">
        <v>76</v>
      </c>
      <c r="H371" s="36" t="s">
        <v>183</v>
      </c>
      <c r="I371" s="37"/>
      <c r="J371" s="37"/>
      <c r="K371" s="38" t="s">
        <v>229</v>
      </c>
      <c r="L371" s="39">
        <v>2</v>
      </c>
      <c r="M371" s="39">
        <v>18</v>
      </c>
      <c r="N371" s="40" t="s">
        <v>86</v>
      </c>
      <c r="O371" s="39"/>
      <c r="P371" s="39"/>
      <c r="Q371" s="39">
        <v>2</v>
      </c>
      <c r="R371" s="40"/>
      <c r="S371" s="41"/>
      <c r="T371" s="41"/>
      <c r="U371" s="41"/>
      <c r="V371" s="41"/>
      <c r="W371" s="41"/>
      <c r="X371" s="42" t="str">
        <f t="shared" si="217"/>
        <v>НБИбд</v>
      </c>
      <c r="Y371" s="43" t="s">
        <v>89</v>
      </c>
      <c r="Z371" s="39">
        <v>2</v>
      </c>
      <c r="AA371" s="39">
        <v>1</v>
      </c>
      <c r="AB371" s="42">
        <f t="shared" si="218"/>
        <v>27</v>
      </c>
      <c r="AC371" s="39">
        <v>23</v>
      </c>
      <c r="AD371" s="39">
        <v>4</v>
      </c>
      <c r="AE371" s="44">
        <f t="shared" si="219"/>
        <v>24</v>
      </c>
      <c r="AF371" s="45">
        <f t="shared" si="220"/>
        <v>1</v>
      </c>
      <c r="AG371" s="45">
        <f t="shared" si="221"/>
        <v>1.125</v>
      </c>
      <c r="AH371" s="46" t="s">
        <v>82</v>
      </c>
      <c r="AI371" s="40" t="s">
        <v>99</v>
      </c>
      <c r="AJ371" s="40" t="s">
        <v>116</v>
      </c>
      <c r="AK371" s="47" t="s">
        <v>189</v>
      </c>
      <c r="AL371" s="40"/>
      <c r="AM371" s="48">
        <f t="shared" si="222"/>
        <v>0</v>
      </c>
      <c r="AN371" s="48">
        <f t="shared" si="223"/>
        <v>36</v>
      </c>
      <c r="AO371" s="48">
        <f t="shared" si="224"/>
        <v>0</v>
      </c>
      <c r="AP371" s="48">
        <f t="shared" si="225"/>
        <v>0</v>
      </c>
      <c r="AQ371" s="48">
        <f t="shared" si="226"/>
        <v>0</v>
      </c>
      <c r="AR371" s="48">
        <f t="shared" si="227"/>
        <v>0</v>
      </c>
      <c r="AS371" s="48">
        <f t="shared" si="228"/>
        <v>0</v>
      </c>
      <c r="AT371" s="48">
        <f t="shared" si="229"/>
        <v>0</v>
      </c>
      <c r="AU371" s="48">
        <f t="shared" si="230"/>
        <v>0</v>
      </c>
      <c r="AV371" s="48">
        <f t="shared" si="231"/>
        <v>0</v>
      </c>
      <c r="AW371" s="48">
        <f>IF(N371="ПП",РПП*AB371*(V371/1.5),IF(N371="ВП",ВПр*AB371*(V371/1.5),IF(N371="РПА",РПА*AB371*(V371/1.5),IF(N371="КПА",кпа*AB371*(V371/1.5),0))))</f>
        <v>0</v>
      </c>
      <c r="AX371" s="48">
        <f t="shared" si="232"/>
        <v>0</v>
      </c>
      <c r="AY371" s="48">
        <f t="shared" si="233"/>
        <v>0</v>
      </c>
      <c r="AZ371" s="48">
        <f t="shared" si="234"/>
        <v>0</v>
      </c>
      <c r="BA371" s="48">
        <f t="shared" si="235"/>
        <v>0</v>
      </c>
      <c r="BB371" s="48">
        <f t="shared" si="236"/>
        <v>0</v>
      </c>
      <c r="BC371" s="48">
        <f t="shared" si="237"/>
        <v>0</v>
      </c>
      <c r="BD371" s="48">
        <f t="shared" si="238"/>
        <v>0</v>
      </c>
      <c r="BE371" s="48">
        <f t="shared" si="239"/>
        <v>0</v>
      </c>
      <c r="BF371" s="49">
        <f t="shared" si="240"/>
        <v>36</v>
      </c>
      <c r="BG371" s="50"/>
      <c r="BH371" s="51">
        <f t="shared" si="241"/>
        <v>0</v>
      </c>
      <c r="BI371" s="51">
        <f t="shared" si="242"/>
        <v>0</v>
      </c>
      <c r="BJ371" s="51">
        <f t="shared" si="243"/>
        <v>0</v>
      </c>
      <c r="BK371" s="52">
        <f t="shared" si="244"/>
        <v>36</v>
      </c>
      <c r="BL371" s="52">
        <f t="shared" si="245"/>
        <v>1</v>
      </c>
      <c r="BM371" s="52">
        <f t="shared" si="246"/>
        <v>0</v>
      </c>
    </row>
    <row r="372" spans="1:65" ht="30" customHeight="1" x14ac:dyDescent="0.25">
      <c r="A372" s="31" t="str">
        <f t="shared" si="212"/>
        <v>Д</v>
      </c>
      <c r="B372" s="31" t="str">
        <f t="shared" si="213"/>
        <v>Б</v>
      </c>
      <c r="C372" s="32" t="s">
        <v>226</v>
      </c>
      <c r="D372" s="33" t="str">
        <f t="shared" si="214"/>
        <v>Факультет физико-математических и естественных наук</v>
      </c>
      <c r="E372" s="34" t="str">
        <f t="shared" si="215"/>
        <v>'38.03.05</v>
      </c>
      <c r="F372" s="35" t="str">
        <f t="shared" si="216"/>
        <v>Бизнес-информатика</v>
      </c>
      <c r="G372" s="36" t="s">
        <v>76</v>
      </c>
      <c r="H372" s="36" t="s">
        <v>77</v>
      </c>
      <c r="I372" s="37"/>
      <c r="J372" s="37"/>
      <c r="K372" s="38" t="s">
        <v>230</v>
      </c>
      <c r="L372" s="39">
        <v>3</v>
      </c>
      <c r="M372" s="39">
        <v>18</v>
      </c>
      <c r="N372" s="40" t="s">
        <v>79</v>
      </c>
      <c r="O372" s="39">
        <v>1</v>
      </c>
      <c r="P372" s="39"/>
      <c r="Q372" s="39"/>
      <c r="R372" s="40" t="s">
        <v>80</v>
      </c>
      <c r="S372" s="41"/>
      <c r="T372" s="41"/>
      <c r="U372" s="41"/>
      <c r="V372" s="41"/>
      <c r="W372" s="41"/>
      <c r="X372" s="42" t="str">
        <f t="shared" si="217"/>
        <v>НБИбд</v>
      </c>
      <c r="Y372" s="43" t="s">
        <v>107</v>
      </c>
      <c r="Z372" s="39">
        <v>2</v>
      </c>
      <c r="AA372" s="39">
        <v>1</v>
      </c>
      <c r="AB372" s="42">
        <f t="shared" si="218"/>
        <v>32</v>
      </c>
      <c r="AC372" s="39">
        <v>24</v>
      </c>
      <c r="AD372" s="39">
        <v>8</v>
      </c>
      <c r="AE372" s="44">
        <f t="shared" si="219"/>
        <v>32</v>
      </c>
      <c r="AF372" s="45">
        <f t="shared" si="220"/>
        <v>1</v>
      </c>
      <c r="AG372" s="45">
        <f t="shared" si="221"/>
        <v>1</v>
      </c>
      <c r="AH372" s="46" t="s">
        <v>82</v>
      </c>
      <c r="AI372" s="40" t="s">
        <v>99</v>
      </c>
      <c r="AJ372" s="40" t="s">
        <v>84</v>
      </c>
      <c r="AK372" s="47" t="s">
        <v>134</v>
      </c>
      <c r="AL372" s="40"/>
      <c r="AM372" s="48">
        <f t="shared" si="222"/>
        <v>18</v>
      </c>
      <c r="AN372" s="48">
        <f t="shared" si="223"/>
        <v>0</v>
      </c>
      <c r="AO372" s="48">
        <f t="shared" si="224"/>
        <v>0</v>
      </c>
      <c r="AP372" s="48">
        <f t="shared" si="225"/>
        <v>10.56</v>
      </c>
      <c r="AQ372" s="48">
        <f t="shared" si="226"/>
        <v>16</v>
      </c>
      <c r="AR372" s="48">
        <f t="shared" si="227"/>
        <v>1</v>
      </c>
      <c r="AS372" s="48">
        <f t="shared" si="228"/>
        <v>0.9</v>
      </c>
      <c r="AT372" s="48">
        <f t="shared" si="229"/>
        <v>0</v>
      </c>
      <c r="AU372" s="48">
        <f t="shared" si="230"/>
        <v>0</v>
      </c>
      <c r="AV372" s="48">
        <f t="shared" si="231"/>
        <v>0</v>
      </c>
      <c r="AW372" s="48">
        <f>IF(N372="ПП",РПП*AB372*(V372/1.5),IF(N372="ВП",ВПр*AB372*(V372/1.5),IF(N372="РПА",РПА*AB372*(V372/1.5),IF(N372="КПА",кпа*AB372*(V372/1.5),0))))</f>
        <v>0</v>
      </c>
      <c r="AX372" s="48">
        <f t="shared" si="232"/>
        <v>0</v>
      </c>
      <c r="AY372" s="48">
        <f t="shared" si="233"/>
        <v>0</v>
      </c>
      <c r="AZ372" s="48">
        <f t="shared" si="234"/>
        <v>0</v>
      </c>
      <c r="BA372" s="48">
        <f t="shared" si="235"/>
        <v>0</v>
      </c>
      <c r="BB372" s="48">
        <f t="shared" si="236"/>
        <v>0</v>
      </c>
      <c r="BC372" s="48">
        <f t="shared" si="237"/>
        <v>0</v>
      </c>
      <c r="BD372" s="48">
        <f t="shared" si="238"/>
        <v>0</v>
      </c>
      <c r="BE372" s="48">
        <f t="shared" si="239"/>
        <v>0</v>
      </c>
      <c r="BF372" s="49">
        <f t="shared" si="240"/>
        <v>46.46</v>
      </c>
      <c r="BG372" s="50"/>
      <c r="BH372" s="51">
        <f t="shared" si="241"/>
        <v>18</v>
      </c>
      <c r="BI372" s="51">
        <f t="shared" si="242"/>
        <v>0.5</v>
      </c>
      <c r="BJ372" s="51">
        <f t="shared" si="243"/>
        <v>28.46</v>
      </c>
      <c r="BK372" s="52">
        <f t="shared" si="244"/>
        <v>0</v>
      </c>
      <c r="BL372" s="52">
        <f t="shared" si="245"/>
        <v>0</v>
      </c>
      <c r="BM372" s="52">
        <f t="shared" si="246"/>
        <v>0</v>
      </c>
    </row>
    <row r="373" spans="1:65" ht="30" customHeight="1" x14ac:dyDescent="0.25">
      <c r="A373" s="31" t="str">
        <f t="shared" si="212"/>
        <v>Д</v>
      </c>
      <c r="B373" s="31" t="str">
        <f t="shared" si="213"/>
        <v>Б</v>
      </c>
      <c r="C373" s="32" t="s">
        <v>226</v>
      </c>
      <c r="D373" s="33" t="str">
        <f t="shared" si="214"/>
        <v>Факультет физико-математических и естественных наук</v>
      </c>
      <c r="E373" s="34" t="str">
        <f t="shared" si="215"/>
        <v>'38.03.05</v>
      </c>
      <c r="F373" s="35" t="str">
        <f t="shared" si="216"/>
        <v>Бизнес-информатика</v>
      </c>
      <c r="G373" s="36" t="s">
        <v>76</v>
      </c>
      <c r="H373" s="36" t="s">
        <v>77</v>
      </c>
      <c r="I373" s="37"/>
      <c r="J373" s="37"/>
      <c r="K373" s="38" t="s">
        <v>230</v>
      </c>
      <c r="L373" s="39">
        <v>3</v>
      </c>
      <c r="M373" s="39">
        <v>18</v>
      </c>
      <c r="N373" s="40" t="s">
        <v>86</v>
      </c>
      <c r="O373" s="39"/>
      <c r="P373" s="39"/>
      <c r="Q373" s="39">
        <v>2</v>
      </c>
      <c r="R373" s="40"/>
      <c r="S373" s="41"/>
      <c r="T373" s="41"/>
      <c r="U373" s="41"/>
      <c r="V373" s="41"/>
      <c r="W373" s="41"/>
      <c r="X373" s="42" t="str">
        <f t="shared" si="217"/>
        <v>НБИбд</v>
      </c>
      <c r="Y373" s="43" t="s">
        <v>107</v>
      </c>
      <c r="Z373" s="39">
        <v>2</v>
      </c>
      <c r="AA373" s="39">
        <v>1</v>
      </c>
      <c r="AB373" s="42">
        <f t="shared" si="218"/>
        <v>32</v>
      </c>
      <c r="AC373" s="39">
        <v>24</v>
      </c>
      <c r="AD373" s="39">
        <v>8</v>
      </c>
      <c r="AE373" s="44">
        <f t="shared" si="219"/>
        <v>24</v>
      </c>
      <c r="AF373" s="45">
        <f t="shared" si="220"/>
        <v>1</v>
      </c>
      <c r="AG373" s="45">
        <f t="shared" si="221"/>
        <v>1.3333333333333333</v>
      </c>
      <c r="AH373" s="46" t="s">
        <v>82</v>
      </c>
      <c r="AI373" s="40" t="s">
        <v>99</v>
      </c>
      <c r="AJ373" s="40" t="s">
        <v>84</v>
      </c>
      <c r="AK373" s="47" t="s">
        <v>134</v>
      </c>
      <c r="AL373" s="40"/>
      <c r="AM373" s="48">
        <f t="shared" si="222"/>
        <v>0</v>
      </c>
      <c r="AN373" s="48">
        <f t="shared" si="223"/>
        <v>36</v>
      </c>
      <c r="AO373" s="48">
        <f t="shared" si="224"/>
        <v>0</v>
      </c>
      <c r="AP373" s="48">
        <f t="shared" si="225"/>
        <v>0</v>
      </c>
      <c r="AQ373" s="48">
        <f t="shared" si="226"/>
        <v>0</v>
      </c>
      <c r="AR373" s="48">
        <f t="shared" si="227"/>
        <v>0</v>
      </c>
      <c r="AS373" s="48">
        <f t="shared" si="228"/>
        <v>0</v>
      </c>
      <c r="AT373" s="48">
        <f t="shared" si="229"/>
        <v>0</v>
      </c>
      <c r="AU373" s="48">
        <f t="shared" si="230"/>
        <v>0</v>
      </c>
      <c r="AV373" s="48">
        <f t="shared" si="231"/>
        <v>0</v>
      </c>
      <c r="AW373" s="48">
        <f>IF(N373="ПП",РПП*AB373*(V373/1.5),IF(N373="ВП",ВПр*AB373*(V373/1.5),IF(N373="РПА",РПА*AB373*(V373/1.5),IF(N373="КПА",кпа*AB373*(V373/1.5),0))))</f>
        <v>0</v>
      </c>
      <c r="AX373" s="48">
        <f t="shared" si="232"/>
        <v>0</v>
      </c>
      <c r="AY373" s="48">
        <f t="shared" si="233"/>
        <v>0</v>
      </c>
      <c r="AZ373" s="48">
        <f t="shared" si="234"/>
        <v>0</v>
      </c>
      <c r="BA373" s="48">
        <f t="shared" si="235"/>
        <v>0</v>
      </c>
      <c r="BB373" s="48">
        <f t="shared" si="236"/>
        <v>0</v>
      </c>
      <c r="BC373" s="48">
        <f t="shared" si="237"/>
        <v>0</v>
      </c>
      <c r="BD373" s="48">
        <f t="shared" si="238"/>
        <v>0</v>
      </c>
      <c r="BE373" s="48">
        <f t="shared" si="239"/>
        <v>0</v>
      </c>
      <c r="BF373" s="49">
        <f t="shared" si="240"/>
        <v>36</v>
      </c>
      <c r="BG373" s="50"/>
      <c r="BH373" s="51">
        <f t="shared" si="241"/>
        <v>36</v>
      </c>
      <c r="BI373" s="51">
        <f t="shared" si="242"/>
        <v>1</v>
      </c>
      <c r="BJ373" s="51">
        <f t="shared" si="243"/>
        <v>0</v>
      </c>
      <c r="BK373" s="52">
        <f t="shared" si="244"/>
        <v>0</v>
      </c>
      <c r="BL373" s="52">
        <f t="shared" si="245"/>
        <v>0</v>
      </c>
      <c r="BM373" s="52">
        <f t="shared" si="246"/>
        <v>0</v>
      </c>
    </row>
    <row r="374" spans="1:65" ht="30" customHeight="1" x14ac:dyDescent="0.25">
      <c r="A374" s="31" t="str">
        <f t="shared" si="212"/>
        <v>Д</v>
      </c>
      <c r="B374" s="31" t="str">
        <f t="shared" si="213"/>
        <v>Б</v>
      </c>
      <c r="C374" s="32" t="s">
        <v>226</v>
      </c>
      <c r="D374" s="33" t="str">
        <f t="shared" si="214"/>
        <v>Факультет физико-математических и естественных наук</v>
      </c>
      <c r="E374" s="34" t="str">
        <f t="shared" si="215"/>
        <v>'38.03.05</v>
      </c>
      <c r="F374" s="35" t="str">
        <f t="shared" si="216"/>
        <v>Бизнес-информатика</v>
      </c>
      <c r="G374" s="36" t="s">
        <v>76</v>
      </c>
      <c r="H374" s="36" t="s">
        <v>77</v>
      </c>
      <c r="I374" s="37"/>
      <c r="J374" s="37"/>
      <c r="K374" s="38" t="s">
        <v>231</v>
      </c>
      <c r="L374" s="39">
        <v>3</v>
      </c>
      <c r="M374" s="39">
        <v>18</v>
      </c>
      <c r="N374" s="40" t="s">
        <v>79</v>
      </c>
      <c r="O374" s="39">
        <v>1</v>
      </c>
      <c r="P374" s="39"/>
      <c r="Q374" s="39"/>
      <c r="R374" s="40" t="s">
        <v>80</v>
      </c>
      <c r="S374" s="41"/>
      <c r="T374" s="41"/>
      <c r="U374" s="41"/>
      <c r="V374" s="41"/>
      <c r="W374" s="41"/>
      <c r="X374" s="42" t="str">
        <f t="shared" si="217"/>
        <v>НБИбд</v>
      </c>
      <c r="Y374" s="43" t="s">
        <v>107</v>
      </c>
      <c r="Z374" s="39">
        <v>2</v>
      </c>
      <c r="AA374" s="39">
        <v>1</v>
      </c>
      <c r="AB374" s="42">
        <f t="shared" si="218"/>
        <v>32</v>
      </c>
      <c r="AC374" s="39">
        <v>24</v>
      </c>
      <c r="AD374" s="39">
        <v>8</v>
      </c>
      <c r="AE374" s="44">
        <f t="shared" si="219"/>
        <v>32</v>
      </c>
      <c r="AF374" s="45">
        <f t="shared" si="220"/>
        <v>1</v>
      </c>
      <c r="AG374" s="45">
        <f t="shared" si="221"/>
        <v>1</v>
      </c>
      <c r="AH374" s="46" t="s">
        <v>82</v>
      </c>
      <c r="AI374" s="40" t="s">
        <v>83</v>
      </c>
      <c r="AJ374" s="40" t="s">
        <v>116</v>
      </c>
      <c r="AK374" s="47" t="s">
        <v>119</v>
      </c>
      <c r="AL374" s="40"/>
      <c r="AM374" s="48">
        <f t="shared" si="222"/>
        <v>18</v>
      </c>
      <c r="AN374" s="48">
        <f t="shared" si="223"/>
        <v>0</v>
      </c>
      <c r="AO374" s="48">
        <f t="shared" si="224"/>
        <v>0</v>
      </c>
      <c r="AP374" s="48">
        <f t="shared" si="225"/>
        <v>10.56</v>
      </c>
      <c r="AQ374" s="48">
        <f t="shared" si="226"/>
        <v>16</v>
      </c>
      <c r="AR374" s="48">
        <f t="shared" si="227"/>
        <v>1</v>
      </c>
      <c r="AS374" s="48">
        <f t="shared" si="228"/>
        <v>0.9</v>
      </c>
      <c r="AT374" s="48">
        <f t="shared" si="229"/>
        <v>0</v>
      </c>
      <c r="AU374" s="48">
        <f t="shared" si="230"/>
        <v>0</v>
      </c>
      <c r="AV374" s="48">
        <f t="shared" si="231"/>
        <v>0</v>
      </c>
      <c r="AW374" s="48">
        <f>IF(N374="ПП",РПП*AB374*(V374/1.5),IF(N374="ВП",ВПр*AB374*(V374/1.5),IF(N374="РПА",РПА*AB374*(V374/1.5),IF(N374="КПА",кпа*AB374*(V374/1.5),0))))</f>
        <v>0</v>
      </c>
      <c r="AX374" s="48">
        <f t="shared" si="232"/>
        <v>0</v>
      </c>
      <c r="AY374" s="48">
        <f t="shared" si="233"/>
        <v>0</v>
      </c>
      <c r="AZ374" s="48">
        <f t="shared" si="234"/>
        <v>0</v>
      </c>
      <c r="BA374" s="48">
        <f t="shared" si="235"/>
        <v>0</v>
      </c>
      <c r="BB374" s="48">
        <f t="shared" si="236"/>
        <v>0</v>
      </c>
      <c r="BC374" s="48">
        <f t="shared" si="237"/>
        <v>0</v>
      </c>
      <c r="BD374" s="48">
        <f t="shared" si="238"/>
        <v>0</v>
      </c>
      <c r="BE374" s="48">
        <f t="shared" si="239"/>
        <v>0</v>
      </c>
      <c r="BF374" s="49">
        <f t="shared" si="240"/>
        <v>46.46</v>
      </c>
      <c r="BG374" s="50"/>
      <c r="BH374" s="51">
        <f t="shared" si="241"/>
        <v>18</v>
      </c>
      <c r="BI374" s="51">
        <f t="shared" si="242"/>
        <v>0.5</v>
      </c>
      <c r="BJ374" s="51">
        <f t="shared" si="243"/>
        <v>28.46</v>
      </c>
      <c r="BK374" s="52">
        <f t="shared" si="244"/>
        <v>0</v>
      </c>
      <c r="BL374" s="52">
        <f t="shared" si="245"/>
        <v>0</v>
      </c>
      <c r="BM374" s="52">
        <f t="shared" si="246"/>
        <v>0</v>
      </c>
    </row>
    <row r="375" spans="1:65" ht="30" customHeight="1" x14ac:dyDescent="0.25">
      <c r="A375" s="31" t="str">
        <f t="shared" si="212"/>
        <v>Д</v>
      </c>
      <c r="B375" s="31" t="str">
        <f t="shared" si="213"/>
        <v>Б</v>
      </c>
      <c r="C375" s="32" t="s">
        <v>226</v>
      </c>
      <c r="D375" s="33" t="str">
        <f t="shared" si="214"/>
        <v>Факультет физико-математических и естественных наук</v>
      </c>
      <c r="E375" s="34" t="str">
        <f t="shared" si="215"/>
        <v>'38.03.05</v>
      </c>
      <c r="F375" s="35" t="str">
        <f t="shared" si="216"/>
        <v>Бизнес-информатика</v>
      </c>
      <c r="G375" s="36" t="s">
        <v>76</v>
      </c>
      <c r="H375" s="36" t="s">
        <v>77</v>
      </c>
      <c r="I375" s="37"/>
      <c r="J375" s="37"/>
      <c r="K375" s="38" t="s">
        <v>231</v>
      </c>
      <c r="L375" s="39">
        <v>3</v>
      </c>
      <c r="M375" s="39">
        <v>18</v>
      </c>
      <c r="N375" s="40" t="s">
        <v>86</v>
      </c>
      <c r="O375" s="39"/>
      <c r="P375" s="39"/>
      <c r="Q375" s="39">
        <v>1</v>
      </c>
      <c r="R375" s="40"/>
      <c r="S375" s="41"/>
      <c r="T375" s="41"/>
      <c r="U375" s="41"/>
      <c r="V375" s="41"/>
      <c r="W375" s="41"/>
      <c r="X375" s="42" t="str">
        <f t="shared" si="217"/>
        <v>НБИбд</v>
      </c>
      <c r="Y375" s="43" t="s">
        <v>107</v>
      </c>
      <c r="Z375" s="39">
        <v>2</v>
      </c>
      <c r="AA375" s="39">
        <v>1</v>
      </c>
      <c r="AB375" s="42">
        <f t="shared" si="218"/>
        <v>32</v>
      </c>
      <c r="AC375" s="39">
        <v>24</v>
      </c>
      <c r="AD375" s="39">
        <v>8</v>
      </c>
      <c r="AE375" s="44">
        <f t="shared" si="219"/>
        <v>24</v>
      </c>
      <c r="AF375" s="45">
        <f t="shared" si="220"/>
        <v>1</v>
      </c>
      <c r="AG375" s="45">
        <f t="shared" si="221"/>
        <v>1.3333333333333333</v>
      </c>
      <c r="AH375" s="46" t="s">
        <v>82</v>
      </c>
      <c r="AI375" s="40" t="s">
        <v>83</v>
      </c>
      <c r="AJ375" s="40" t="s">
        <v>116</v>
      </c>
      <c r="AK375" s="47" t="s">
        <v>119</v>
      </c>
      <c r="AL375" s="40"/>
      <c r="AM375" s="48">
        <f t="shared" si="222"/>
        <v>0</v>
      </c>
      <c r="AN375" s="48">
        <f t="shared" si="223"/>
        <v>18</v>
      </c>
      <c r="AO375" s="48">
        <f t="shared" si="224"/>
        <v>0</v>
      </c>
      <c r="AP375" s="48">
        <f t="shared" si="225"/>
        <v>0</v>
      </c>
      <c r="AQ375" s="48">
        <f t="shared" si="226"/>
        <v>0</v>
      </c>
      <c r="AR375" s="48">
        <f t="shared" si="227"/>
        <v>0</v>
      </c>
      <c r="AS375" s="48">
        <f t="shared" si="228"/>
        <v>0</v>
      </c>
      <c r="AT375" s="48">
        <f t="shared" si="229"/>
        <v>0</v>
      </c>
      <c r="AU375" s="48">
        <f t="shared" si="230"/>
        <v>0</v>
      </c>
      <c r="AV375" s="48">
        <f t="shared" si="231"/>
        <v>0</v>
      </c>
      <c r="AW375" s="48">
        <f>IF(N375="ПП",РПП*AB375*(V375/1.5),IF(N375="ВП",ВПр*AB375*(V375/1.5),IF(N375="РПА",РПА*AB375*(V375/1.5),IF(N375="КПА",кпа*AB375*(V375/1.5),0))))</f>
        <v>0</v>
      </c>
      <c r="AX375" s="48">
        <f t="shared" si="232"/>
        <v>0</v>
      </c>
      <c r="AY375" s="48">
        <f t="shared" si="233"/>
        <v>0</v>
      </c>
      <c r="AZ375" s="48">
        <f t="shared" si="234"/>
        <v>0</v>
      </c>
      <c r="BA375" s="48">
        <f t="shared" si="235"/>
        <v>0</v>
      </c>
      <c r="BB375" s="48">
        <f t="shared" si="236"/>
        <v>0</v>
      </c>
      <c r="BC375" s="48">
        <f t="shared" si="237"/>
        <v>0</v>
      </c>
      <c r="BD375" s="48">
        <f t="shared" si="238"/>
        <v>0</v>
      </c>
      <c r="BE375" s="48">
        <f t="shared" si="239"/>
        <v>0</v>
      </c>
      <c r="BF375" s="49">
        <f t="shared" si="240"/>
        <v>18</v>
      </c>
      <c r="BG375" s="50"/>
      <c r="BH375" s="51">
        <f t="shared" si="241"/>
        <v>18</v>
      </c>
      <c r="BI375" s="51">
        <f t="shared" si="242"/>
        <v>0.5</v>
      </c>
      <c r="BJ375" s="51">
        <f t="shared" si="243"/>
        <v>0</v>
      </c>
      <c r="BK375" s="52">
        <f t="shared" si="244"/>
        <v>0</v>
      </c>
      <c r="BL375" s="52">
        <f t="shared" si="245"/>
        <v>0</v>
      </c>
      <c r="BM375" s="52">
        <f t="shared" si="246"/>
        <v>0</v>
      </c>
    </row>
    <row r="376" spans="1:65" ht="30" customHeight="1" x14ac:dyDescent="0.25">
      <c r="A376" s="31" t="str">
        <f t="shared" si="212"/>
        <v>Д</v>
      </c>
      <c r="B376" s="31" t="str">
        <f t="shared" si="213"/>
        <v>Б</v>
      </c>
      <c r="C376" s="32" t="s">
        <v>226</v>
      </c>
      <c r="D376" s="33" t="str">
        <f t="shared" si="214"/>
        <v>Факультет физико-математических и естественных наук</v>
      </c>
      <c r="E376" s="34" t="str">
        <f t="shared" si="215"/>
        <v>'38.03.05</v>
      </c>
      <c r="F376" s="35" t="str">
        <f t="shared" si="216"/>
        <v>Бизнес-информатика</v>
      </c>
      <c r="G376" s="36" t="s">
        <v>76</v>
      </c>
      <c r="H376" s="36" t="s">
        <v>183</v>
      </c>
      <c r="I376" s="37"/>
      <c r="J376" s="37"/>
      <c r="K376" s="38" t="s">
        <v>105</v>
      </c>
      <c r="L376" s="39">
        <v>3</v>
      </c>
      <c r="M376" s="39">
        <v>18</v>
      </c>
      <c r="N376" s="40" t="s">
        <v>79</v>
      </c>
      <c r="O376" s="39">
        <v>1</v>
      </c>
      <c r="P376" s="39"/>
      <c r="Q376" s="39"/>
      <c r="R376" s="40"/>
      <c r="S376" s="41"/>
      <c r="T376" s="41"/>
      <c r="U376" s="41"/>
      <c r="V376" s="41"/>
      <c r="W376" s="41"/>
      <c r="X376" s="42" t="str">
        <f t="shared" si="217"/>
        <v>НБИбд</v>
      </c>
      <c r="Y376" s="43" t="s">
        <v>107</v>
      </c>
      <c r="Z376" s="39">
        <v>2</v>
      </c>
      <c r="AA376" s="39">
        <v>1</v>
      </c>
      <c r="AB376" s="42">
        <f t="shared" si="218"/>
        <v>32</v>
      </c>
      <c r="AC376" s="39">
        <v>24</v>
      </c>
      <c r="AD376" s="39">
        <v>8</v>
      </c>
      <c r="AE376" s="44">
        <f t="shared" si="219"/>
        <v>32</v>
      </c>
      <c r="AF376" s="45">
        <f t="shared" si="220"/>
        <v>1</v>
      </c>
      <c r="AG376" s="45">
        <f t="shared" si="221"/>
        <v>1</v>
      </c>
      <c r="AH376" s="46" t="s">
        <v>82</v>
      </c>
      <c r="AI376" s="40" t="s">
        <v>83</v>
      </c>
      <c r="AJ376" s="40" t="s">
        <v>84</v>
      </c>
      <c r="AK376" s="47" t="s">
        <v>93</v>
      </c>
      <c r="AL376" s="40"/>
      <c r="AM376" s="48">
        <f t="shared" si="222"/>
        <v>18</v>
      </c>
      <c r="AN376" s="48">
        <f t="shared" si="223"/>
        <v>0</v>
      </c>
      <c r="AO376" s="48">
        <f t="shared" si="224"/>
        <v>0</v>
      </c>
      <c r="AP376" s="48">
        <f t="shared" si="225"/>
        <v>0</v>
      </c>
      <c r="AQ376" s="48">
        <f t="shared" si="226"/>
        <v>0</v>
      </c>
      <c r="AR376" s="48">
        <f t="shared" si="227"/>
        <v>0</v>
      </c>
      <c r="AS376" s="48">
        <f t="shared" si="228"/>
        <v>0.9</v>
      </c>
      <c r="AT376" s="48">
        <f t="shared" si="229"/>
        <v>0</v>
      </c>
      <c r="AU376" s="48">
        <f t="shared" si="230"/>
        <v>0</v>
      </c>
      <c r="AV376" s="48">
        <f t="shared" si="231"/>
        <v>0</v>
      </c>
      <c r="AW376" s="48">
        <f>IF(N376="ПП",РПП*AB376*(V376/1.5),IF(N376="ВП",ВПр*AB376*(V376/1.5),IF(N376="РПА",РПА*AB376*(V376/1.5),IF(N376="КПА",кпа*AB376*(V376/1.5),0))))</f>
        <v>0</v>
      </c>
      <c r="AX376" s="48">
        <f t="shared" si="232"/>
        <v>0</v>
      </c>
      <c r="AY376" s="48">
        <f t="shared" si="233"/>
        <v>0</v>
      </c>
      <c r="AZ376" s="48">
        <f t="shared" si="234"/>
        <v>0</v>
      </c>
      <c r="BA376" s="48">
        <f t="shared" si="235"/>
        <v>0</v>
      </c>
      <c r="BB376" s="48">
        <f t="shared" si="236"/>
        <v>0</v>
      </c>
      <c r="BC376" s="48">
        <f t="shared" si="237"/>
        <v>0</v>
      </c>
      <c r="BD376" s="48">
        <f t="shared" si="238"/>
        <v>0</v>
      </c>
      <c r="BE376" s="48">
        <f t="shared" si="239"/>
        <v>0</v>
      </c>
      <c r="BF376" s="49">
        <f t="shared" si="240"/>
        <v>18.899999999999999</v>
      </c>
      <c r="BG376" s="50"/>
      <c r="BH376" s="51">
        <f t="shared" si="241"/>
        <v>18</v>
      </c>
      <c r="BI376" s="51">
        <f t="shared" si="242"/>
        <v>0.5</v>
      </c>
      <c r="BJ376" s="51">
        <f t="shared" si="243"/>
        <v>0.9</v>
      </c>
      <c r="BK376" s="52">
        <f t="shared" si="244"/>
        <v>0</v>
      </c>
      <c r="BL376" s="52">
        <f t="shared" si="245"/>
        <v>0</v>
      </c>
      <c r="BM376" s="52">
        <f t="shared" si="246"/>
        <v>0</v>
      </c>
    </row>
    <row r="377" spans="1:65" ht="30" customHeight="1" x14ac:dyDescent="0.25">
      <c r="A377" s="31" t="str">
        <f t="shared" si="212"/>
        <v>Д</v>
      </c>
      <c r="B377" s="31" t="str">
        <f t="shared" si="213"/>
        <v>Б</v>
      </c>
      <c r="C377" s="32" t="s">
        <v>226</v>
      </c>
      <c r="D377" s="33" t="str">
        <f t="shared" si="214"/>
        <v>Факультет физико-математических и естественных наук</v>
      </c>
      <c r="E377" s="34" t="str">
        <f t="shared" si="215"/>
        <v>'38.03.05</v>
      </c>
      <c r="F377" s="35" t="str">
        <f t="shared" si="216"/>
        <v>Бизнес-информатика</v>
      </c>
      <c r="G377" s="36" t="s">
        <v>76</v>
      </c>
      <c r="H377" s="36" t="s">
        <v>183</v>
      </c>
      <c r="I377" s="37"/>
      <c r="J377" s="37"/>
      <c r="K377" s="38" t="s">
        <v>105</v>
      </c>
      <c r="L377" s="39">
        <v>3</v>
      </c>
      <c r="M377" s="39">
        <v>18</v>
      </c>
      <c r="N377" s="40" t="s">
        <v>94</v>
      </c>
      <c r="O377" s="39"/>
      <c r="P377" s="39">
        <v>2</v>
      </c>
      <c r="Q377" s="39"/>
      <c r="R377" s="40" t="s">
        <v>95</v>
      </c>
      <c r="S377" s="41"/>
      <c r="T377" s="41"/>
      <c r="U377" s="41"/>
      <c r="V377" s="41"/>
      <c r="W377" s="41"/>
      <c r="X377" s="42" t="str">
        <f t="shared" si="217"/>
        <v>НБИбд</v>
      </c>
      <c r="Y377" s="43" t="s">
        <v>107</v>
      </c>
      <c r="Z377" s="39">
        <v>1</v>
      </c>
      <c r="AA377" s="39">
        <v>1</v>
      </c>
      <c r="AB377" s="42">
        <f t="shared" si="218"/>
        <v>32</v>
      </c>
      <c r="AC377" s="39">
        <v>24</v>
      </c>
      <c r="AD377" s="39">
        <v>8</v>
      </c>
      <c r="AE377" s="44">
        <f t="shared" si="219"/>
        <v>12</v>
      </c>
      <c r="AF377" s="45">
        <f t="shared" si="220"/>
        <v>1</v>
      </c>
      <c r="AG377" s="45">
        <f t="shared" si="221"/>
        <v>2.6666666666666665</v>
      </c>
      <c r="AH377" s="46" t="s">
        <v>82</v>
      </c>
      <c r="AI377" s="40" t="s">
        <v>99</v>
      </c>
      <c r="AJ377" s="40" t="s">
        <v>116</v>
      </c>
      <c r="AK377" s="47" t="s">
        <v>123</v>
      </c>
      <c r="AL377" s="40"/>
      <c r="AM377" s="48">
        <f t="shared" si="222"/>
        <v>0</v>
      </c>
      <c r="AN377" s="48">
        <f t="shared" si="223"/>
        <v>0</v>
      </c>
      <c r="AO377" s="48">
        <f t="shared" si="224"/>
        <v>36</v>
      </c>
      <c r="AP377" s="48">
        <f t="shared" si="225"/>
        <v>10.56</v>
      </c>
      <c r="AQ377" s="48">
        <f t="shared" si="226"/>
        <v>16</v>
      </c>
      <c r="AR377" s="48">
        <f t="shared" si="227"/>
        <v>1</v>
      </c>
      <c r="AS377" s="48">
        <f t="shared" si="228"/>
        <v>0</v>
      </c>
      <c r="AT377" s="48">
        <f t="shared" si="229"/>
        <v>0</v>
      </c>
      <c r="AU377" s="48">
        <f t="shared" si="230"/>
        <v>0</v>
      </c>
      <c r="AV377" s="48">
        <f t="shared" si="231"/>
        <v>0</v>
      </c>
      <c r="AW377" s="48">
        <f>IF(N377="ПП",РПП*AB377*(V377/1.5),IF(N377="ВП",ВПр*AB377*(V377/1.5),IF(N377="РПА",РПА*AB377*(V377/1.5),IF(N377="КПА",кпа*AB377*(V377/1.5),0))))</f>
        <v>0</v>
      </c>
      <c r="AX377" s="48">
        <f t="shared" si="232"/>
        <v>0</v>
      </c>
      <c r="AY377" s="48">
        <f t="shared" si="233"/>
        <v>0</v>
      </c>
      <c r="AZ377" s="48">
        <f t="shared" si="234"/>
        <v>0</v>
      </c>
      <c r="BA377" s="48">
        <f t="shared" si="235"/>
        <v>0</v>
      </c>
      <c r="BB377" s="48">
        <f t="shared" si="236"/>
        <v>0</v>
      </c>
      <c r="BC377" s="48">
        <f t="shared" si="237"/>
        <v>0</v>
      </c>
      <c r="BD377" s="48">
        <f t="shared" si="238"/>
        <v>0</v>
      </c>
      <c r="BE377" s="48">
        <f t="shared" si="239"/>
        <v>0</v>
      </c>
      <c r="BF377" s="49">
        <f t="shared" si="240"/>
        <v>63.56</v>
      </c>
      <c r="BG377" s="50"/>
      <c r="BH377" s="51">
        <f t="shared" si="241"/>
        <v>36</v>
      </c>
      <c r="BI377" s="51">
        <f t="shared" si="242"/>
        <v>1</v>
      </c>
      <c r="BJ377" s="51">
        <f t="shared" si="243"/>
        <v>27.560000000000002</v>
      </c>
      <c r="BK377" s="52">
        <f t="shared" si="244"/>
        <v>0</v>
      </c>
      <c r="BL377" s="52">
        <f t="shared" si="245"/>
        <v>0</v>
      </c>
      <c r="BM377" s="52">
        <f t="shared" si="246"/>
        <v>0</v>
      </c>
    </row>
    <row r="378" spans="1:65" ht="30" customHeight="1" x14ac:dyDescent="0.25">
      <c r="A378" s="31" t="str">
        <f t="shared" si="212"/>
        <v>Д</v>
      </c>
      <c r="B378" s="31" t="str">
        <f t="shared" si="213"/>
        <v>Б</v>
      </c>
      <c r="C378" s="32" t="s">
        <v>226</v>
      </c>
      <c r="D378" s="33" t="str">
        <f t="shared" si="214"/>
        <v>Факультет физико-математических и естественных наук</v>
      </c>
      <c r="E378" s="34" t="str">
        <f t="shared" si="215"/>
        <v>'38.03.05</v>
      </c>
      <c r="F378" s="35" t="str">
        <f t="shared" si="216"/>
        <v>Бизнес-информатика</v>
      </c>
      <c r="G378" s="36" t="s">
        <v>76</v>
      </c>
      <c r="H378" s="36" t="s">
        <v>183</v>
      </c>
      <c r="I378" s="37"/>
      <c r="J378" s="37"/>
      <c r="K378" s="38" t="s">
        <v>105</v>
      </c>
      <c r="L378" s="39">
        <v>3</v>
      </c>
      <c r="M378" s="39">
        <v>18</v>
      </c>
      <c r="N378" s="40" t="s">
        <v>94</v>
      </c>
      <c r="O378" s="39"/>
      <c r="P378" s="39">
        <v>2</v>
      </c>
      <c r="Q378" s="39"/>
      <c r="R378" s="40" t="s">
        <v>95</v>
      </c>
      <c r="S378" s="41"/>
      <c r="T378" s="41"/>
      <c r="U378" s="41"/>
      <c r="V378" s="41"/>
      <c r="W378" s="41"/>
      <c r="X378" s="42" t="str">
        <f t="shared" si="217"/>
        <v>НБИбд</v>
      </c>
      <c r="Y378" s="43" t="s">
        <v>107</v>
      </c>
      <c r="Z378" s="39">
        <v>1</v>
      </c>
      <c r="AA378" s="39">
        <v>1</v>
      </c>
      <c r="AB378" s="42">
        <f t="shared" si="218"/>
        <v>0</v>
      </c>
      <c r="AC378" s="39"/>
      <c r="AD378" s="39"/>
      <c r="AE378" s="44">
        <f t="shared" si="219"/>
        <v>12</v>
      </c>
      <c r="AF378" s="45">
        <f t="shared" si="220"/>
        <v>0</v>
      </c>
      <c r="AG378" s="45">
        <f t="shared" si="221"/>
        <v>0</v>
      </c>
      <c r="AH378" s="46" t="s">
        <v>82</v>
      </c>
      <c r="AI378" s="40" t="s">
        <v>99</v>
      </c>
      <c r="AJ378" s="40" t="s">
        <v>116</v>
      </c>
      <c r="AK378" s="47" t="s">
        <v>123</v>
      </c>
      <c r="AL378" s="40"/>
      <c r="AM378" s="48">
        <f t="shared" si="222"/>
        <v>0</v>
      </c>
      <c r="AN378" s="48">
        <f t="shared" si="223"/>
        <v>0</v>
      </c>
      <c r="AO378" s="48">
        <f t="shared" si="224"/>
        <v>0</v>
      </c>
      <c r="AP378" s="48">
        <f t="shared" si="225"/>
        <v>0</v>
      </c>
      <c r="AQ378" s="48">
        <f t="shared" si="226"/>
        <v>0</v>
      </c>
      <c r="AR378" s="48">
        <f t="shared" si="227"/>
        <v>0</v>
      </c>
      <c r="AS378" s="48">
        <f t="shared" si="228"/>
        <v>0</v>
      </c>
      <c r="AT378" s="48">
        <f t="shared" si="229"/>
        <v>0</v>
      </c>
      <c r="AU378" s="48">
        <f t="shared" si="230"/>
        <v>0</v>
      </c>
      <c r="AV378" s="48">
        <f t="shared" si="231"/>
        <v>0</v>
      </c>
      <c r="AW378" s="48">
        <f>IF(N378="ПП",РПП*AB378*(V378/1.5),IF(N378="ВП",ВПр*AB378*(V378/1.5),IF(N378="РПА",РПА*AB378*(V378/1.5),IF(N378="КПА",кпа*AB378*(V378/1.5),0))))</f>
        <v>0</v>
      </c>
      <c r="AX378" s="48">
        <f t="shared" si="232"/>
        <v>0</v>
      </c>
      <c r="AY378" s="48">
        <f t="shared" si="233"/>
        <v>0</v>
      </c>
      <c r="AZ378" s="48">
        <f t="shared" si="234"/>
        <v>0</v>
      </c>
      <c r="BA378" s="48">
        <f t="shared" si="235"/>
        <v>0</v>
      </c>
      <c r="BB378" s="48">
        <f t="shared" si="236"/>
        <v>0</v>
      </c>
      <c r="BC378" s="48">
        <f t="shared" si="237"/>
        <v>0</v>
      </c>
      <c r="BD378" s="48">
        <f t="shared" si="238"/>
        <v>0</v>
      </c>
      <c r="BE378" s="48">
        <f t="shared" si="239"/>
        <v>0</v>
      </c>
      <c r="BF378" s="49">
        <f t="shared" si="240"/>
        <v>0</v>
      </c>
      <c r="BG378" s="50"/>
      <c r="BH378" s="51">
        <f t="shared" si="241"/>
        <v>0</v>
      </c>
      <c r="BI378" s="51">
        <f t="shared" si="242"/>
        <v>0</v>
      </c>
      <c r="BJ378" s="51">
        <f t="shared" si="243"/>
        <v>0</v>
      </c>
      <c r="BK378" s="52">
        <f t="shared" si="244"/>
        <v>0</v>
      </c>
      <c r="BL378" s="52">
        <f t="shared" si="245"/>
        <v>0</v>
      </c>
      <c r="BM378" s="52">
        <f t="shared" si="246"/>
        <v>0</v>
      </c>
    </row>
    <row r="379" spans="1:65" ht="30" customHeight="1" x14ac:dyDescent="0.25">
      <c r="A379" s="31" t="str">
        <f t="shared" si="212"/>
        <v>Д</v>
      </c>
      <c r="B379" s="31" t="str">
        <f t="shared" si="213"/>
        <v>Б</v>
      </c>
      <c r="C379" s="32" t="s">
        <v>226</v>
      </c>
      <c r="D379" s="33" t="str">
        <f t="shared" si="214"/>
        <v>Факультет физико-математических и естественных наук</v>
      </c>
      <c r="E379" s="34" t="str">
        <f t="shared" si="215"/>
        <v>'38.03.05</v>
      </c>
      <c r="F379" s="35" t="str">
        <f t="shared" si="216"/>
        <v>Бизнес-информатика</v>
      </c>
      <c r="G379" s="36" t="s">
        <v>76</v>
      </c>
      <c r="H379" s="36" t="s">
        <v>77</v>
      </c>
      <c r="I379" s="37"/>
      <c r="J379" s="37"/>
      <c r="K379" s="38" t="s">
        <v>232</v>
      </c>
      <c r="L379" s="39">
        <v>4</v>
      </c>
      <c r="M379" s="39">
        <v>18</v>
      </c>
      <c r="N379" s="40" t="s">
        <v>79</v>
      </c>
      <c r="O379" s="39">
        <v>1</v>
      </c>
      <c r="P379" s="39"/>
      <c r="Q379" s="39"/>
      <c r="R379" s="40" t="s">
        <v>80</v>
      </c>
      <c r="S379" s="41"/>
      <c r="T379" s="41"/>
      <c r="U379" s="41"/>
      <c r="V379" s="41"/>
      <c r="W379" s="41"/>
      <c r="X379" s="42" t="str">
        <f t="shared" si="217"/>
        <v>НБИбд</v>
      </c>
      <c r="Y379" s="43" t="s">
        <v>107</v>
      </c>
      <c r="Z379" s="39">
        <v>2</v>
      </c>
      <c r="AA379" s="39">
        <v>1</v>
      </c>
      <c r="AB379" s="42">
        <f t="shared" si="218"/>
        <v>32</v>
      </c>
      <c r="AC379" s="39">
        <v>24</v>
      </c>
      <c r="AD379" s="39">
        <v>8</v>
      </c>
      <c r="AE379" s="44">
        <f t="shared" si="219"/>
        <v>32</v>
      </c>
      <c r="AF379" s="45">
        <f t="shared" si="220"/>
        <v>1</v>
      </c>
      <c r="AG379" s="45">
        <f t="shared" si="221"/>
        <v>1</v>
      </c>
      <c r="AH379" s="46" t="s">
        <v>82</v>
      </c>
      <c r="AI379" s="40" t="s">
        <v>83</v>
      </c>
      <c r="AJ379" s="40" t="s">
        <v>116</v>
      </c>
      <c r="AK379" s="47" t="s">
        <v>119</v>
      </c>
      <c r="AL379" s="40"/>
      <c r="AM379" s="48">
        <f t="shared" si="222"/>
        <v>18</v>
      </c>
      <c r="AN379" s="48">
        <f t="shared" si="223"/>
        <v>0</v>
      </c>
      <c r="AO379" s="48">
        <f t="shared" si="224"/>
        <v>0</v>
      </c>
      <c r="AP379" s="48">
        <f t="shared" si="225"/>
        <v>10.56</v>
      </c>
      <c r="AQ379" s="48">
        <f t="shared" si="226"/>
        <v>16</v>
      </c>
      <c r="AR379" s="48">
        <f t="shared" si="227"/>
        <v>1</v>
      </c>
      <c r="AS379" s="48">
        <f t="shared" si="228"/>
        <v>0.9</v>
      </c>
      <c r="AT379" s="48">
        <f t="shared" si="229"/>
        <v>0</v>
      </c>
      <c r="AU379" s="48">
        <f t="shared" si="230"/>
        <v>0</v>
      </c>
      <c r="AV379" s="48">
        <f t="shared" si="231"/>
        <v>0</v>
      </c>
      <c r="AW379" s="48">
        <f>IF(N379="ПП",РПП*AB379*(V379/1.5),IF(N379="ВП",ВПр*AB379*(V379/1.5),IF(N379="РПА",РПА*AB379*(V379/1.5),IF(N379="КПА",кпа*AB379*(V379/1.5),0))))</f>
        <v>0</v>
      </c>
      <c r="AX379" s="48">
        <f t="shared" si="232"/>
        <v>0</v>
      </c>
      <c r="AY379" s="48">
        <f t="shared" si="233"/>
        <v>0</v>
      </c>
      <c r="AZ379" s="48">
        <f t="shared" si="234"/>
        <v>0</v>
      </c>
      <c r="BA379" s="48">
        <f t="shared" si="235"/>
        <v>0</v>
      </c>
      <c r="BB379" s="48">
        <f t="shared" si="236"/>
        <v>0</v>
      </c>
      <c r="BC379" s="48">
        <f t="shared" si="237"/>
        <v>0</v>
      </c>
      <c r="BD379" s="48">
        <f t="shared" si="238"/>
        <v>0</v>
      </c>
      <c r="BE379" s="48">
        <f t="shared" si="239"/>
        <v>0</v>
      </c>
      <c r="BF379" s="49">
        <f t="shared" si="240"/>
        <v>46.46</v>
      </c>
      <c r="BG379" s="50"/>
      <c r="BH379" s="51">
        <f t="shared" si="241"/>
        <v>0</v>
      </c>
      <c r="BI379" s="51">
        <f t="shared" si="242"/>
        <v>0</v>
      </c>
      <c r="BJ379" s="51">
        <f t="shared" si="243"/>
        <v>0</v>
      </c>
      <c r="BK379" s="52">
        <f t="shared" si="244"/>
        <v>18</v>
      </c>
      <c r="BL379" s="52">
        <f t="shared" si="245"/>
        <v>0.5</v>
      </c>
      <c r="BM379" s="52">
        <f t="shared" si="246"/>
        <v>28.46</v>
      </c>
    </row>
    <row r="380" spans="1:65" ht="30" customHeight="1" x14ac:dyDescent="0.25">
      <c r="A380" s="31" t="str">
        <f t="shared" si="212"/>
        <v>Д</v>
      </c>
      <c r="B380" s="31" t="str">
        <f t="shared" si="213"/>
        <v>Б</v>
      </c>
      <c r="C380" s="32" t="s">
        <v>226</v>
      </c>
      <c r="D380" s="33" t="str">
        <f t="shared" si="214"/>
        <v>Факультет физико-математических и естественных наук</v>
      </c>
      <c r="E380" s="34" t="str">
        <f t="shared" si="215"/>
        <v>'38.03.05</v>
      </c>
      <c r="F380" s="35" t="str">
        <f t="shared" si="216"/>
        <v>Бизнес-информатика</v>
      </c>
      <c r="G380" s="36" t="s">
        <v>76</v>
      </c>
      <c r="H380" s="36" t="s">
        <v>77</v>
      </c>
      <c r="I380" s="37"/>
      <c r="J380" s="37"/>
      <c r="K380" s="38" t="s">
        <v>232</v>
      </c>
      <c r="L380" s="39">
        <v>4</v>
      </c>
      <c r="M380" s="39">
        <v>18</v>
      </c>
      <c r="N380" s="40" t="s">
        <v>86</v>
      </c>
      <c r="O380" s="39"/>
      <c r="P380" s="39"/>
      <c r="Q380" s="39">
        <v>1</v>
      </c>
      <c r="R380" s="40"/>
      <c r="S380" s="41"/>
      <c r="T380" s="41"/>
      <c r="U380" s="41"/>
      <c r="V380" s="41"/>
      <c r="W380" s="41"/>
      <c r="X380" s="42" t="str">
        <f t="shared" si="217"/>
        <v>НБИбд</v>
      </c>
      <c r="Y380" s="43" t="s">
        <v>107</v>
      </c>
      <c r="Z380" s="39">
        <v>2</v>
      </c>
      <c r="AA380" s="39">
        <v>1</v>
      </c>
      <c r="AB380" s="42">
        <f t="shared" si="218"/>
        <v>32</v>
      </c>
      <c r="AC380" s="39">
        <v>24</v>
      </c>
      <c r="AD380" s="39">
        <v>8</v>
      </c>
      <c r="AE380" s="44">
        <f t="shared" si="219"/>
        <v>24</v>
      </c>
      <c r="AF380" s="45">
        <f t="shared" si="220"/>
        <v>1</v>
      </c>
      <c r="AG380" s="45">
        <f t="shared" si="221"/>
        <v>1.3333333333333333</v>
      </c>
      <c r="AH380" s="46" t="s">
        <v>82</v>
      </c>
      <c r="AI380" s="40" t="s">
        <v>83</v>
      </c>
      <c r="AJ380" s="40" t="s">
        <v>116</v>
      </c>
      <c r="AK380" s="47" t="s">
        <v>119</v>
      </c>
      <c r="AL380" s="40"/>
      <c r="AM380" s="48">
        <f t="shared" si="222"/>
        <v>0</v>
      </c>
      <c r="AN380" s="48">
        <f t="shared" si="223"/>
        <v>18</v>
      </c>
      <c r="AO380" s="48">
        <f t="shared" si="224"/>
        <v>0</v>
      </c>
      <c r="AP380" s="48">
        <f t="shared" si="225"/>
        <v>0</v>
      </c>
      <c r="AQ380" s="48">
        <f t="shared" si="226"/>
        <v>0</v>
      </c>
      <c r="AR380" s="48">
        <f t="shared" si="227"/>
        <v>0</v>
      </c>
      <c r="AS380" s="48">
        <f t="shared" si="228"/>
        <v>0</v>
      </c>
      <c r="AT380" s="48">
        <f t="shared" si="229"/>
        <v>0</v>
      </c>
      <c r="AU380" s="48">
        <f t="shared" si="230"/>
        <v>0</v>
      </c>
      <c r="AV380" s="48">
        <f t="shared" si="231"/>
        <v>0</v>
      </c>
      <c r="AW380" s="48">
        <f>IF(N380="ПП",РПП*AB380*(V380/1.5),IF(N380="ВП",ВПр*AB380*(V380/1.5),IF(N380="РПА",РПА*AB380*(V380/1.5),IF(N380="КПА",кпа*AB380*(V380/1.5),0))))</f>
        <v>0</v>
      </c>
      <c r="AX380" s="48">
        <f t="shared" si="232"/>
        <v>0</v>
      </c>
      <c r="AY380" s="48">
        <f t="shared" si="233"/>
        <v>0</v>
      </c>
      <c r="AZ380" s="48">
        <f t="shared" si="234"/>
        <v>0</v>
      </c>
      <c r="BA380" s="48">
        <f t="shared" si="235"/>
        <v>0</v>
      </c>
      <c r="BB380" s="48">
        <f t="shared" si="236"/>
        <v>0</v>
      </c>
      <c r="BC380" s="48">
        <f t="shared" si="237"/>
        <v>0</v>
      </c>
      <c r="BD380" s="48">
        <f t="shared" si="238"/>
        <v>0</v>
      </c>
      <c r="BE380" s="48">
        <f t="shared" si="239"/>
        <v>0</v>
      </c>
      <c r="BF380" s="49">
        <f t="shared" si="240"/>
        <v>18</v>
      </c>
      <c r="BG380" s="50"/>
      <c r="BH380" s="51">
        <f t="shared" si="241"/>
        <v>0</v>
      </c>
      <c r="BI380" s="51">
        <f t="shared" si="242"/>
        <v>0</v>
      </c>
      <c r="BJ380" s="51">
        <f t="shared" si="243"/>
        <v>0</v>
      </c>
      <c r="BK380" s="52">
        <f t="shared" si="244"/>
        <v>18</v>
      </c>
      <c r="BL380" s="52">
        <f t="shared" si="245"/>
        <v>0.5</v>
      </c>
      <c r="BM380" s="52">
        <f t="shared" si="246"/>
        <v>0</v>
      </c>
    </row>
    <row r="381" spans="1:65" ht="30" customHeight="1" x14ac:dyDescent="0.25">
      <c r="A381" s="31" t="str">
        <f t="shared" si="212"/>
        <v>Д</v>
      </c>
      <c r="B381" s="31" t="str">
        <f t="shared" si="213"/>
        <v>Б</v>
      </c>
      <c r="C381" s="32" t="s">
        <v>226</v>
      </c>
      <c r="D381" s="33" t="str">
        <f t="shared" si="214"/>
        <v>Факультет физико-математических и естественных наук</v>
      </c>
      <c r="E381" s="34" t="str">
        <f t="shared" si="215"/>
        <v>'38.03.05</v>
      </c>
      <c r="F381" s="35" t="str">
        <f t="shared" si="216"/>
        <v>Бизнес-информатика</v>
      </c>
      <c r="G381" s="36" t="s">
        <v>76</v>
      </c>
      <c r="H381" s="36" t="s">
        <v>183</v>
      </c>
      <c r="I381" s="37"/>
      <c r="J381" s="37"/>
      <c r="K381" s="38" t="s">
        <v>124</v>
      </c>
      <c r="L381" s="39">
        <v>4</v>
      </c>
      <c r="M381" s="39">
        <v>18</v>
      </c>
      <c r="N381" s="40" t="s">
        <v>79</v>
      </c>
      <c r="O381" s="39">
        <v>1</v>
      </c>
      <c r="P381" s="39"/>
      <c r="Q381" s="39"/>
      <c r="R381" s="40" t="s">
        <v>80</v>
      </c>
      <c r="S381" s="41"/>
      <c r="T381" s="41"/>
      <c r="U381" s="41"/>
      <c r="V381" s="41"/>
      <c r="W381" s="41"/>
      <c r="X381" s="42" t="str">
        <f t="shared" si="217"/>
        <v>НБИбд</v>
      </c>
      <c r="Y381" s="43" t="s">
        <v>107</v>
      </c>
      <c r="Z381" s="39">
        <v>3</v>
      </c>
      <c r="AA381" s="39">
        <v>2</v>
      </c>
      <c r="AB381" s="42">
        <f t="shared" si="218"/>
        <v>32</v>
      </c>
      <c r="AC381" s="39">
        <v>24</v>
      </c>
      <c r="AD381" s="39">
        <v>8</v>
      </c>
      <c r="AE381" s="44">
        <f t="shared" si="219"/>
        <v>32</v>
      </c>
      <c r="AF381" s="45">
        <f t="shared" si="220"/>
        <v>1</v>
      </c>
      <c r="AG381" s="45">
        <f t="shared" si="221"/>
        <v>1</v>
      </c>
      <c r="AH381" s="46" t="s">
        <v>82</v>
      </c>
      <c r="AI381" s="40" t="s">
        <v>83</v>
      </c>
      <c r="AJ381" s="40" t="s">
        <v>84</v>
      </c>
      <c r="AK381" s="47" t="s">
        <v>93</v>
      </c>
      <c r="AL381" s="40"/>
      <c r="AM381" s="48">
        <f t="shared" si="222"/>
        <v>18</v>
      </c>
      <c r="AN381" s="48">
        <f t="shared" si="223"/>
        <v>0</v>
      </c>
      <c r="AO381" s="48">
        <f t="shared" si="224"/>
        <v>0</v>
      </c>
      <c r="AP381" s="48">
        <f t="shared" si="225"/>
        <v>10.56</v>
      </c>
      <c r="AQ381" s="48">
        <f t="shared" si="226"/>
        <v>16</v>
      </c>
      <c r="AR381" s="48">
        <f t="shared" si="227"/>
        <v>2</v>
      </c>
      <c r="AS381" s="48">
        <f t="shared" si="228"/>
        <v>1.8</v>
      </c>
      <c r="AT381" s="48">
        <f t="shared" si="229"/>
        <v>0</v>
      </c>
      <c r="AU381" s="48">
        <f t="shared" si="230"/>
        <v>0</v>
      </c>
      <c r="AV381" s="48">
        <f t="shared" si="231"/>
        <v>0</v>
      </c>
      <c r="AW381" s="48">
        <f>IF(N381="ПП",РПП*AB381*(V381/1.5),IF(N381="ВП",ВПр*AB381*(V381/1.5),IF(N381="РПА",РПА*AB381*(V381/1.5),IF(N381="КПА",кпа*AB381*(V381/1.5),0))))</f>
        <v>0</v>
      </c>
      <c r="AX381" s="48">
        <f t="shared" si="232"/>
        <v>0</v>
      </c>
      <c r="AY381" s="48">
        <f t="shared" si="233"/>
        <v>0</v>
      </c>
      <c r="AZ381" s="48">
        <f t="shared" si="234"/>
        <v>0</v>
      </c>
      <c r="BA381" s="48">
        <f t="shared" si="235"/>
        <v>0</v>
      </c>
      <c r="BB381" s="48">
        <f t="shared" si="236"/>
        <v>0</v>
      </c>
      <c r="BC381" s="48">
        <f t="shared" si="237"/>
        <v>0</v>
      </c>
      <c r="BD381" s="48">
        <f t="shared" si="238"/>
        <v>0</v>
      </c>
      <c r="BE381" s="48">
        <f t="shared" si="239"/>
        <v>0</v>
      </c>
      <c r="BF381" s="49">
        <f t="shared" si="240"/>
        <v>48.36</v>
      </c>
      <c r="BG381" s="50"/>
      <c r="BH381" s="51">
        <f t="shared" si="241"/>
        <v>0</v>
      </c>
      <c r="BI381" s="51">
        <f t="shared" si="242"/>
        <v>0</v>
      </c>
      <c r="BJ381" s="51">
        <f t="shared" si="243"/>
        <v>0</v>
      </c>
      <c r="BK381" s="52">
        <f t="shared" si="244"/>
        <v>18</v>
      </c>
      <c r="BL381" s="52">
        <f t="shared" si="245"/>
        <v>0.5</v>
      </c>
      <c r="BM381" s="52">
        <f t="shared" si="246"/>
        <v>30.360000000000003</v>
      </c>
    </row>
    <row r="382" spans="1:65" ht="30" customHeight="1" x14ac:dyDescent="0.25">
      <c r="A382" s="31" t="str">
        <f t="shared" si="212"/>
        <v>Д</v>
      </c>
      <c r="B382" s="31" t="str">
        <f t="shared" si="213"/>
        <v>Б</v>
      </c>
      <c r="C382" s="32" t="s">
        <v>226</v>
      </c>
      <c r="D382" s="33" t="str">
        <f t="shared" si="214"/>
        <v>Факультет физико-математических и естественных наук</v>
      </c>
      <c r="E382" s="34" t="str">
        <f t="shared" si="215"/>
        <v>'38.03.05</v>
      </c>
      <c r="F382" s="35" t="str">
        <f t="shared" si="216"/>
        <v>Бизнес-информатика</v>
      </c>
      <c r="G382" s="36" t="s">
        <v>76</v>
      </c>
      <c r="H382" s="36" t="s">
        <v>183</v>
      </c>
      <c r="I382" s="37"/>
      <c r="J382" s="37"/>
      <c r="K382" s="38" t="s">
        <v>124</v>
      </c>
      <c r="L382" s="39">
        <v>4</v>
      </c>
      <c r="M382" s="39">
        <v>18</v>
      </c>
      <c r="N382" s="40" t="s">
        <v>94</v>
      </c>
      <c r="O382" s="39"/>
      <c r="P382" s="39">
        <v>2</v>
      </c>
      <c r="Q382" s="39"/>
      <c r="R382" s="40"/>
      <c r="S382" s="41"/>
      <c r="T382" s="41"/>
      <c r="U382" s="41"/>
      <c r="V382" s="41"/>
      <c r="W382" s="41"/>
      <c r="X382" s="42" t="str">
        <f t="shared" si="217"/>
        <v>НБИбд</v>
      </c>
      <c r="Y382" s="43" t="s">
        <v>107</v>
      </c>
      <c r="Z382" s="39">
        <v>1</v>
      </c>
      <c r="AA382" s="39">
        <v>1</v>
      </c>
      <c r="AB382" s="42">
        <f t="shared" si="218"/>
        <v>32</v>
      </c>
      <c r="AC382" s="39">
        <v>24</v>
      </c>
      <c r="AD382" s="39">
        <v>8</v>
      </c>
      <c r="AE382" s="44">
        <f t="shared" si="219"/>
        <v>12</v>
      </c>
      <c r="AF382" s="45">
        <f t="shared" si="220"/>
        <v>1</v>
      </c>
      <c r="AG382" s="45">
        <f t="shared" si="221"/>
        <v>2.6666666666666665</v>
      </c>
      <c r="AH382" s="46" t="s">
        <v>82</v>
      </c>
      <c r="AI382" s="40" t="s">
        <v>99</v>
      </c>
      <c r="AJ382" s="40" t="s">
        <v>84</v>
      </c>
      <c r="AK382" s="47" t="s">
        <v>109</v>
      </c>
      <c r="AL382" s="40"/>
      <c r="AM382" s="48">
        <f t="shared" si="222"/>
        <v>0</v>
      </c>
      <c r="AN382" s="48">
        <f t="shared" si="223"/>
        <v>0</v>
      </c>
      <c r="AO382" s="48">
        <f t="shared" si="224"/>
        <v>36</v>
      </c>
      <c r="AP382" s="48">
        <f t="shared" si="225"/>
        <v>0</v>
      </c>
      <c r="AQ382" s="48">
        <f t="shared" si="226"/>
        <v>0</v>
      </c>
      <c r="AR382" s="48">
        <f t="shared" si="227"/>
        <v>0</v>
      </c>
      <c r="AS382" s="48">
        <f t="shared" si="228"/>
        <v>0</v>
      </c>
      <c r="AT382" s="48">
        <f t="shared" si="229"/>
        <v>0</v>
      </c>
      <c r="AU382" s="48">
        <f t="shared" si="230"/>
        <v>0</v>
      </c>
      <c r="AV382" s="48">
        <f t="shared" si="231"/>
        <v>0</v>
      </c>
      <c r="AW382" s="48">
        <f>IF(N382="ПП",РПП*AB382*(V382/1.5),IF(N382="ВП",ВПр*AB382*(V382/1.5),IF(N382="РПА",РПА*AB382*(V382/1.5),IF(N382="КПА",кпа*AB382*(V382/1.5),0))))</f>
        <v>0</v>
      </c>
      <c r="AX382" s="48">
        <f t="shared" si="232"/>
        <v>0</v>
      </c>
      <c r="AY382" s="48">
        <f t="shared" si="233"/>
        <v>0</v>
      </c>
      <c r="AZ382" s="48">
        <f t="shared" si="234"/>
        <v>0</v>
      </c>
      <c r="BA382" s="48">
        <f t="shared" si="235"/>
        <v>0</v>
      </c>
      <c r="BB382" s="48">
        <f t="shared" si="236"/>
        <v>0</v>
      </c>
      <c r="BC382" s="48">
        <f t="shared" si="237"/>
        <v>0</v>
      </c>
      <c r="BD382" s="48">
        <f t="shared" si="238"/>
        <v>0</v>
      </c>
      <c r="BE382" s="48">
        <f t="shared" si="239"/>
        <v>0</v>
      </c>
      <c r="BF382" s="49">
        <f t="shared" si="240"/>
        <v>36</v>
      </c>
      <c r="BG382" s="50"/>
      <c r="BH382" s="51">
        <f t="shared" si="241"/>
        <v>0</v>
      </c>
      <c r="BI382" s="51">
        <f t="shared" si="242"/>
        <v>0</v>
      </c>
      <c r="BJ382" s="51">
        <f t="shared" si="243"/>
        <v>0</v>
      </c>
      <c r="BK382" s="52">
        <f t="shared" si="244"/>
        <v>36</v>
      </c>
      <c r="BL382" s="52">
        <f t="shared" si="245"/>
        <v>1</v>
      </c>
      <c r="BM382" s="52">
        <f t="shared" si="246"/>
        <v>0</v>
      </c>
    </row>
    <row r="383" spans="1:65" ht="30" customHeight="1" x14ac:dyDescent="0.25">
      <c r="A383" s="31" t="str">
        <f t="shared" si="212"/>
        <v>Д</v>
      </c>
      <c r="B383" s="31" t="str">
        <f t="shared" si="213"/>
        <v>Б</v>
      </c>
      <c r="C383" s="32" t="s">
        <v>226</v>
      </c>
      <c r="D383" s="33" t="str">
        <f t="shared" si="214"/>
        <v>Факультет физико-математических и естественных наук</v>
      </c>
      <c r="E383" s="34" t="str">
        <f t="shared" si="215"/>
        <v>'38.03.05</v>
      </c>
      <c r="F383" s="35" t="str">
        <f t="shared" si="216"/>
        <v>Бизнес-информатика</v>
      </c>
      <c r="G383" s="36" t="s">
        <v>76</v>
      </c>
      <c r="H383" s="36" t="s">
        <v>183</v>
      </c>
      <c r="I383" s="37"/>
      <c r="J383" s="37"/>
      <c r="K383" s="38" t="s">
        <v>124</v>
      </c>
      <c r="L383" s="39">
        <v>4</v>
      </c>
      <c r="M383" s="39">
        <v>18</v>
      </c>
      <c r="N383" s="40" t="s">
        <v>94</v>
      </c>
      <c r="O383" s="39"/>
      <c r="P383" s="39">
        <v>2</v>
      </c>
      <c r="Q383" s="39"/>
      <c r="R383" s="40"/>
      <c r="S383" s="41"/>
      <c r="T383" s="41"/>
      <c r="U383" s="41"/>
      <c r="V383" s="41"/>
      <c r="W383" s="41"/>
      <c r="X383" s="42" t="str">
        <f t="shared" si="217"/>
        <v>НБИбд</v>
      </c>
      <c r="Y383" s="43" t="s">
        <v>107</v>
      </c>
      <c r="Z383" s="39">
        <v>1</v>
      </c>
      <c r="AA383" s="39">
        <v>1</v>
      </c>
      <c r="AB383" s="42">
        <f t="shared" si="218"/>
        <v>0</v>
      </c>
      <c r="AC383" s="39"/>
      <c r="AD383" s="39"/>
      <c r="AE383" s="44">
        <f t="shared" si="219"/>
        <v>12</v>
      </c>
      <c r="AF383" s="45">
        <f t="shared" si="220"/>
        <v>0</v>
      </c>
      <c r="AG383" s="45">
        <f t="shared" si="221"/>
        <v>0</v>
      </c>
      <c r="AH383" s="46" t="s">
        <v>82</v>
      </c>
      <c r="AI383" s="40" t="s">
        <v>99</v>
      </c>
      <c r="AJ383" s="40" t="s">
        <v>84</v>
      </c>
      <c r="AK383" s="47" t="s">
        <v>109</v>
      </c>
      <c r="AL383" s="40"/>
      <c r="AM383" s="48">
        <f t="shared" si="222"/>
        <v>0</v>
      </c>
      <c r="AN383" s="48">
        <f t="shared" si="223"/>
        <v>0</v>
      </c>
      <c r="AO383" s="48">
        <f t="shared" si="224"/>
        <v>0</v>
      </c>
      <c r="AP383" s="48">
        <f t="shared" si="225"/>
        <v>0</v>
      </c>
      <c r="AQ383" s="48">
        <f t="shared" si="226"/>
        <v>0</v>
      </c>
      <c r="AR383" s="48">
        <f t="shared" si="227"/>
        <v>0</v>
      </c>
      <c r="AS383" s="48">
        <f t="shared" si="228"/>
        <v>0</v>
      </c>
      <c r="AT383" s="48">
        <f t="shared" si="229"/>
        <v>0</v>
      </c>
      <c r="AU383" s="48">
        <f t="shared" si="230"/>
        <v>0</v>
      </c>
      <c r="AV383" s="48">
        <f t="shared" si="231"/>
        <v>0</v>
      </c>
      <c r="AW383" s="48">
        <f>IF(N383="ПП",РПП*AB383*(V383/1.5),IF(N383="ВП",ВПр*AB383*(V383/1.5),IF(N383="РПА",РПА*AB383*(V383/1.5),IF(N383="КПА",кпа*AB383*(V383/1.5),0))))</f>
        <v>0</v>
      </c>
      <c r="AX383" s="48">
        <f t="shared" si="232"/>
        <v>0</v>
      </c>
      <c r="AY383" s="48">
        <f t="shared" si="233"/>
        <v>0</v>
      </c>
      <c r="AZ383" s="48">
        <f t="shared" si="234"/>
        <v>0</v>
      </c>
      <c r="BA383" s="48">
        <f t="shared" si="235"/>
        <v>0</v>
      </c>
      <c r="BB383" s="48">
        <f t="shared" si="236"/>
        <v>0</v>
      </c>
      <c r="BC383" s="48">
        <f t="shared" si="237"/>
        <v>0</v>
      </c>
      <c r="BD383" s="48">
        <f t="shared" si="238"/>
        <v>0</v>
      </c>
      <c r="BE383" s="48">
        <f t="shared" si="239"/>
        <v>0</v>
      </c>
      <c r="BF383" s="49">
        <f t="shared" si="240"/>
        <v>0</v>
      </c>
      <c r="BG383" s="50"/>
      <c r="BH383" s="51">
        <f t="shared" si="241"/>
        <v>0</v>
      </c>
      <c r="BI383" s="51">
        <f t="shared" si="242"/>
        <v>0</v>
      </c>
      <c r="BJ383" s="51">
        <f t="shared" si="243"/>
        <v>0</v>
      </c>
      <c r="BK383" s="52">
        <f t="shared" si="244"/>
        <v>0</v>
      </c>
      <c r="BL383" s="52">
        <f t="shared" si="245"/>
        <v>0</v>
      </c>
      <c r="BM383" s="52">
        <f t="shared" si="246"/>
        <v>0</v>
      </c>
    </row>
    <row r="384" spans="1:65" ht="30" customHeight="1" x14ac:dyDescent="0.25">
      <c r="A384" s="31" t="str">
        <f t="shared" si="212"/>
        <v>Д</v>
      </c>
      <c r="B384" s="31" t="str">
        <f t="shared" si="213"/>
        <v>Б</v>
      </c>
      <c r="C384" s="32" t="s">
        <v>226</v>
      </c>
      <c r="D384" s="33" t="str">
        <f t="shared" si="214"/>
        <v>Факультет физико-математических и естественных наук</v>
      </c>
      <c r="E384" s="34" t="str">
        <f t="shared" si="215"/>
        <v>'38.03.05</v>
      </c>
      <c r="F384" s="35" t="str">
        <f t="shared" si="216"/>
        <v>Бизнес-информатика</v>
      </c>
      <c r="G384" s="36" t="s">
        <v>76</v>
      </c>
      <c r="H384" s="36" t="s">
        <v>183</v>
      </c>
      <c r="I384" s="37"/>
      <c r="J384" s="37"/>
      <c r="K384" s="38" t="s">
        <v>125</v>
      </c>
      <c r="L384" s="39">
        <v>5</v>
      </c>
      <c r="M384" s="39">
        <v>18</v>
      </c>
      <c r="N384" s="40" t="s">
        <v>79</v>
      </c>
      <c r="O384" s="39">
        <v>1</v>
      </c>
      <c r="P384" s="39"/>
      <c r="Q384" s="39"/>
      <c r="R384" s="40" t="s">
        <v>80</v>
      </c>
      <c r="S384" s="41"/>
      <c r="T384" s="41"/>
      <c r="U384" s="41"/>
      <c r="V384" s="41"/>
      <c r="W384" s="41"/>
      <c r="X384" s="42" t="str">
        <f t="shared" si="217"/>
        <v>НБИбд</v>
      </c>
      <c r="Y384" s="43" t="s">
        <v>128</v>
      </c>
      <c r="Z384" s="39">
        <v>2</v>
      </c>
      <c r="AA384" s="39">
        <v>1</v>
      </c>
      <c r="AB384" s="42">
        <f t="shared" si="218"/>
        <v>22</v>
      </c>
      <c r="AC384" s="39">
        <v>21</v>
      </c>
      <c r="AD384" s="39">
        <v>1</v>
      </c>
      <c r="AE384" s="44">
        <f t="shared" si="219"/>
        <v>22</v>
      </c>
      <c r="AF384" s="45">
        <f t="shared" si="220"/>
        <v>1</v>
      </c>
      <c r="AG384" s="45">
        <f t="shared" si="221"/>
        <v>1</v>
      </c>
      <c r="AH384" s="46" t="s">
        <v>82</v>
      </c>
      <c r="AI384" s="40" t="s">
        <v>83</v>
      </c>
      <c r="AJ384" s="40" t="s">
        <v>84</v>
      </c>
      <c r="AK384" s="47" t="s">
        <v>127</v>
      </c>
      <c r="AL384" s="40"/>
      <c r="AM384" s="48">
        <f t="shared" si="222"/>
        <v>18</v>
      </c>
      <c r="AN384" s="48">
        <f t="shared" si="223"/>
        <v>0</v>
      </c>
      <c r="AO384" s="48">
        <f t="shared" si="224"/>
        <v>0</v>
      </c>
      <c r="AP384" s="48">
        <f t="shared" si="225"/>
        <v>7.2600000000000007</v>
      </c>
      <c r="AQ384" s="48">
        <f t="shared" si="226"/>
        <v>11</v>
      </c>
      <c r="AR384" s="48">
        <f t="shared" si="227"/>
        <v>1</v>
      </c>
      <c r="AS384" s="48">
        <f t="shared" si="228"/>
        <v>0.9</v>
      </c>
      <c r="AT384" s="48">
        <f t="shared" si="229"/>
        <v>0</v>
      </c>
      <c r="AU384" s="48">
        <f t="shared" si="230"/>
        <v>0</v>
      </c>
      <c r="AV384" s="48">
        <f t="shared" si="231"/>
        <v>0</v>
      </c>
      <c r="AW384" s="48">
        <f>IF(N384="ПП",РПП*AB384*(V384/1.5),IF(N384="ВП",ВПр*AB384*(V384/1.5),IF(N384="РПА",РПА*AB384*(V384/1.5),IF(N384="КПА",кпа*AB384*(V384/1.5),0))))</f>
        <v>0</v>
      </c>
      <c r="AX384" s="48">
        <f t="shared" si="232"/>
        <v>0</v>
      </c>
      <c r="AY384" s="48">
        <f t="shared" si="233"/>
        <v>0</v>
      </c>
      <c r="AZ384" s="48">
        <f t="shared" si="234"/>
        <v>0</v>
      </c>
      <c r="BA384" s="48">
        <f t="shared" si="235"/>
        <v>0</v>
      </c>
      <c r="BB384" s="48">
        <f t="shared" si="236"/>
        <v>0</v>
      </c>
      <c r="BC384" s="48">
        <f t="shared" si="237"/>
        <v>0</v>
      </c>
      <c r="BD384" s="48">
        <f t="shared" si="238"/>
        <v>0</v>
      </c>
      <c r="BE384" s="48">
        <f t="shared" si="239"/>
        <v>0</v>
      </c>
      <c r="BF384" s="49">
        <f t="shared" si="240"/>
        <v>38.160000000000004</v>
      </c>
      <c r="BG384" s="50"/>
      <c r="BH384" s="51">
        <f t="shared" si="241"/>
        <v>18</v>
      </c>
      <c r="BI384" s="51">
        <f t="shared" si="242"/>
        <v>0.5</v>
      </c>
      <c r="BJ384" s="51">
        <f t="shared" si="243"/>
        <v>20.16</v>
      </c>
      <c r="BK384" s="52">
        <f t="shared" si="244"/>
        <v>0</v>
      </c>
      <c r="BL384" s="52">
        <f t="shared" si="245"/>
        <v>0</v>
      </c>
      <c r="BM384" s="52">
        <f t="shared" si="246"/>
        <v>0</v>
      </c>
    </row>
    <row r="385" spans="1:65" ht="30" customHeight="1" x14ac:dyDescent="0.25">
      <c r="A385" s="31" t="str">
        <f t="shared" si="212"/>
        <v>Д</v>
      </c>
      <c r="B385" s="31" t="str">
        <f t="shared" si="213"/>
        <v>Б</v>
      </c>
      <c r="C385" s="32" t="s">
        <v>226</v>
      </c>
      <c r="D385" s="33" t="str">
        <f t="shared" si="214"/>
        <v>Факультет физико-математических и естественных наук</v>
      </c>
      <c r="E385" s="34" t="str">
        <f t="shared" si="215"/>
        <v>'38.03.05</v>
      </c>
      <c r="F385" s="35" t="str">
        <f t="shared" si="216"/>
        <v>Бизнес-информатика</v>
      </c>
      <c r="G385" s="36" t="s">
        <v>76</v>
      </c>
      <c r="H385" s="36" t="s">
        <v>183</v>
      </c>
      <c r="I385" s="37"/>
      <c r="J385" s="37"/>
      <c r="K385" s="38" t="s">
        <v>125</v>
      </c>
      <c r="L385" s="39">
        <v>5</v>
      </c>
      <c r="M385" s="39">
        <v>18</v>
      </c>
      <c r="N385" s="40" t="s">
        <v>94</v>
      </c>
      <c r="O385" s="39"/>
      <c r="P385" s="39">
        <v>2</v>
      </c>
      <c r="Q385" s="39"/>
      <c r="R385" s="40"/>
      <c r="S385" s="41"/>
      <c r="T385" s="41"/>
      <c r="U385" s="41"/>
      <c r="V385" s="41"/>
      <c r="W385" s="41"/>
      <c r="X385" s="42" t="str">
        <f t="shared" si="217"/>
        <v>НБИбд</v>
      </c>
      <c r="Y385" s="43" t="s">
        <v>128</v>
      </c>
      <c r="Z385" s="39">
        <v>1</v>
      </c>
      <c r="AA385" s="39">
        <v>1</v>
      </c>
      <c r="AB385" s="42">
        <f t="shared" si="218"/>
        <v>22</v>
      </c>
      <c r="AC385" s="39">
        <v>21</v>
      </c>
      <c r="AD385" s="39">
        <v>1</v>
      </c>
      <c r="AE385" s="44">
        <f t="shared" si="219"/>
        <v>12</v>
      </c>
      <c r="AF385" s="45">
        <f t="shared" si="220"/>
        <v>1</v>
      </c>
      <c r="AG385" s="45">
        <f t="shared" si="221"/>
        <v>1.8333333333333333</v>
      </c>
      <c r="AH385" s="46" t="s">
        <v>82</v>
      </c>
      <c r="AI385" s="40" t="s">
        <v>112</v>
      </c>
      <c r="AJ385" s="40" t="s">
        <v>84</v>
      </c>
      <c r="AK385" s="47" t="s">
        <v>113</v>
      </c>
      <c r="AL385" s="40"/>
      <c r="AM385" s="48">
        <f t="shared" si="222"/>
        <v>0</v>
      </c>
      <c r="AN385" s="48">
        <f t="shared" si="223"/>
        <v>0</v>
      </c>
      <c r="AO385" s="48">
        <f t="shared" si="224"/>
        <v>36</v>
      </c>
      <c r="AP385" s="48">
        <f t="shared" si="225"/>
        <v>0</v>
      </c>
      <c r="AQ385" s="48">
        <f t="shared" si="226"/>
        <v>0</v>
      </c>
      <c r="AR385" s="48">
        <f t="shared" si="227"/>
        <v>0</v>
      </c>
      <c r="AS385" s="48">
        <f t="shared" si="228"/>
        <v>0</v>
      </c>
      <c r="AT385" s="48">
        <f t="shared" si="229"/>
        <v>0</v>
      </c>
      <c r="AU385" s="48">
        <f t="shared" si="230"/>
        <v>0</v>
      </c>
      <c r="AV385" s="48">
        <f t="shared" si="231"/>
        <v>0</v>
      </c>
      <c r="AW385" s="48">
        <f>IF(N385="ПП",РПП*AB385*(V385/1.5),IF(N385="ВП",ВПр*AB385*(V385/1.5),IF(N385="РПА",РПА*AB385*(V385/1.5),IF(N385="КПА",кпа*AB385*(V385/1.5),0))))</f>
        <v>0</v>
      </c>
      <c r="AX385" s="48">
        <f t="shared" si="232"/>
        <v>0</v>
      </c>
      <c r="AY385" s="48">
        <f t="shared" si="233"/>
        <v>0</v>
      </c>
      <c r="AZ385" s="48">
        <f t="shared" si="234"/>
        <v>0</v>
      </c>
      <c r="BA385" s="48">
        <f t="shared" si="235"/>
        <v>0</v>
      </c>
      <c r="BB385" s="48">
        <f t="shared" si="236"/>
        <v>0</v>
      </c>
      <c r="BC385" s="48">
        <f t="shared" si="237"/>
        <v>0</v>
      </c>
      <c r="BD385" s="48">
        <f t="shared" si="238"/>
        <v>0</v>
      </c>
      <c r="BE385" s="48">
        <f t="shared" si="239"/>
        <v>0</v>
      </c>
      <c r="BF385" s="49">
        <f t="shared" si="240"/>
        <v>36</v>
      </c>
      <c r="BG385" s="50"/>
      <c r="BH385" s="51">
        <f t="shared" si="241"/>
        <v>36</v>
      </c>
      <c r="BI385" s="51">
        <f t="shared" si="242"/>
        <v>1</v>
      </c>
      <c r="BJ385" s="51">
        <f t="shared" si="243"/>
        <v>0</v>
      </c>
      <c r="BK385" s="52">
        <f t="shared" si="244"/>
        <v>0</v>
      </c>
      <c r="BL385" s="52">
        <f t="shared" si="245"/>
        <v>0</v>
      </c>
      <c r="BM385" s="52">
        <f t="shared" si="246"/>
        <v>0</v>
      </c>
    </row>
    <row r="386" spans="1:65" ht="30" customHeight="1" x14ac:dyDescent="0.25">
      <c r="A386" s="31" t="str">
        <f t="shared" si="212"/>
        <v>Д</v>
      </c>
      <c r="B386" s="31" t="str">
        <f t="shared" si="213"/>
        <v>Б</v>
      </c>
      <c r="C386" s="32" t="s">
        <v>226</v>
      </c>
      <c r="D386" s="33" t="str">
        <f t="shared" si="214"/>
        <v>Факультет физико-математических и естественных наук</v>
      </c>
      <c r="E386" s="34" t="str">
        <f t="shared" si="215"/>
        <v>'38.03.05</v>
      </c>
      <c r="F386" s="35" t="str">
        <f t="shared" si="216"/>
        <v>Бизнес-информатика</v>
      </c>
      <c r="G386" s="36" t="s">
        <v>76</v>
      </c>
      <c r="H386" s="36" t="s">
        <v>183</v>
      </c>
      <c r="I386" s="37"/>
      <c r="J386" s="37"/>
      <c r="K386" s="38" t="s">
        <v>125</v>
      </c>
      <c r="L386" s="39">
        <v>5</v>
      </c>
      <c r="M386" s="39">
        <v>18</v>
      </c>
      <c r="N386" s="40" t="s">
        <v>94</v>
      </c>
      <c r="O386" s="39"/>
      <c r="P386" s="39">
        <v>2</v>
      </c>
      <c r="Q386" s="39"/>
      <c r="R386" s="40"/>
      <c r="S386" s="41"/>
      <c r="T386" s="41"/>
      <c r="U386" s="41"/>
      <c r="V386" s="41"/>
      <c r="W386" s="41"/>
      <c r="X386" s="42" t="str">
        <f t="shared" si="217"/>
        <v>НБИбд</v>
      </c>
      <c r="Y386" s="43" t="s">
        <v>128</v>
      </c>
      <c r="Z386" s="39">
        <v>1</v>
      </c>
      <c r="AA386" s="39">
        <v>1</v>
      </c>
      <c r="AB386" s="42">
        <f t="shared" si="218"/>
        <v>0</v>
      </c>
      <c r="AC386" s="39"/>
      <c r="AD386" s="39"/>
      <c r="AE386" s="44">
        <f t="shared" si="219"/>
        <v>12</v>
      </c>
      <c r="AF386" s="45">
        <f t="shared" si="220"/>
        <v>0</v>
      </c>
      <c r="AG386" s="45">
        <f t="shared" si="221"/>
        <v>0</v>
      </c>
      <c r="AH386" s="46" t="s">
        <v>82</v>
      </c>
      <c r="AI386" s="40" t="s">
        <v>112</v>
      </c>
      <c r="AJ386" s="40" t="s">
        <v>84</v>
      </c>
      <c r="AK386" s="47" t="s">
        <v>113</v>
      </c>
      <c r="AL386" s="40"/>
      <c r="AM386" s="48">
        <f t="shared" si="222"/>
        <v>0</v>
      </c>
      <c r="AN386" s="48">
        <f t="shared" si="223"/>
        <v>0</v>
      </c>
      <c r="AO386" s="48">
        <f t="shared" si="224"/>
        <v>0</v>
      </c>
      <c r="AP386" s="48">
        <f t="shared" si="225"/>
        <v>0</v>
      </c>
      <c r="AQ386" s="48">
        <f t="shared" si="226"/>
        <v>0</v>
      </c>
      <c r="AR386" s="48">
        <f t="shared" si="227"/>
        <v>0</v>
      </c>
      <c r="AS386" s="48">
        <f t="shared" si="228"/>
        <v>0</v>
      </c>
      <c r="AT386" s="48">
        <f t="shared" si="229"/>
        <v>0</v>
      </c>
      <c r="AU386" s="48">
        <f t="shared" si="230"/>
        <v>0</v>
      </c>
      <c r="AV386" s="48">
        <f t="shared" si="231"/>
        <v>0</v>
      </c>
      <c r="AW386" s="48">
        <f>IF(N386="ПП",РПП*AB386*(V386/1.5),IF(N386="ВП",ВПр*AB386*(V386/1.5),IF(N386="РПА",РПА*AB386*(V386/1.5),IF(N386="КПА",кпа*AB386*(V386/1.5),0))))</f>
        <v>0</v>
      </c>
      <c r="AX386" s="48">
        <f t="shared" si="232"/>
        <v>0</v>
      </c>
      <c r="AY386" s="48">
        <f t="shared" si="233"/>
        <v>0</v>
      </c>
      <c r="AZ386" s="48">
        <f t="shared" si="234"/>
        <v>0</v>
      </c>
      <c r="BA386" s="48">
        <f t="shared" si="235"/>
        <v>0</v>
      </c>
      <c r="BB386" s="48">
        <f t="shared" si="236"/>
        <v>0</v>
      </c>
      <c r="BC386" s="48">
        <f t="shared" si="237"/>
        <v>0</v>
      </c>
      <c r="BD386" s="48">
        <f t="shared" si="238"/>
        <v>0</v>
      </c>
      <c r="BE386" s="48">
        <f t="shared" si="239"/>
        <v>0</v>
      </c>
      <c r="BF386" s="49">
        <f t="shared" si="240"/>
        <v>0</v>
      </c>
      <c r="BG386" s="50"/>
      <c r="BH386" s="51">
        <f t="shared" si="241"/>
        <v>0</v>
      </c>
      <c r="BI386" s="51">
        <f t="shared" si="242"/>
        <v>0</v>
      </c>
      <c r="BJ386" s="51">
        <f t="shared" si="243"/>
        <v>0</v>
      </c>
      <c r="BK386" s="52">
        <f t="shared" si="244"/>
        <v>0</v>
      </c>
      <c r="BL386" s="52">
        <f t="shared" si="245"/>
        <v>0</v>
      </c>
      <c r="BM386" s="52">
        <f t="shared" si="246"/>
        <v>0</v>
      </c>
    </row>
    <row r="387" spans="1:65" ht="30" customHeight="1" x14ac:dyDescent="0.25">
      <c r="A387" s="31" t="str">
        <f t="shared" si="212"/>
        <v>Д</v>
      </c>
      <c r="B387" s="31" t="str">
        <f t="shared" si="213"/>
        <v>Б</v>
      </c>
      <c r="C387" s="32" t="s">
        <v>226</v>
      </c>
      <c r="D387" s="33" t="str">
        <f t="shared" si="214"/>
        <v>Факультет физико-математических и естественных наук</v>
      </c>
      <c r="E387" s="34" t="str">
        <f t="shared" si="215"/>
        <v>'38.03.05</v>
      </c>
      <c r="F387" s="35" t="str">
        <f t="shared" si="216"/>
        <v>Бизнес-информатика</v>
      </c>
      <c r="G387" s="36" t="s">
        <v>76</v>
      </c>
      <c r="H387" s="36" t="s">
        <v>183</v>
      </c>
      <c r="I387" s="37"/>
      <c r="J387" s="37"/>
      <c r="K387" s="38" t="s">
        <v>133</v>
      </c>
      <c r="L387" s="39">
        <v>5</v>
      </c>
      <c r="M387" s="39">
        <v>18</v>
      </c>
      <c r="N387" s="40" t="s">
        <v>79</v>
      </c>
      <c r="O387" s="39">
        <v>1</v>
      </c>
      <c r="P387" s="39"/>
      <c r="Q387" s="39"/>
      <c r="R387" s="40"/>
      <c r="S387" s="41"/>
      <c r="T387" s="41"/>
      <c r="U387" s="41"/>
      <c r="V387" s="41"/>
      <c r="W387" s="41"/>
      <c r="X387" s="42" t="str">
        <f t="shared" si="217"/>
        <v>НБИбд</v>
      </c>
      <c r="Y387" s="43" t="s">
        <v>128</v>
      </c>
      <c r="Z387" s="39">
        <v>2</v>
      </c>
      <c r="AA387" s="39">
        <v>1</v>
      </c>
      <c r="AB387" s="42">
        <f t="shared" si="218"/>
        <v>22</v>
      </c>
      <c r="AC387" s="39">
        <v>21</v>
      </c>
      <c r="AD387" s="39">
        <v>1</v>
      </c>
      <c r="AE387" s="44">
        <f t="shared" si="219"/>
        <v>22</v>
      </c>
      <c r="AF387" s="45">
        <f t="shared" si="220"/>
        <v>1</v>
      </c>
      <c r="AG387" s="45">
        <f t="shared" si="221"/>
        <v>1</v>
      </c>
      <c r="AH387" s="46" t="s">
        <v>82</v>
      </c>
      <c r="AI387" s="40" t="s">
        <v>83</v>
      </c>
      <c r="AJ387" s="40" t="s">
        <v>116</v>
      </c>
      <c r="AK387" s="47" t="s">
        <v>119</v>
      </c>
      <c r="AL387" s="40"/>
      <c r="AM387" s="48">
        <f t="shared" si="222"/>
        <v>18</v>
      </c>
      <c r="AN387" s="48">
        <f t="shared" si="223"/>
        <v>0</v>
      </c>
      <c r="AO387" s="48">
        <f t="shared" si="224"/>
        <v>0</v>
      </c>
      <c r="AP387" s="48">
        <f t="shared" si="225"/>
        <v>0</v>
      </c>
      <c r="AQ387" s="48">
        <f t="shared" si="226"/>
        <v>0</v>
      </c>
      <c r="AR387" s="48">
        <f t="shared" si="227"/>
        <v>0</v>
      </c>
      <c r="AS387" s="48">
        <f t="shared" si="228"/>
        <v>0.9</v>
      </c>
      <c r="AT387" s="48">
        <f t="shared" si="229"/>
        <v>0</v>
      </c>
      <c r="AU387" s="48">
        <f t="shared" si="230"/>
        <v>0</v>
      </c>
      <c r="AV387" s="48">
        <f t="shared" si="231"/>
        <v>0</v>
      </c>
      <c r="AW387" s="48">
        <f>IF(N387="ПП",РПП*AB387*(V387/1.5),IF(N387="ВП",ВПр*AB387*(V387/1.5),IF(N387="РПА",РПА*AB387*(V387/1.5),IF(N387="КПА",кпа*AB387*(V387/1.5),0))))</f>
        <v>0</v>
      </c>
      <c r="AX387" s="48">
        <f t="shared" si="232"/>
        <v>0</v>
      </c>
      <c r="AY387" s="48">
        <f t="shared" si="233"/>
        <v>0</v>
      </c>
      <c r="AZ387" s="48">
        <f t="shared" si="234"/>
        <v>0</v>
      </c>
      <c r="BA387" s="48">
        <f t="shared" si="235"/>
        <v>0</v>
      </c>
      <c r="BB387" s="48">
        <f t="shared" si="236"/>
        <v>0</v>
      </c>
      <c r="BC387" s="48">
        <f t="shared" si="237"/>
        <v>0</v>
      </c>
      <c r="BD387" s="48">
        <f t="shared" si="238"/>
        <v>0</v>
      </c>
      <c r="BE387" s="48">
        <f t="shared" si="239"/>
        <v>0</v>
      </c>
      <c r="BF387" s="49">
        <f t="shared" si="240"/>
        <v>18.899999999999999</v>
      </c>
      <c r="BG387" s="50"/>
      <c r="BH387" s="51">
        <f t="shared" si="241"/>
        <v>18</v>
      </c>
      <c r="BI387" s="51">
        <f t="shared" si="242"/>
        <v>0.5</v>
      </c>
      <c r="BJ387" s="51">
        <f t="shared" si="243"/>
        <v>0.9</v>
      </c>
      <c r="BK387" s="52">
        <f t="shared" si="244"/>
        <v>0</v>
      </c>
      <c r="BL387" s="52">
        <f t="shared" si="245"/>
        <v>0</v>
      </c>
      <c r="BM387" s="52">
        <f t="shared" si="246"/>
        <v>0</v>
      </c>
    </row>
    <row r="388" spans="1:65" ht="30" customHeight="1" x14ac:dyDescent="0.25">
      <c r="A388" s="31" t="str">
        <f t="shared" si="212"/>
        <v>Д</v>
      </c>
      <c r="B388" s="31" t="str">
        <f t="shared" si="213"/>
        <v>Б</v>
      </c>
      <c r="C388" s="32" t="s">
        <v>226</v>
      </c>
      <c r="D388" s="33" t="str">
        <f t="shared" si="214"/>
        <v>Факультет физико-математических и естественных наук</v>
      </c>
      <c r="E388" s="34" t="str">
        <f t="shared" si="215"/>
        <v>'38.03.05</v>
      </c>
      <c r="F388" s="35" t="str">
        <f t="shared" si="216"/>
        <v>Бизнес-информатика</v>
      </c>
      <c r="G388" s="36" t="s">
        <v>76</v>
      </c>
      <c r="H388" s="36" t="s">
        <v>183</v>
      </c>
      <c r="I388" s="37"/>
      <c r="J388" s="37"/>
      <c r="K388" s="38" t="s">
        <v>133</v>
      </c>
      <c r="L388" s="39">
        <v>5</v>
      </c>
      <c r="M388" s="39">
        <v>18</v>
      </c>
      <c r="N388" s="40" t="s">
        <v>86</v>
      </c>
      <c r="O388" s="39"/>
      <c r="P388" s="39"/>
      <c r="Q388" s="39">
        <v>1</v>
      </c>
      <c r="R388" s="40" t="s">
        <v>95</v>
      </c>
      <c r="S388" s="41"/>
      <c r="T388" s="41"/>
      <c r="U388" s="41"/>
      <c r="V388" s="41"/>
      <c r="W388" s="41"/>
      <c r="X388" s="42" t="str">
        <f t="shared" si="217"/>
        <v>НБИбд</v>
      </c>
      <c r="Y388" s="43" t="s">
        <v>128</v>
      </c>
      <c r="Z388" s="39">
        <v>2</v>
      </c>
      <c r="AA388" s="39">
        <v>1</v>
      </c>
      <c r="AB388" s="42">
        <f t="shared" si="218"/>
        <v>22</v>
      </c>
      <c r="AC388" s="39">
        <v>21</v>
      </c>
      <c r="AD388" s="39">
        <v>1</v>
      </c>
      <c r="AE388" s="44">
        <f t="shared" si="219"/>
        <v>24</v>
      </c>
      <c r="AF388" s="45">
        <f t="shared" si="220"/>
        <v>0.91666666666666663</v>
      </c>
      <c r="AG388" s="45">
        <f t="shared" si="221"/>
        <v>0.91666666666666663</v>
      </c>
      <c r="AH388" s="46" t="s">
        <v>82</v>
      </c>
      <c r="AI388" s="40" t="s">
        <v>99</v>
      </c>
      <c r="AJ388" s="40" t="s">
        <v>116</v>
      </c>
      <c r="AK388" s="47" t="s">
        <v>120</v>
      </c>
      <c r="AL388" s="40"/>
      <c r="AM388" s="48">
        <f t="shared" si="222"/>
        <v>0</v>
      </c>
      <c r="AN388" s="48">
        <f t="shared" si="223"/>
        <v>16.5</v>
      </c>
      <c r="AO388" s="48">
        <f t="shared" si="224"/>
        <v>0</v>
      </c>
      <c r="AP388" s="48">
        <f t="shared" si="225"/>
        <v>7.2600000000000007</v>
      </c>
      <c r="AQ388" s="48">
        <f t="shared" si="226"/>
        <v>11</v>
      </c>
      <c r="AR388" s="48">
        <f t="shared" si="227"/>
        <v>0.91666666666666663</v>
      </c>
      <c r="AS388" s="48">
        <f t="shared" si="228"/>
        <v>0</v>
      </c>
      <c r="AT388" s="48">
        <f t="shared" si="229"/>
        <v>0</v>
      </c>
      <c r="AU388" s="48">
        <f t="shared" si="230"/>
        <v>0</v>
      </c>
      <c r="AV388" s="48">
        <f t="shared" si="231"/>
        <v>0</v>
      </c>
      <c r="AW388" s="48">
        <f>IF(N388="ПП",РПП*AB388*(V388/1.5),IF(N388="ВП",ВПр*AB388*(V388/1.5),IF(N388="РПА",РПА*AB388*(V388/1.5),IF(N388="КПА",кпа*AB388*(V388/1.5),0))))</f>
        <v>0</v>
      </c>
      <c r="AX388" s="48">
        <f t="shared" si="232"/>
        <v>0</v>
      </c>
      <c r="AY388" s="48">
        <f t="shared" si="233"/>
        <v>0</v>
      </c>
      <c r="AZ388" s="48">
        <f t="shared" si="234"/>
        <v>0</v>
      </c>
      <c r="BA388" s="48">
        <f t="shared" si="235"/>
        <v>0</v>
      </c>
      <c r="BB388" s="48">
        <f t="shared" si="236"/>
        <v>0</v>
      </c>
      <c r="BC388" s="48">
        <f t="shared" si="237"/>
        <v>0</v>
      </c>
      <c r="BD388" s="48">
        <f t="shared" si="238"/>
        <v>0</v>
      </c>
      <c r="BE388" s="48">
        <f t="shared" si="239"/>
        <v>0</v>
      </c>
      <c r="BF388" s="49">
        <f t="shared" si="240"/>
        <v>35.676666666666669</v>
      </c>
      <c r="BG388" s="50"/>
      <c r="BH388" s="51">
        <f t="shared" si="241"/>
        <v>16.5</v>
      </c>
      <c r="BI388" s="51">
        <f t="shared" si="242"/>
        <v>0.5</v>
      </c>
      <c r="BJ388" s="51">
        <f t="shared" si="243"/>
        <v>19.176666666666669</v>
      </c>
      <c r="BK388" s="52">
        <f t="shared" si="244"/>
        <v>0</v>
      </c>
      <c r="BL388" s="52">
        <f t="shared" si="245"/>
        <v>0</v>
      </c>
      <c r="BM388" s="52">
        <f t="shared" si="246"/>
        <v>0</v>
      </c>
    </row>
    <row r="389" spans="1:65" ht="30" customHeight="1" x14ac:dyDescent="0.25">
      <c r="A389" s="31" t="str">
        <f t="shared" si="212"/>
        <v>Д</v>
      </c>
      <c r="B389" s="31" t="str">
        <f t="shared" si="213"/>
        <v>Б</v>
      </c>
      <c r="C389" s="32" t="s">
        <v>226</v>
      </c>
      <c r="D389" s="33" t="str">
        <f t="shared" si="214"/>
        <v>Факультет физико-математических и естественных наук</v>
      </c>
      <c r="E389" s="34" t="str">
        <f t="shared" si="215"/>
        <v>'38.03.05</v>
      </c>
      <c r="F389" s="35" t="str">
        <f t="shared" si="216"/>
        <v>Бизнес-информатика</v>
      </c>
      <c r="G389" s="36" t="s">
        <v>76</v>
      </c>
      <c r="H389" s="36" t="s">
        <v>183</v>
      </c>
      <c r="I389" s="37"/>
      <c r="J389" s="37"/>
      <c r="K389" s="38" t="s">
        <v>233</v>
      </c>
      <c r="L389" s="39">
        <v>5</v>
      </c>
      <c r="M389" s="39">
        <v>18</v>
      </c>
      <c r="N389" s="40" t="s">
        <v>79</v>
      </c>
      <c r="O389" s="39">
        <v>1</v>
      </c>
      <c r="P389" s="39"/>
      <c r="Q389" s="39"/>
      <c r="R389" s="40"/>
      <c r="S389" s="41"/>
      <c r="T389" s="41"/>
      <c r="U389" s="41"/>
      <c r="V389" s="41"/>
      <c r="W389" s="41"/>
      <c r="X389" s="42" t="str">
        <f t="shared" si="217"/>
        <v>НБИбд</v>
      </c>
      <c r="Y389" s="43" t="s">
        <v>128</v>
      </c>
      <c r="Z389" s="39">
        <v>2</v>
      </c>
      <c r="AA389" s="39">
        <v>1</v>
      </c>
      <c r="AB389" s="42">
        <f t="shared" si="218"/>
        <v>22</v>
      </c>
      <c r="AC389" s="39">
        <v>21</v>
      </c>
      <c r="AD389" s="39">
        <v>1</v>
      </c>
      <c r="AE389" s="44">
        <f t="shared" si="219"/>
        <v>22</v>
      </c>
      <c r="AF389" s="45">
        <f t="shared" si="220"/>
        <v>1</v>
      </c>
      <c r="AG389" s="45">
        <f t="shared" si="221"/>
        <v>1</v>
      </c>
      <c r="AH389" s="46" t="s">
        <v>82</v>
      </c>
      <c r="AI389" s="40" t="s">
        <v>83</v>
      </c>
      <c r="AJ389" s="40" t="s">
        <v>116</v>
      </c>
      <c r="AK389" s="59" t="s">
        <v>119</v>
      </c>
      <c r="AL389" s="40"/>
      <c r="AM389" s="48">
        <f t="shared" si="222"/>
        <v>18</v>
      </c>
      <c r="AN389" s="48">
        <f t="shared" si="223"/>
        <v>0</v>
      </c>
      <c r="AO389" s="48">
        <f t="shared" si="224"/>
        <v>0</v>
      </c>
      <c r="AP389" s="48">
        <f t="shared" si="225"/>
        <v>0</v>
      </c>
      <c r="AQ389" s="48">
        <f t="shared" si="226"/>
        <v>0</v>
      </c>
      <c r="AR389" s="48">
        <f t="shared" si="227"/>
        <v>0</v>
      </c>
      <c r="AS389" s="48">
        <f t="shared" si="228"/>
        <v>0.9</v>
      </c>
      <c r="AT389" s="48">
        <f t="shared" si="229"/>
        <v>0</v>
      </c>
      <c r="AU389" s="48">
        <f t="shared" si="230"/>
        <v>0</v>
      </c>
      <c r="AV389" s="48">
        <f t="shared" si="231"/>
        <v>0</v>
      </c>
      <c r="AW389" s="48">
        <f>IF(N389="ПП",РПП*AB389*(V389/1.5),IF(N389="ВП",ВПр*AB389*(V389/1.5),IF(N389="РПА",РПА*AB389*(V389/1.5),IF(N389="КПА",кпа*AB389*(V389/1.5),0))))</f>
        <v>0</v>
      </c>
      <c r="AX389" s="48">
        <f t="shared" si="232"/>
        <v>0</v>
      </c>
      <c r="AY389" s="48">
        <f t="shared" si="233"/>
        <v>0</v>
      </c>
      <c r="AZ389" s="48">
        <f t="shared" si="234"/>
        <v>0</v>
      </c>
      <c r="BA389" s="48">
        <f t="shared" si="235"/>
        <v>0</v>
      </c>
      <c r="BB389" s="48">
        <f t="shared" si="236"/>
        <v>0</v>
      </c>
      <c r="BC389" s="48">
        <f t="shared" si="237"/>
        <v>0</v>
      </c>
      <c r="BD389" s="48">
        <f t="shared" si="238"/>
        <v>0</v>
      </c>
      <c r="BE389" s="48">
        <f t="shared" si="239"/>
        <v>0</v>
      </c>
      <c r="BF389" s="49">
        <f t="shared" si="240"/>
        <v>18.899999999999999</v>
      </c>
      <c r="BG389" s="50"/>
      <c r="BH389" s="51">
        <f t="shared" si="241"/>
        <v>18</v>
      </c>
      <c r="BI389" s="51">
        <f t="shared" si="242"/>
        <v>0.5</v>
      </c>
      <c r="BJ389" s="51">
        <f t="shared" si="243"/>
        <v>0.9</v>
      </c>
      <c r="BK389" s="52">
        <f t="shared" si="244"/>
        <v>0</v>
      </c>
      <c r="BL389" s="52">
        <f t="shared" si="245"/>
        <v>0</v>
      </c>
      <c r="BM389" s="52">
        <f t="shared" si="246"/>
        <v>0</v>
      </c>
    </row>
    <row r="390" spans="1:65" ht="30" customHeight="1" x14ac:dyDescent="0.25">
      <c r="A390" s="31" t="str">
        <f t="shared" si="212"/>
        <v>Д</v>
      </c>
      <c r="B390" s="31" t="str">
        <f t="shared" si="213"/>
        <v>Б</v>
      </c>
      <c r="C390" s="32" t="s">
        <v>226</v>
      </c>
      <c r="D390" s="33" t="str">
        <f t="shared" si="214"/>
        <v>Факультет физико-математических и естественных наук</v>
      </c>
      <c r="E390" s="34" t="str">
        <f t="shared" si="215"/>
        <v>'38.03.05</v>
      </c>
      <c r="F390" s="35" t="str">
        <f t="shared" si="216"/>
        <v>Бизнес-информатика</v>
      </c>
      <c r="G390" s="36" t="s">
        <v>76</v>
      </c>
      <c r="H390" s="36" t="s">
        <v>183</v>
      </c>
      <c r="I390" s="37"/>
      <c r="J390" s="37"/>
      <c r="K390" s="38" t="s">
        <v>233</v>
      </c>
      <c r="L390" s="39">
        <v>5</v>
      </c>
      <c r="M390" s="39">
        <v>18</v>
      </c>
      <c r="N390" s="40" t="s">
        <v>94</v>
      </c>
      <c r="O390" s="39"/>
      <c r="P390" s="39">
        <v>2</v>
      </c>
      <c r="Q390" s="39"/>
      <c r="R390" s="40" t="s">
        <v>95</v>
      </c>
      <c r="S390" s="41"/>
      <c r="T390" s="41"/>
      <c r="U390" s="41"/>
      <c r="V390" s="41"/>
      <c r="W390" s="41"/>
      <c r="X390" s="42" t="str">
        <f t="shared" si="217"/>
        <v>НБИбд</v>
      </c>
      <c r="Y390" s="43" t="s">
        <v>128</v>
      </c>
      <c r="Z390" s="39">
        <v>1</v>
      </c>
      <c r="AA390" s="39">
        <v>1</v>
      </c>
      <c r="AB390" s="42">
        <f t="shared" si="218"/>
        <v>22</v>
      </c>
      <c r="AC390" s="39">
        <v>21</v>
      </c>
      <c r="AD390" s="39">
        <v>1</v>
      </c>
      <c r="AE390" s="44">
        <f t="shared" si="219"/>
        <v>12</v>
      </c>
      <c r="AF390" s="45">
        <f t="shared" si="220"/>
        <v>1</v>
      </c>
      <c r="AG390" s="45">
        <f t="shared" si="221"/>
        <v>1.8333333333333333</v>
      </c>
      <c r="AH390" s="46" t="s">
        <v>82</v>
      </c>
      <c r="AI390" s="40" t="s">
        <v>99</v>
      </c>
      <c r="AJ390" s="40" t="s">
        <v>116</v>
      </c>
      <c r="AK390" s="47" t="s">
        <v>120</v>
      </c>
      <c r="AL390" s="40"/>
      <c r="AM390" s="48">
        <f t="shared" si="222"/>
        <v>0</v>
      </c>
      <c r="AN390" s="48">
        <f t="shared" si="223"/>
        <v>0</v>
      </c>
      <c r="AO390" s="48">
        <f t="shared" si="224"/>
        <v>36</v>
      </c>
      <c r="AP390" s="48">
        <f t="shared" si="225"/>
        <v>7.2600000000000007</v>
      </c>
      <c r="AQ390" s="48">
        <f t="shared" si="226"/>
        <v>11</v>
      </c>
      <c r="AR390" s="48">
        <f t="shared" si="227"/>
        <v>1</v>
      </c>
      <c r="AS390" s="48">
        <f t="shared" si="228"/>
        <v>0</v>
      </c>
      <c r="AT390" s="48">
        <f t="shared" si="229"/>
        <v>0</v>
      </c>
      <c r="AU390" s="48">
        <f t="shared" si="230"/>
        <v>0</v>
      </c>
      <c r="AV390" s="48">
        <f t="shared" si="231"/>
        <v>0</v>
      </c>
      <c r="AW390" s="48">
        <f>IF(N390="ПП",РПП*AB390*(V390/1.5),IF(N390="ВП",ВПр*AB390*(V390/1.5),IF(N390="РПА",РПА*AB390*(V390/1.5),IF(N390="КПА",кпа*AB390*(V390/1.5),0))))</f>
        <v>0</v>
      </c>
      <c r="AX390" s="48">
        <f t="shared" si="232"/>
        <v>0</v>
      </c>
      <c r="AY390" s="48">
        <f t="shared" si="233"/>
        <v>0</v>
      </c>
      <c r="AZ390" s="48">
        <f t="shared" si="234"/>
        <v>0</v>
      </c>
      <c r="BA390" s="48">
        <f t="shared" si="235"/>
        <v>0</v>
      </c>
      <c r="BB390" s="48">
        <f t="shared" si="236"/>
        <v>0</v>
      </c>
      <c r="BC390" s="48">
        <f t="shared" si="237"/>
        <v>0</v>
      </c>
      <c r="BD390" s="48">
        <f t="shared" si="238"/>
        <v>0</v>
      </c>
      <c r="BE390" s="48">
        <f t="shared" si="239"/>
        <v>0</v>
      </c>
      <c r="BF390" s="49">
        <f t="shared" si="240"/>
        <v>55.26</v>
      </c>
      <c r="BG390" s="50"/>
      <c r="BH390" s="51">
        <f t="shared" si="241"/>
        <v>36</v>
      </c>
      <c r="BI390" s="51">
        <f t="shared" si="242"/>
        <v>1</v>
      </c>
      <c r="BJ390" s="51">
        <f t="shared" si="243"/>
        <v>19.260000000000002</v>
      </c>
      <c r="BK390" s="52">
        <f t="shared" si="244"/>
        <v>0</v>
      </c>
      <c r="BL390" s="52">
        <f t="shared" si="245"/>
        <v>0</v>
      </c>
      <c r="BM390" s="52">
        <f t="shared" si="246"/>
        <v>0</v>
      </c>
    </row>
    <row r="391" spans="1:65" ht="30" customHeight="1" x14ac:dyDescent="0.25">
      <c r="A391" s="31" t="str">
        <f t="shared" si="212"/>
        <v>Д</v>
      </c>
      <c r="B391" s="31" t="str">
        <f t="shared" si="213"/>
        <v>Б</v>
      </c>
      <c r="C391" s="32" t="s">
        <v>226</v>
      </c>
      <c r="D391" s="33" t="str">
        <f t="shared" si="214"/>
        <v>Факультет физико-математических и естественных наук</v>
      </c>
      <c r="E391" s="34" t="str">
        <f t="shared" si="215"/>
        <v>'38.03.05</v>
      </c>
      <c r="F391" s="35" t="str">
        <f t="shared" si="216"/>
        <v>Бизнес-информатика</v>
      </c>
      <c r="G391" s="36" t="s">
        <v>76</v>
      </c>
      <c r="H391" s="36" t="s">
        <v>183</v>
      </c>
      <c r="I391" s="37"/>
      <c r="J391" s="37"/>
      <c r="K391" s="38" t="s">
        <v>233</v>
      </c>
      <c r="L391" s="39">
        <v>5</v>
      </c>
      <c r="M391" s="39">
        <v>18</v>
      </c>
      <c r="N391" s="40" t="s">
        <v>94</v>
      </c>
      <c r="O391" s="39"/>
      <c r="P391" s="39">
        <v>2</v>
      </c>
      <c r="Q391" s="39"/>
      <c r="R391" s="40" t="s">
        <v>95</v>
      </c>
      <c r="S391" s="41"/>
      <c r="T391" s="41"/>
      <c r="U391" s="41"/>
      <c r="V391" s="41"/>
      <c r="W391" s="41"/>
      <c r="X391" s="42" t="str">
        <f t="shared" si="217"/>
        <v>НБИбд</v>
      </c>
      <c r="Y391" s="43" t="s">
        <v>128</v>
      </c>
      <c r="Z391" s="39">
        <v>1</v>
      </c>
      <c r="AA391" s="39">
        <v>1</v>
      </c>
      <c r="AB391" s="42">
        <f t="shared" si="218"/>
        <v>0</v>
      </c>
      <c r="AC391" s="39"/>
      <c r="AD391" s="39"/>
      <c r="AE391" s="44">
        <f t="shared" si="219"/>
        <v>12</v>
      </c>
      <c r="AF391" s="45">
        <f t="shared" si="220"/>
        <v>0</v>
      </c>
      <c r="AG391" s="45">
        <f t="shared" si="221"/>
        <v>0</v>
      </c>
      <c r="AH391" s="46" t="s">
        <v>82</v>
      </c>
      <c r="AI391" s="40" t="s">
        <v>99</v>
      </c>
      <c r="AJ391" s="40" t="s">
        <v>116</v>
      </c>
      <c r="AK391" s="47" t="s">
        <v>120</v>
      </c>
      <c r="AL391" s="40"/>
      <c r="AM391" s="48">
        <f t="shared" si="222"/>
        <v>0</v>
      </c>
      <c r="AN391" s="48">
        <f t="shared" si="223"/>
        <v>0</v>
      </c>
      <c r="AO391" s="48">
        <f t="shared" si="224"/>
        <v>0</v>
      </c>
      <c r="AP391" s="48">
        <f t="shared" si="225"/>
        <v>0</v>
      </c>
      <c r="AQ391" s="48">
        <f t="shared" si="226"/>
        <v>0</v>
      </c>
      <c r="AR391" s="48">
        <f t="shared" si="227"/>
        <v>0</v>
      </c>
      <c r="AS391" s="48">
        <f t="shared" si="228"/>
        <v>0</v>
      </c>
      <c r="AT391" s="48">
        <f t="shared" si="229"/>
        <v>0</v>
      </c>
      <c r="AU391" s="48">
        <f t="shared" si="230"/>
        <v>0</v>
      </c>
      <c r="AV391" s="48">
        <f t="shared" si="231"/>
        <v>0</v>
      </c>
      <c r="AW391" s="48">
        <f>IF(N391="ПП",РПП*AB391*(V391/1.5),IF(N391="ВП",ВПр*AB391*(V391/1.5),IF(N391="РПА",РПА*AB391*(V391/1.5),IF(N391="КПА",кпа*AB391*(V391/1.5),0))))</f>
        <v>0</v>
      </c>
      <c r="AX391" s="48">
        <f t="shared" si="232"/>
        <v>0</v>
      </c>
      <c r="AY391" s="48">
        <f t="shared" si="233"/>
        <v>0</v>
      </c>
      <c r="AZ391" s="48">
        <f t="shared" si="234"/>
        <v>0</v>
      </c>
      <c r="BA391" s="48">
        <f t="shared" si="235"/>
        <v>0</v>
      </c>
      <c r="BB391" s="48">
        <f t="shared" si="236"/>
        <v>0</v>
      </c>
      <c r="BC391" s="48">
        <f t="shared" si="237"/>
        <v>0</v>
      </c>
      <c r="BD391" s="48">
        <f t="shared" si="238"/>
        <v>0</v>
      </c>
      <c r="BE391" s="48">
        <f t="shared" si="239"/>
        <v>0</v>
      </c>
      <c r="BF391" s="49">
        <f t="shared" si="240"/>
        <v>0</v>
      </c>
      <c r="BG391" s="50"/>
      <c r="BH391" s="51">
        <f t="shared" si="241"/>
        <v>0</v>
      </c>
      <c r="BI391" s="51">
        <f t="shared" si="242"/>
        <v>0</v>
      </c>
      <c r="BJ391" s="51">
        <f t="shared" si="243"/>
        <v>0</v>
      </c>
      <c r="BK391" s="52">
        <f t="shared" si="244"/>
        <v>0</v>
      </c>
      <c r="BL391" s="52">
        <f t="shared" si="245"/>
        <v>0</v>
      </c>
      <c r="BM391" s="52">
        <f t="shared" si="246"/>
        <v>0</v>
      </c>
    </row>
    <row r="392" spans="1:65" ht="30" customHeight="1" x14ac:dyDescent="0.25">
      <c r="A392" s="31" t="str">
        <f t="shared" si="212"/>
        <v>Д</v>
      </c>
      <c r="B392" s="31" t="str">
        <f t="shared" si="213"/>
        <v>Б</v>
      </c>
      <c r="C392" s="32" t="s">
        <v>226</v>
      </c>
      <c r="D392" s="33" t="str">
        <f t="shared" si="214"/>
        <v>Факультет физико-математических и естественных наук</v>
      </c>
      <c r="E392" s="34" t="str">
        <f t="shared" si="215"/>
        <v>'38.03.05</v>
      </c>
      <c r="F392" s="35" t="str">
        <f t="shared" si="216"/>
        <v>Бизнес-информатика</v>
      </c>
      <c r="G392" s="36" t="s">
        <v>76</v>
      </c>
      <c r="H392" s="36" t="s">
        <v>135</v>
      </c>
      <c r="I392" s="37"/>
      <c r="J392" s="37" t="s">
        <v>154</v>
      </c>
      <c r="K392" s="38" t="s">
        <v>162</v>
      </c>
      <c r="L392" s="39">
        <v>5</v>
      </c>
      <c r="M392" s="39">
        <v>18</v>
      </c>
      <c r="N392" s="40" t="s">
        <v>79</v>
      </c>
      <c r="O392" s="39">
        <v>1</v>
      </c>
      <c r="P392" s="39"/>
      <c r="Q392" s="39"/>
      <c r="R392" s="40"/>
      <c r="S392" s="41"/>
      <c r="T392" s="41"/>
      <c r="U392" s="41"/>
      <c r="V392" s="41"/>
      <c r="W392" s="41"/>
      <c r="X392" s="42" t="str">
        <f t="shared" si="217"/>
        <v>НБИбд</v>
      </c>
      <c r="Y392" s="43" t="s">
        <v>128</v>
      </c>
      <c r="Z392" s="39">
        <v>2</v>
      </c>
      <c r="AA392" s="39">
        <v>1</v>
      </c>
      <c r="AB392" s="42">
        <f t="shared" si="218"/>
        <v>15</v>
      </c>
      <c r="AC392" s="39">
        <v>14</v>
      </c>
      <c r="AD392" s="39">
        <v>1</v>
      </c>
      <c r="AE392" s="44">
        <f t="shared" si="219"/>
        <v>15</v>
      </c>
      <c r="AF392" s="45">
        <f t="shared" si="220"/>
        <v>1</v>
      </c>
      <c r="AG392" s="45">
        <f t="shared" si="221"/>
        <v>1</v>
      </c>
      <c r="AH392" s="46" t="s">
        <v>82</v>
      </c>
      <c r="AI392" s="40" t="s">
        <v>83</v>
      </c>
      <c r="AJ392" s="40" t="s">
        <v>84</v>
      </c>
      <c r="AK392" s="47" t="s">
        <v>104</v>
      </c>
      <c r="AL392" s="40"/>
      <c r="AM392" s="48">
        <f t="shared" si="222"/>
        <v>18</v>
      </c>
      <c r="AN392" s="48">
        <f t="shared" si="223"/>
        <v>0</v>
      </c>
      <c r="AO392" s="48">
        <f t="shared" si="224"/>
        <v>0</v>
      </c>
      <c r="AP392" s="48">
        <f t="shared" si="225"/>
        <v>0</v>
      </c>
      <c r="AQ392" s="48">
        <f t="shared" si="226"/>
        <v>0</v>
      </c>
      <c r="AR392" s="48">
        <f t="shared" si="227"/>
        <v>0</v>
      </c>
      <c r="AS392" s="48">
        <f t="shared" si="228"/>
        <v>0.9</v>
      </c>
      <c r="AT392" s="48">
        <f t="shared" si="229"/>
        <v>0</v>
      </c>
      <c r="AU392" s="48">
        <f t="shared" si="230"/>
        <v>0</v>
      </c>
      <c r="AV392" s="48">
        <f t="shared" si="231"/>
        <v>0</v>
      </c>
      <c r="AW392" s="48">
        <f>IF(N392="ПП",РПП*AB392*(V392/1.5),IF(N392="ВП",ВПр*AB392*(V392/1.5),IF(N392="РПА",РПА*AB392*(V392/1.5),IF(N392="КПА",кпа*AB392*(V392/1.5),0))))</f>
        <v>0</v>
      </c>
      <c r="AX392" s="48">
        <f t="shared" si="232"/>
        <v>0</v>
      </c>
      <c r="AY392" s="48">
        <f t="shared" si="233"/>
        <v>0</v>
      </c>
      <c r="AZ392" s="48">
        <f t="shared" si="234"/>
        <v>0</v>
      </c>
      <c r="BA392" s="48">
        <f t="shared" si="235"/>
        <v>0</v>
      </c>
      <c r="BB392" s="48">
        <f t="shared" si="236"/>
        <v>0</v>
      </c>
      <c r="BC392" s="48">
        <f t="shared" si="237"/>
        <v>0</v>
      </c>
      <c r="BD392" s="48">
        <f t="shared" si="238"/>
        <v>0</v>
      </c>
      <c r="BE392" s="48">
        <f t="shared" si="239"/>
        <v>0</v>
      </c>
      <c r="BF392" s="49">
        <f t="shared" si="240"/>
        <v>18.899999999999999</v>
      </c>
      <c r="BG392" s="50"/>
      <c r="BH392" s="51">
        <f t="shared" si="241"/>
        <v>18</v>
      </c>
      <c r="BI392" s="51">
        <f t="shared" si="242"/>
        <v>0.5</v>
      </c>
      <c r="BJ392" s="51">
        <f t="shared" si="243"/>
        <v>0.9</v>
      </c>
      <c r="BK392" s="52">
        <f t="shared" si="244"/>
        <v>0</v>
      </c>
      <c r="BL392" s="52">
        <f t="shared" si="245"/>
        <v>0</v>
      </c>
      <c r="BM392" s="52">
        <f t="shared" si="246"/>
        <v>0</v>
      </c>
    </row>
    <row r="393" spans="1:65" ht="30" customHeight="1" x14ac:dyDescent="0.25">
      <c r="A393" s="31" t="str">
        <f t="shared" si="212"/>
        <v>Д</v>
      </c>
      <c r="B393" s="31" t="str">
        <f t="shared" si="213"/>
        <v>Б</v>
      </c>
      <c r="C393" s="32" t="s">
        <v>226</v>
      </c>
      <c r="D393" s="33" t="str">
        <f t="shared" si="214"/>
        <v>Факультет физико-математических и естественных наук</v>
      </c>
      <c r="E393" s="34" t="str">
        <f t="shared" si="215"/>
        <v>'38.03.05</v>
      </c>
      <c r="F393" s="35" t="str">
        <f t="shared" si="216"/>
        <v>Бизнес-информатика</v>
      </c>
      <c r="G393" s="36" t="s">
        <v>76</v>
      </c>
      <c r="H393" s="36" t="s">
        <v>135</v>
      </c>
      <c r="I393" s="37"/>
      <c r="J393" s="37" t="s">
        <v>154</v>
      </c>
      <c r="K393" s="38" t="s">
        <v>162</v>
      </c>
      <c r="L393" s="39">
        <v>5</v>
      </c>
      <c r="M393" s="39">
        <v>18</v>
      </c>
      <c r="N393" s="40" t="s">
        <v>94</v>
      </c>
      <c r="O393" s="39"/>
      <c r="P393" s="39">
        <v>2</v>
      </c>
      <c r="Q393" s="39"/>
      <c r="R393" s="40" t="s">
        <v>95</v>
      </c>
      <c r="S393" s="41"/>
      <c r="T393" s="41"/>
      <c r="U393" s="41"/>
      <c r="V393" s="41"/>
      <c r="W393" s="41"/>
      <c r="X393" s="42" t="str">
        <f t="shared" si="217"/>
        <v>НБИбд</v>
      </c>
      <c r="Y393" s="43" t="s">
        <v>128</v>
      </c>
      <c r="Z393" s="39">
        <v>2</v>
      </c>
      <c r="AA393" s="39">
        <v>1</v>
      </c>
      <c r="AB393" s="42">
        <f t="shared" si="218"/>
        <v>15</v>
      </c>
      <c r="AC393" s="39">
        <v>14</v>
      </c>
      <c r="AD393" s="39">
        <v>1</v>
      </c>
      <c r="AE393" s="44">
        <f t="shared" si="219"/>
        <v>12</v>
      </c>
      <c r="AF393" s="45">
        <f t="shared" si="220"/>
        <v>1</v>
      </c>
      <c r="AG393" s="45">
        <f t="shared" si="221"/>
        <v>1.25</v>
      </c>
      <c r="AH393" s="46" t="s">
        <v>82</v>
      </c>
      <c r="AI393" s="40" t="s">
        <v>99</v>
      </c>
      <c r="AJ393" s="40" t="s">
        <v>116</v>
      </c>
      <c r="AK393" s="47" t="s">
        <v>120</v>
      </c>
      <c r="AL393" s="40"/>
      <c r="AM393" s="48">
        <f t="shared" si="222"/>
        <v>0</v>
      </c>
      <c r="AN393" s="48">
        <f t="shared" si="223"/>
        <v>0</v>
      </c>
      <c r="AO393" s="48">
        <f t="shared" si="224"/>
        <v>36</v>
      </c>
      <c r="AP393" s="48">
        <f t="shared" si="225"/>
        <v>4.95</v>
      </c>
      <c r="AQ393" s="48">
        <f t="shared" si="226"/>
        <v>7.5</v>
      </c>
      <c r="AR393" s="48">
        <f t="shared" si="227"/>
        <v>1</v>
      </c>
      <c r="AS393" s="48">
        <f t="shared" si="228"/>
        <v>0</v>
      </c>
      <c r="AT393" s="48">
        <f t="shared" si="229"/>
        <v>0</v>
      </c>
      <c r="AU393" s="48">
        <f t="shared" si="230"/>
        <v>0</v>
      </c>
      <c r="AV393" s="48">
        <f t="shared" si="231"/>
        <v>0</v>
      </c>
      <c r="AW393" s="48">
        <f>IF(N393="ПП",РПП*AB393*(V393/1.5),IF(N393="ВП",ВПр*AB393*(V393/1.5),IF(N393="РПА",РПА*AB393*(V393/1.5),IF(N393="КПА",кпа*AB393*(V393/1.5),0))))</f>
        <v>0</v>
      </c>
      <c r="AX393" s="48">
        <f t="shared" si="232"/>
        <v>0</v>
      </c>
      <c r="AY393" s="48">
        <f t="shared" si="233"/>
        <v>0</v>
      </c>
      <c r="AZ393" s="48">
        <f t="shared" si="234"/>
        <v>0</v>
      </c>
      <c r="BA393" s="48">
        <f t="shared" si="235"/>
        <v>0</v>
      </c>
      <c r="BB393" s="48">
        <f t="shared" si="236"/>
        <v>0</v>
      </c>
      <c r="BC393" s="48">
        <f t="shared" si="237"/>
        <v>0</v>
      </c>
      <c r="BD393" s="48">
        <f t="shared" si="238"/>
        <v>0</v>
      </c>
      <c r="BE393" s="48">
        <f t="shared" si="239"/>
        <v>0</v>
      </c>
      <c r="BF393" s="49">
        <f t="shared" si="240"/>
        <v>49.45</v>
      </c>
      <c r="BG393" s="50"/>
      <c r="BH393" s="51">
        <f t="shared" si="241"/>
        <v>36</v>
      </c>
      <c r="BI393" s="51">
        <f t="shared" si="242"/>
        <v>1</v>
      </c>
      <c r="BJ393" s="51">
        <f t="shared" si="243"/>
        <v>13.45</v>
      </c>
      <c r="BK393" s="52">
        <f t="shared" si="244"/>
        <v>0</v>
      </c>
      <c r="BL393" s="52">
        <f t="shared" si="245"/>
        <v>0</v>
      </c>
      <c r="BM393" s="52">
        <f t="shared" si="246"/>
        <v>0</v>
      </c>
    </row>
    <row r="394" spans="1:65" ht="30" customHeight="1" x14ac:dyDescent="0.25">
      <c r="A394" s="31" t="str">
        <f t="shared" si="212"/>
        <v>Д</v>
      </c>
      <c r="B394" s="31" t="str">
        <f t="shared" si="213"/>
        <v>Б</v>
      </c>
      <c r="C394" s="32" t="s">
        <v>226</v>
      </c>
      <c r="D394" s="33" t="str">
        <f t="shared" si="214"/>
        <v>Факультет физико-математических и естественных наук</v>
      </c>
      <c r="E394" s="34" t="str">
        <f t="shared" si="215"/>
        <v>'38.03.05</v>
      </c>
      <c r="F394" s="35" t="str">
        <f t="shared" si="216"/>
        <v>Бизнес-информатика</v>
      </c>
      <c r="G394" s="36" t="s">
        <v>76</v>
      </c>
      <c r="H394" s="36" t="s">
        <v>135</v>
      </c>
      <c r="I394" s="37"/>
      <c r="J394" s="37" t="s">
        <v>154</v>
      </c>
      <c r="K394" s="38" t="s">
        <v>140</v>
      </c>
      <c r="L394" s="39">
        <v>5</v>
      </c>
      <c r="M394" s="39">
        <v>18</v>
      </c>
      <c r="N394" s="40" t="s">
        <v>79</v>
      </c>
      <c r="O394" s="39">
        <v>1</v>
      </c>
      <c r="P394" s="39"/>
      <c r="Q394" s="39"/>
      <c r="R394" s="40"/>
      <c r="S394" s="41"/>
      <c r="T394" s="41"/>
      <c r="U394" s="41"/>
      <c r="V394" s="41"/>
      <c r="W394" s="41"/>
      <c r="X394" s="42" t="str">
        <f t="shared" si="217"/>
        <v>НБИбд</v>
      </c>
      <c r="Y394" s="43" t="s">
        <v>128</v>
      </c>
      <c r="Z394" s="39">
        <v>2</v>
      </c>
      <c r="AA394" s="39">
        <v>1</v>
      </c>
      <c r="AB394" s="42">
        <f t="shared" si="218"/>
        <v>15</v>
      </c>
      <c r="AC394" s="39">
        <v>14</v>
      </c>
      <c r="AD394" s="39">
        <v>1</v>
      </c>
      <c r="AE394" s="44">
        <f t="shared" si="219"/>
        <v>15</v>
      </c>
      <c r="AF394" s="45">
        <f t="shared" si="220"/>
        <v>1</v>
      </c>
      <c r="AG394" s="45">
        <f t="shared" si="221"/>
        <v>1</v>
      </c>
      <c r="AH394" s="46" t="s">
        <v>82</v>
      </c>
      <c r="AI394" s="40" t="s">
        <v>83</v>
      </c>
      <c r="AJ394" s="40" t="s">
        <v>84</v>
      </c>
      <c r="AK394" s="47" t="s">
        <v>204</v>
      </c>
      <c r="AL394" s="40"/>
      <c r="AM394" s="48">
        <f t="shared" si="222"/>
        <v>18</v>
      </c>
      <c r="AN394" s="48">
        <f t="shared" si="223"/>
        <v>0</v>
      </c>
      <c r="AO394" s="48">
        <f t="shared" si="224"/>
        <v>0</v>
      </c>
      <c r="AP394" s="48">
        <f t="shared" si="225"/>
        <v>0</v>
      </c>
      <c r="AQ394" s="48">
        <f t="shared" si="226"/>
        <v>0</v>
      </c>
      <c r="AR394" s="48">
        <f t="shared" si="227"/>
        <v>0</v>
      </c>
      <c r="AS394" s="48">
        <f t="shared" si="228"/>
        <v>0.9</v>
      </c>
      <c r="AT394" s="48">
        <f t="shared" si="229"/>
        <v>0</v>
      </c>
      <c r="AU394" s="48">
        <f t="shared" si="230"/>
        <v>0</v>
      </c>
      <c r="AV394" s="48">
        <f t="shared" si="231"/>
        <v>0</v>
      </c>
      <c r="AW394" s="48">
        <f>IF(N394="ПП",РПП*AB394*(V394/1.5),IF(N394="ВП",ВПр*AB394*(V394/1.5),IF(N394="РПА",РПА*AB394*(V394/1.5),IF(N394="КПА",кпа*AB394*(V394/1.5),0))))</f>
        <v>0</v>
      </c>
      <c r="AX394" s="48">
        <f t="shared" si="232"/>
        <v>0</v>
      </c>
      <c r="AY394" s="48">
        <f t="shared" si="233"/>
        <v>0</v>
      </c>
      <c r="AZ394" s="48">
        <f t="shared" si="234"/>
        <v>0</v>
      </c>
      <c r="BA394" s="48">
        <f t="shared" si="235"/>
        <v>0</v>
      </c>
      <c r="BB394" s="48">
        <f t="shared" si="236"/>
        <v>0</v>
      </c>
      <c r="BC394" s="48">
        <f t="shared" si="237"/>
        <v>0</v>
      </c>
      <c r="BD394" s="48">
        <f t="shared" si="238"/>
        <v>0</v>
      </c>
      <c r="BE394" s="48">
        <f t="shared" si="239"/>
        <v>0</v>
      </c>
      <c r="BF394" s="49">
        <f t="shared" si="240"/>
        <v>18.899999999999999</v>
      </c>
      <c r="BG394" s="50"/>
      <c r="BH394" s="51">
        <f t="shared" si="241"/>
        <v>18</v>
      </c>
      <c r="BI394" s="51">
        <f t="shared" si="242"/>
        <v>0.5</v>
      </c>
      <c r="BJ394" s="51">
        <f t="shared" si="243"/>
        <v>0.9</v>
      </c>
      <c r="BK394" s="52">
        <f t="shared" si="244"/>
        <v>0</v>
      </c>
      <c r="BL394" s="52">
        <f t="shared" si="245"/>
        <v>0</v>
      </c>
      <c r="BM394" s="52">
        <f t="shared" si="246"/>
        <v>0</v>
      </c>
    </row>
    <row r="395" spans="1:65" ht="30" customHeight="1" x14ac:dyDescent="0.25">
      <c r="A395" s="31" t="str">
        <f t="shared" si="212"/>
        <v>Д</v>
      </c>
      <c r="B395" s="31" t="str">
        <f t="shared" si="213"/>
        <v>Б</v>
      </c>
      <c r="C395" s="32" t="s">
        <v>226</v>
      </c>
      <c r="D395" s="33" t="str">
        <f t="shared" si="214"/>
        <v>Факультет физико-математических и естественных наук</v>
      </c>
      <c r="E395" s="34" t="str">
        <f t="shared" si="215"/>
        <v>'38.03.05</v>
      </c>
      <c r="F395" s="35" t="str">
        <f t="shared" si="216"/>
        <v>Бизнес-информатика</v>
      </c>
      <c r="G395" s="36" t="s">
        <v>76</v>
      </c>
      <c r="H395" s="36" t="s">
        <v>135</v>
      </c>
      <c r="I395" s="37"/>
      <c r="J395" s="37" t="s">
        <v>154</v>
      </c>
      <c r="K395" s="38" t="s">
        <v>140</v>
      </c>
      <c r="L395" s="39">
        <v>5</v>
      </c>
      <c r="M395" s="39">
        <v>18</v>
      </c>
      <c r="N395" s="40" t="s">
        <v>86</v>
      </c>
      <c r="O395" s="39"/>
      <c r="P395" s="39"/>
      <c r="Q395" s="39">
        <v>1</v>
      </c>
      <c r="R395" s="40" t="s">
        <v>95</v>
      </c>
      <c r="S395" s="41"/>
      <c r="T395" s="41"/>
      <c r="U395" s="41"/>
      <c r="V395" s="41"/>
      <c r="W395" s="41"/>
      <c r="X395" s="42" t="str">
        <f t="shared" si="217"/>
        <v>НБИбд</v>
      </c>
      <c r="Y395" s="43" t="s">
        <v>128</v>
      </c>
      <c r="Z395" s="39">
        <v>2</v>
      </c>
      <c r="AA395" s="39">
        <v>1</v>
      </c>
      <c r="AB395" s="42">
        <f t="shared" si="218"/>
        <v>15</v>
      </c>
      <c r="AC395" s="39">
        <v>14</v>
      </c>
      <c r="AD395" s="39">
        <v>1</v>
      </c>
      <c r="AE395" s="44">
        <f t="shared" si="219"/>
        <v>24</v>
      </c>
      <c r="AF395" s="45">
        <f t="shared" si="220"/>
        <v>0.625</v>
      </c>
      <c r="AG395" s="45">
        <f t="shared" si="221"/>
        <v>0.625</v>
      </c>
      <c r="AH395" s="46" t="s">
        <v>82</v>
      </c>
      <c r="AI395" s="40" t="s">
        <v>83</v>
      </c>
      <c r="AJ395" s="40" t="s">
        <v>84</v>
      </c>
      <c r="AK395" s="47" t="s">
        <v>204</v>
      </c>
      <c r="AL395" s="40"/>
      <c r="AM395" s="48">
        <f t="shared" si="222"/>
        <v>0</v>
      </c>
      <c r="AN395" s="48">
        <f t="shared" si="223"/>
        <v>11.25</v>
      </c>
      <c r="AO395" s="48">
        <f t="shared" si="224"/>
        <v>0</v>
      </c>
      <c r="AP395" s="48">
        <f t="shared" si="225"/>
        <v>4.95</v>
      </c>
      <c r="AQ395" s="48">
        <f t="shared" si="226"/>
        <v>7.5</v>
      </c>
      <c r="AR395" s="48">
        <f t="shared" si="227"/>
        <v>0.625</v>
      </c>
      <c r="AS395" s="48">
        <f t="shared" si="228"/>
        <v>0</v>
      </c>
      <c r="AT395" s="48">
        <f t="shared" si="229"/>
        <v>0</v>
      </c>
      <c r="AU395" s="48">
        <f t="shared" si="230"/>
        <v>0</v>
      </c>
      <c r="AV395" s="48">
        <f t="shared" si="231"/>
        <v>0</v>
      </c>
      <c r="AW395" s="48">
        <f>IF(N395="ПП",РПП*AB395*(V395/1.5),IF(N395="ВП",ВПр*AB395*(V395/1.5),IF(N395="РПА",РПА*AB395*(V395/1.5),IF(N395="КПА",кпа*AB395*(V395/1.5),0))))</f>
        <v>0</v>
      </c>
      <c r="AX395" s="48">
        <f t="shared" si="232"/>
        <v>0</v>
      </c>
      <c r="AY395" s="48">
        <f t="shared" si="233"/>
        <v>0</v>
      </c>
      <c r="AZ395" s="48">
        <f t="shared" si="234"/>
        <v>0</v>
      </c>
      <c r="BA395" s="48">
        <f t="shared" si="235"/>
        <v>0</v>
      </c>
      <c r="BB395" s="48">
        <f t="shared" si="236"/>
        <v>0</v>
      </c>
      <c r="BC395" s="48">
        <f t="shared" si="237"/>
        <v>0</v>
      </c>
      <c r="BD395" s="48">
        <f t="shared" si="238"/>
        <v>0</v>
      </c>
      <c r="BE395" s="48">
        <f t="shared" si="239"/>
        <v>0</v>
      </c>
      <c r="BF395" s="49">
        <f t="shared" si="240"/>
        <v>24.324999999999999</v>
      </c>
      <c r="BG395" s="50"/>
      <c r="BH395" s="51">
        <f t="shared" si="241"/>
        <v>11.25</v>
      </c>
      <c r="BI395" s="51">
        <f t="shared" si="242"/>
        <v>0.5</v>
      </c>
      <c r="BJ395" s="51">
        <f t="shared" si="243"/>
        <v>13.074999999999999</v>
      </c>
      <c r="BK395" s="52">
        <f t="shared" si="244"/>
        <v>0</v>
      </c>
      <c r="BL395" s="52">
        <f t="shared" si="245"/>
        <v>0</v>
      </c>
      <c r="BM395" s="52">
        <f t="shared" si="246"/>
        <v>0</v>
      </c>
    </row>
    <row r="396" spans="1:65" ht="30" customHeight="1" x14ac:dyDescent="0.25">
      <c r="A396" s="31" t="str">
        <f t="shared" si="212"/>
        <v>Д</v>
      </c>
      <c r="B396" s="31" t="str">
        <f t="shared" si="213"/>
        <v>Б</v>
      </c>
      <c r="C396" s="32" t="s">
        <v>226</v>
      </c>
      <c r="D396" s="33" t="str">
        <f t="shared" si="214"/>
        <v>Факультет физико-математических и естественных наук</v>
      </c>
      <c r="E396" s="34" t="str">
        <f t="shared" si="215"/>
        <v>'38.03.05</v>
      </c>
      <c r="F396" s="35" t="str">
        <f t="shared" si="216"/>
        <v>Бизнес-информатика</v>
      </c>
      <c r="G396" s="36" t="s">
        <v>76</v>
      </c>
      <c r="H396" s="36" t="s">
        <v>135</v>
      </c>
      <c r="I396" s="37"/>
      <c r="J396" s="37" t="s">
        <v>154</v>
      </c>
      <c r="K396" s="38" t="s">
        <v>132</v>
      </c>
      <c r="L396" s="39">
        <v>5</v>
      </c>
      <c r="M396" s="39">
        <v>18</v>
      </c>
      <c r="N396" s="40" t="s">
        <v>79</v>
      </c>
      <c r="O396" s="39">
        <v>1</v>
      </c>
      <c r="P396" s="39"/>
      <c r="Q396" s="39"/>
      <c r="R396" s="40" t="s">
        <v>80</v>
      </c>
      <c r="S396" s="41"/>
      <c r="T396" s="41"/>
      <c r="U396" s="41"/>
      <c r="V396" s="41"/>
      <c r="W396" s="41"/>
      <c r="X396" s="42" t="str">
        <f t="shared" si="217"/>
        <v>НБИбд</v>
      </c>
      <c r="Y396" s="43" t="s">
        <v>128</v>
      </c>
      <c r="Z396" s="39">
        <v>2</v>
      </c>
      <c r="AA396" s="39">
        <v>1</v>
      </c>
      <c r="AB396" s="42">
        <f t="shared" si="218"/>
        <v>15</v>
      </c>
      <c r="AC396" s="39">
        <v>14</v>
      </c>
      <c r="AD396" s="39">
        <v>1</v>
      </c>
      <c r="AE396" s="44">
        <f t="shared" si="219"/>
        <v>15</v>
      </c>
      <c r="AF396" s="45">
        <f t="shared" si="220"/>
        <v>1</v>
      </c>
      <c r="AG396" s="45">
        <f t="shared" si="221"/>
        <v>1</v>
      </c>
      <c r="AH396" s="46" t="s">
        <v>82</v>
      </c>
      <c r="AI396" s="40" t="s">
        <v>83</v>
      </c>
      <c r="AJ396" s="40" t="s">
        <v>84</v>
      </c>
      <c r="AK396" s="47" t="s">
        <v>104</v>
      </c>
      <c r="AL396" s="40"/>
      <c r="AM396" s="48">
        <f t="shared" si="222"/>
        <v>18</v>
      </c>
      <c r="AN396" s="48">
        <f t="shared" si="223"/>
        <v>0</v>
      </c>
      <c r="AO396" s="48">
        <f t="shared" si="224"/>
        <v>0</v>
      </c>
      <c r="AP396" s="48">
        <f t="shared" si="225"/>
        <v>4.95</v>
      </c>
      <c r="AQ396" s="48">
        <f t="shared" si="226"/>
        <v>7.5</v>
      </c>
      <c r="AR396" s="48">
        <f t="shared" si="227"/>
        <v>1</v>
      </c>
      <c r="AS396" s="48">
        <f t="shared" si="228"/>
        <v>0.9</v>
      </c>
      <c r="AT396" s="48">
        <f t="shared" si="229"/>
        <v>0</v>
      </c>
      <c r="AU396" s="48">
        <f t="shared" si="230"/>
        <v>0</v>
      </c>
      <c r="AV396" s="48">
        <f t="shared" si="231"/>
        <v>0</v>
      </c>
      <c r="AW396" s="48">
        <f>IF(N396="ПП",РПП*AB396*(V396/1.5),IF(N396="ВП",ВПр*AB396*(V396/1.5),IF(N396="РПА",РПА*AB396*(V396/1.5),IF(N396="КПА",кпа*AB396*(V396/1.5),0))))</f>
        <v>0</v>
      </c>
      <c r="AX396" s="48">
        <f t="shared" si="232"/>
        <v>0</v>
      </c>
      <c r="AY396" s="48">
        <f t="shared" si="233"/>
        <v>0</v>
      </c>
      <c r="AZ396" s="48">
        <f t="shared" si="234"/>
        <v>0</v>
      </c>
      <c r="BA396" s="48">
        <f t="shared" si="235"/>
        <v>0</v>
      </c>
      <c r="BB396" s="48">
        <f t="shared" si="236"/>
        <v>0</v>
      </c>
      <c r="BC396" s="48">
        <f t="shared" si="237"/>
        <v>0</v>
      </c>
      <c r="BD396" s="48">
        <f t="shared" si="238"/>
        <v>0</v>
      </c>
      <c r="BE396" s="48">
        <f t="shared" si="239"/>
        <v>0</v>
      </c>
      <c r="BF396" s="49">
        <f t="shared" si="240"/>
        <v>32.35</v>
      </c>
      <c r="BG396" s="50"/>
      <c r="BH396" s="51">
        <f t="shared" si="241"/>
        <v>18</v>
      </c>
      <c r="BI396" s="51">
        <f t="shared" si="242"/>
        <v>0.5</v>
      </c>
      <c r="BJ396" s="51">
        <f t="shared" si="243"/>
        <v>14.35</v>
      </c>
      <c r="BK396" s="52">
        <f t="shared" si="244"/>
        <v>0</v>
      </c>
      <c r="BL396" s="52">
        <f t="shared" si="245"/>
        <v>0</v>
      </c>
      <c r="BM396" s="52">
        <f t="shared" si="246"/>
        <v>0</v>
      </c>
    </row>
    <row r="397" spans="1:65" ht="30" customHeight="1" x14ac:dyDescent="0.25">
      <c r="A397" s="31" t="str">
        <f t="shared" si="212"/>
        <v>Д</v>
      </c>
      <c r="B397" s="31" t="str">
        <f t="shared" si="213"/>
        <v>Б</v>
      </c>
      <c r="C397" s="32" t="s">
        <v>226</v>
      </c>
      <c r="D397" s="33" t="str">
        <f t="shared" si="214"/>
        <v>Факультет физико-математических и естественных наук</v>
      </c>
      <c r="E397" s="34" t="str">
        <f t="shared" si="215"/>
        <v>'38.03.05</v>
      </c>
      <c r="F397" s="35" t="str">
        <f t="shared" si="216"/>
        <v>Бизнес-информатика</v>
      </c>
      <c r="G397" s="36" t="s">
        <v>76</v>
      </c>
      <c r="H397" s="36" t="s">
        <v>135</v>
      </c>
      <c r="I397" s="37"/>
      <c r="J397" s="37" t="s">
        <v>154</v>
      </c>
      <c r="K397" s="38" t="s">
        <v>132</v>
      </c>
      <c r="L397" s="39">
        <v>5</v>
      </c>
      <c r="M397" s="39">
        <v>18</v>
      </c>
      <c r="N397" s="40" t="s">
        <v>94</v>
      </c>
      <c r="O397" s="39"/>
      <c r="P397" s="39">
        <v>2</v>
      </c>
      <c r="Q397" s="39"/>
      <c r="R397" s="40"/>
      <c r="S397" s="41"/>
      <c r="T397" s="41"/>
      <c r="U397" s="41"/>
      <c r="V397" s="41"/>
      <c r="W397" s="41"/>
      <c r="X397" s="42" t="str">
        <f t="shared" si="217"/>
        <v>НБИбд</v>
      </c>
      <c r="Y397" s="43" t="s">
        <v>128</v>
      </c>
      <c r="Z397" s="39">
        <v>2</v>
      </c>
      <c r="AA397" s="39">
        <v>1</v>
      </c>
      <c r="AB397" s="42">
        <f t="shared" si="218"/>
        <v>15</v>
      </c>
      <c r="AC397" s="39">
        <v>14</v>
      </c>
      <c r="AD397" s="39">
        <v>1</v>
      </c>
      <c r="AE397" s="44">
        <f t="shared" si="219"/>
        <v>12</v>
      </c>
      <c r="AF397" s="45">
        <f t="shared" si="220"/>
        <v>1</v>
      </c>
      <c r="AG397" s="45">
        <f t="shared" si="221"/>
        <v>1.25</v>
      </c>
      <c r="AH397" s="46" t="s">
        <v>82</v>
      </c>
      <c r="AI397" s="40" t="s">
        <v>83</v>
      </c>
      <c r="AJ397" s="40" t="s">
        <v>84</v>
      </c>
      <c r="AK397" s="47" t="s">
        <v>104</v>
      </c>
      <c r="AL397" s="40"/>
      <c r="AM397" s="48">
        <f t="shared" si="222"/>
        <v>0</v>
      </c>
      <c r="AN397" s="48">
        <f t="shared" si="223"/>
        <v>0</v>
      </c>
      <c r="AO397" s="48">
        <f t="shared" si="224"/>
        <v>36</v>
      </c>
      <c r="AP397" s="48">
        <f t="shared" si="225"/>
        <v>0</v>
      </c>
      <c r="AQ397" s="48">
        <f t="shared" si="226"/>
        <v>0</v>
      </c>
      <c r="AR397" s="48">
        <f t="shared" si="227"/>
        <v>0</v>
      </c>
      <c r="AS397" s="48">
        <f t="shared" si="228"/>
        <v>0</v>
      </c>
      <c r="AT397" s="48">
        <f t="shared" si="229"/>
        <v>0</v>
      </c>
      <c r="AU397" s="48">
        <f t="shared" si="230"/>
        <v>0</v>
      </c>
      <c r="AV397" s="48">
        <f t="shared" si="231"/>
        <v>0</v>
      </c>
      <c r="AW397" s="48">
        <f>IF(N397="ПП",РПП*AB397*(V397/1.5),IF(N397="ВП",ВПр*AB397*(V397/1.5),IF(N397="РПА",РПА*AB397*(V397/1.5),IF(N397="КПА",кпа*AB397*(V397/1.5),0))))</f>
        <v>0</v>
      </c>
      <c r="AX397" s="48">
        <f t="shared" si="232"/>
        <v>0</v>
      </c>
      <c r="AY397" s="48">
        <f t="shared" si="233"/>
        <v>0</v>
      </c>
      <c r="AZ397" s="48">
        <f t="shared" si="234"/>
        <v>0</v>
      </c>
      <c r="BA397" s="48">
        <f t="shared" si="235"/>
        <v>0</v>
      </c>
      <c r="BB397" s="48">
        <f t="shared" si="236"/>
        <v>0</v>
      </c>
      <c r="BC397" s="48">
        <f t="shared" si="237"/>
        <v>0</v>
      </c>
      <c r="BD397" s="48">
        <f t="shared" si="238"/>
        <v>0</v>
      </c>
      <c r="BE397" s="48">
        <f t="shared" si="239"/>
        <v>0</v>
      </c>
      <c r="BF397" s="49">
        <f t="shared" si="240"/>
        <v>36</v>
      </c>
      <c r="BG397" s="50"/>
      <c r="BH397" s="51">
        <f t="shared" si="241"/>
        <v>36</v>
      </c>
      <c r="BI397" s="51">
        <f t="shared" si="242"/>
        <v>1</v>
      </c>
      <c r="BJ397" s="51">
        <f t="shared" si="243"/>
        <v>0</v>
      </c>
      <c r="BK397" s="52">
        <f t="shared" si="244"/>
        <v>0</v>
      </c>
      <c r="BL397" s="52">
        <f t="shared" si="245"/>
        <v>0</v>
      </c>
      <c r="BM397" s="52">
        <f t="shared" si="246"/>
        <v>0</v>
      </c>
    </row>
    <row r="398" spans="1:65" ht="30" customHeight="1" x14ac:dyDescent="0.25">
      <c r="A398" s="31" t="str">
        <f t="shared" si="212"/>
        <v>Д</v>
      </c>
      <c r="B398" s="31" t="str">
        <f t="shared" si="213"/>
        <v>Б</v>
      </c>
      <c r="C398" s="32" t="s">
        <v>226</v>
      </c>
      <c r="D398" s="33" t="str">
        <f t="shared" si="214"/>
        <v>Факультет физико-математических и естественных наук</v>
      </c>
      <c r="E398" s="34" t="str">
        <f t="shared" si="215"/>
        <v>'38.03.05</v>
      </c>
      <c r="F398" s="35" t="str">
        <f t="shared" si="216"/>
        <v>Бизнес-информатика</v>
      </c>
      <c r="G398" s="36" t="s">
        <v>76</v>
      </c>
      <c r="H398" s="36" t="s">
        <v>183</v>
      </c>
      <c r="I398" s="37"/>
      <c r="J398" s="37"/>
      <c r="K398" s="38" t="s">
        <v>234</v>
      </c>
      <c r="L398" s="39">
        <v>6</v>
      </c>
      <c r="M398" s="39">
        <v>18</v>
      </c>
      <c r="N398" s="40" t="s">
        <v>79</v>
      </c>
      <c r="O398" s="39">
        <v>1</v>
      </c>
      <c r="P398" s="39"/>
      <c r="Q398" s="39"/>
      <c r="R398" s="40" t="s">
        <v>80</v>
      </c>
      <c r="S398" s="41"/>
      <c r="T398" s="41"/>
      <c r="U398" s="41"/>
      <c r="V398" s="41"/>
      <c r="W398" s="41"/>
      <c r="X398" s="42" t="str">
        <f t="shared" si="217"/>
        <v>НБИбд</v>
      </c>
      <c r="Y398" s="43" t="s">
        <v>128</v>
      </c>
      <c r="Z398" s="39">
        <v>2</v>
      </c>
      <c r="AA398" s="39">
        <v>1</v>
      </c>
      <c r="AB398" s="42">
        <f t="shared" si="218"/>
        <v>22</v>
      </c>
      <c r="AC398" s="39">
        <v>21</v>
      </c>
      <c r="AD398" s="39">
        <v>1</v>
      </c>
      <c r="AE398" s="44">
        <f t="shared" si="219"/>
        <v>22</v>
      </c>
      <c r="AF398" s="45">
        <f t="shared" si="220"/>
        <v>1</v>
      </c>
      <c r="AG398" s="45">
        <f t="shared" si="221"/>
        <v>1</v>
      </c>
      <c r="AH398" s="46" t="s">
        <v>82</v>
      </c>
      <c r="AI398" s="40" t="s">
        <v>83</v>
      </c>
      <c r="AJ398" s="40" t="s">
        <v>116</v>
      </c>
      <c r="AK398" s="47" t="s">
        <v>146</v>
      </c>
      <c r="AL398" s="40"/>
      <c r="AM398" s="48">
        <f t="shared" si="222"/>
        <v>18</v>
      </c>
      <c r="AN398" s="48">
        <f t="shared" si="223"/>
        <v>0</v>
      </c>
      <c r="AO398" s="48">
        <f t="shared" si="224"/>
        <v>0</v>
      </c>
      <c r="AP398" s="48">
        <f t="shared" si="225"/>
        <v>7.2600000000000007</v>
      </c>
      <c r="AQ398" s="48">
        <f t="shared" si="226"/>
        <v>11</v>
      </c>
      <c r="AR398" s="48">
        <f t="shared" si="227"/>
        <v>1</v>
      </c>
      <c r="AS398" s="48">
        <f t="shared" si="228"/>
        <v>0.9</v>
      </c>
      <c r="AT398" s="48">
        <f t="shared" si="229"/>
        <v>0</v>
      </c>
      <c r="AU398" s="48">
        <f t="shared" si="230"/>
        <v>0</v>
      </c>
      <c r="AV398" s="48">
        <f t="shared" si="231"/>
        <v>0</v>
      </c>
      <c r="AW398" s="48">
        <f>IF(N398="ПП",РПП*AB398*(V398/1.5),IF(N398="ВП",ВПр*AB398*(V398/1.5),IF(N398="РПА",РПА*AB398*(V398/1.5),IF(N398="КПА",кпа*AB398*(V398/1.5),0))))</f>
        <v>0</v>
      </c>
      <c r="AX398" s="48">
        <f t="shared" si="232"/>
        <v>0</v>
      </c>
      <c r="AY398" s="48">
        <f t="shared" si="233"/>
        <v>0</v>
      </c>
      <c r="AZ398" s="48">
        <f t="shared" si="234"/>
        <v>0</v>
      </c>
      <c r="BA398" s="48">
        <f t="shared" si="235"/>
        <v>0</v>
      </c>
      <c r="BB398" s="48">
        <f t="shared" si="236"/>
        <v>0</v>
      </c>
      <c r="BC398" s="48">
        <f t="shared" si="237"/>
        <v>0</v>
      </c>
      <c r="BD398" s="48">
        <f t="shared" si="238"/>
        <v>0</v>
      </c>
      <c r="BE398" s="48">
        <f t="shared" si="239"/>
        <v>0</v>
      </c>
      <c r="BF398" s="49">
        <f t="shared" si="240"/>
        <v>38.160000000000004</v>
      </c>
      <c r="BG398" s="50"/>
      <c r="BH398" s="51">
        <f t="shared" si="241"/>
        <v>0</v>
      </c>
      <c r="BI398" s="51">
        <f t="shared" si="242"/>
        <v>0</v>
      </c>
      <c r="BJ398" s="51">
        <f t="shared" si="243"/>
        <v>0</v>
      </c>
      <c r="BK398" s="52">
        <f t="shared" si="244"/>
        <v>18</v>
      </c>
      <c r="BL398" s="52">
        <f t="shared" si="245"/>
        <v>0.5</v>
      </c>
      <c r="BM398" s="52">
        <f t="shared" si="246"/>
        <v>20.16</v>
      </c>
    </row>
    <row r="399" spans="1:65" ht="30" customHeight="1" x14ac:dyDescent="0.25">
      <c r="A399" s="31" t="str">
        <f t="shared" si="212"/>
        <v>Д</v>
      </c>
      <c r="B399" s="31" t="str">
        <f t="shared" si="213"/>
        <v>Б</v>
      </c>
      <c r="C399" s="32" t="s">
        <v>226</v>
      </c>
      <c r="D399" s="33" t="str">
        <f t="shared" si="214"/>
        <v>Факультет физико-математических и естественных наук</v>
      </c>
      <c r="E399" s="34" t="str">
        <f t="shared" si="215"/>
        <v>'38.03.05</v>
      </c>
      <c r="F399" s="35" t="str">
        <f t="shared" si="216"/>
        <v>Бизнес-информатика</v>
      </c>
      <c r="G399" s="36" t="s">
        <v>76</v>
      </c>
      <c r="H399" s="36" t="s">
        <v>183</v>
      </c>
      <c r="I399" s="37"/>
      <c r="J399" s="37"/>
      <c r="K399" s="38" t="s">
        <v>234</v>
      </c>
      <c r="L399" s="39">
        <v>6</v>
      </c>
      <c r="M399" s="39">
        <v>18</v>
      </c>
      <c r="N399" s="40" t="s">
        <v>86</v>
      </c>
      <c r="O399" s="39"/>
      <c r="P399" s="39"/>
      <c r="Q399" s="39">
        <v>1</v>
      </c>
      <c r="R399" s="40"/>
      <c r="S399" s="41"/>
      <c r="T399" s="41"/>
      <c r="U399" s="41"/>
      <c r="V399" s="41"/>
      <c r="W399" s="41"/>
      <c r="X399" s="42" t="str">
        <f t="shared" si="217"/>
        <v>НБИбд</v>
      </c>
      <c r="Y399" s="43" t="s">
        <v>128</v>
      </c>
      <c r="Z399" s="39">
        <v>2</v>
      </c>
      <c r="AA399" s="39">
        <v>1</v>
      </c>
      <c r="AB399" s="42">
        <f t="shared" si="218"/>
        <v>22</v>
      </c>
      <c r="AC399" s="39">
        <v>21</v>
      </c>
      <c r="AD399" s="39">
        <v>1</v>
      </c>
      <c r="AE399" s="44">
        <f t="shared" si="219"/>
        <v>24</v>
      </c>
      <c r="AF399" s="45">
        <f t="shared" si="220"/>
        <v>0.91666666666666663</v>
      </c>
      <c r="AG399" s="45">
        <f t="shared" si="221"/>
        <v>0.91666666666666663</v>
      </c>
      <c r="AH399" s="46" t="s">
        <v>82</v>
      </c>
      <c r="AI399" s="40" t="s">
        <v>83</v>
      </c>
      <c r="AJ399" s="40" t="s">
        <v>116</v>
      </c>
      <c r="AK399" s="47" t="s">
        <v>146</v>
      </c>
      <c r="AL399" s="40"/>
      <c r="AM399" s="48">
        <f t="shared" si="222"/>
        <v>0</v>
      </c>
      <c r="AN399" s="48">
        <f t="shared" si="223"/>
        <v>16.5</v>
      </c>
      <c r="AO399" s="48">
        <f t="shared" si="224"/>
        <v>0</v>
      </c>
      <c r="AP399" s="48">
        <f t="shared" si="225"/>
        <v>0</v>
      </c>
      <c r="AQ399" s="48">
        <f t="shared" si="226"/>
        <v>0</v>
      </c>
      <c r="AR399" s="48">
        <f t="shared" si="227"/>
        <v>0</v>
      </c>
      <c r="AS399" s="48">
        <f t="shared" si="228"/>
        <v>0</v>
      </c>
      <c r="AT399" s="48">
        <f t="shared" si="229"/>
        <v>0</v>
      </c>
      <c r="AU399" s="48">
        <f t="shared" si="230"/>
        <v>0</v>
      </c>
      <c r="AV399" s="48">
        <f t="shared" si="231"/>
        <v>0</v>
      </c>
      <c r="AW399" s="48">
        <f>IF(N399="ПП",РПП*AB399*(V399/1.5),IF(N399="ВП",ВПр*AB399*(V399/1.5),IF(N399="РПА",РПА*AB399*(V399/1.5),IF(N399="КПА",кпа*AB399*(V399/1.5),0))))</f>
        <v>0</v>
      </c>
      <c r="AX399" s="48">
        <f t="shared" si="232"/>
        <v>0</v>
      </c>
      <c r="AY399" s="48">
        <f t="shared" si="233"/>
        <v>0</v>
      </c>
      <c r="AZ399" s="48">
        <f t="shared" si="234"/>
        <v>0</v>
      </c>
      <c r="BA399" s="48">
        <f t="shared" si="235"/>
        <v>0</v>
      </c>
      <c r="BB399" s="48">
        <f t="shared" si="236"/>
        <v>0</v>
      </c>
      <c r="BC399" s="48">
        <f t="shared" si="237"/>
        <v>0</v>
      </c>
      <c r="BD399" s="48">
        <f t="shared" si="238"/>
        <v>0</v>
      </c>
      <c r="BE399" s="48">
        <f t="shared" si="239"/>
        <v>0</v>
      </c>
      <c r="BF399" s="49">
        <f t="shared" si="240"/>
        <v>16.5</v>
      </c>
      <c r="BG399" s="50"/>
      <c r="BH399" s="51">
        <f t="shared" si="241"/>
        <v>0</v>
      </c>
      <c r="BI399" s="51">
        <f t="shared" si="242"/>
        <v>0</v>
      </c>
      <c r="BJ399" s="51">
        <f t="shared" si="243"/>
        <v>0</v>
      </c>
      <c r="BK399" s="52">
        <f t="shared" si="244"/>
        <v>16.5</v>
      </c>
      <c r="BL399" s="52">
        <f t="shared" si="245"/>
        <v>0.5</v>
      </c>
      <c r="BM399" s="52">
        <f t="shared" si="246"/>
        <v>0</v>
      </c>
    </row>
    <row r="400" spans="1:65" ht="30" customHeight="1" x14ac:dyDescent="0.25">
      <c r="A400" s="31" t="str">
        <f t="shared" si="212"/>
        <v>Д</v>
      </c>
      <c r="B400" s="31" t="str">
        <f t="shared" si="213"/>
        <v>Б</v>
      </c>
      <c r="C400" s="32" t="s">
        <v>226</v>
      </c>
      <c r="D400" s="33" t="str">
        <f t="shared" si="214"/>
        <v>Факультет физико-математических и естественных наук</v>
      </c>
      <c r="E400" s="34" t="str">
        <f t="shared" si="215"/>
        <v>'38.03.05</v>
      </c>
      <c r="F400" s="35" t="str">
        <f t="shared" si="216"/>
        <v>Бизнес-информатика</v>
      </c>
      <c r="G400" s="36" t="s">
        <v>76</v>
      </c>
      <c r="H400" s="36" t="s">
        <v>183</v>
      </c>
      <c r="I400" s="37"/>
      <c r="J400" s="37"/>
      <c r="K400" s="38" t="s">
        <v>150</v>
      </c>
      <c r="L400" s="39">
        <v>6</v>
      </c>
      <c r="M400" s="39">
        <v>18</v>
      </c>
      <c r="N400" s="40" t="s">
        <v>79</v>
      </c>
      <c r="O400" s="39">
        <v>1</v>
      </c>
      <c r="P400" s="39"/>
      <c r="Q400" s="39"/>
      <c r="R400" s="40" t="s">
        <v>80</v>
      </c>
      <c r="S400" s="41"/>
      <c r="T400" s="41"/>
      <c r="U400" s="41"/>
      <c r="V400" s="41"/>
      <c r="W400" s="41"/>
      <c r="X400" s="42" t="str">
        <f t="shared" si="217"/>
        <v>НБИбд</v>
      </c>
      <c r="Y400" s="43" t="s">
        <v>128</v>
      </c>
      <c r="Z400" s="39">
        <v>2</v>
      </c>
      <c r="AA400" s="39">
        <v>1</v>
      </c>
      <c r="AB400" s="42">
        <f t="shared" si="218"/>
        <v>22</v>
      </c>
      <c r="AC400" s="39">
        <v>21</v>
      </c>
      <c r="AD400" s="39">
        <v>1</v>
      </c>
      <c r="AE400" s="44">
        <f t="shared" si="219"/>
        <v>22</v>
      </c>
      <c r="AF400" s="45">
        <f t="shared" si="220"/>
        <v>1</v>
      </c>
      <c r="AG400" s="45">
        <f t="shared" si="221"/>
        <v>1</v>
      </c>
      <c r="AH400" s="46" t="s">
        <v>82</v>
      </c>
      <c r="AI400" s="40" t="s">
        <v>99</v>
      </c>
      <c r="AJ400" s="40" t="s">
        <v>116</v>
      </c>
      <c r="AK400" s="47" t="s">
        <v>141</v>
      </c>
      <c r="AL400" s="40"/>
      <c r="AM400" s="48">
        <f t="shared" si="222"/>
        <v>18</v>
      </c>
      <c r="AN400" s="48">
        <f t="shared" si="223"/>
        <v>0</v>
      </c>
      <c r="AO400" s="48">
        <f t="shared" si="224"/>
        <v>0</v>
      </c>
      <c r="AP400" s="48">
        <f t="shared" si="225"/>
        <v>7.2600000000000007</v>
      </c>
      <c r="AQ400" s="48">
        <f t="shared" si="226"/>
        <v>11</v>
      </c>
      <c r="AR400" s="48">
        <f t="shared" si="227"/>
        <v>1</v>
      </c>
      <c r="AS400" s="48">
        <f t="shared" si="228"/>
        <v>0.9</v>
      </c>
      <c r="AT400" s="48">
        <f t="shared" si="229"/>
        <v>0</v>
      </c>
      <c r="AU400" s="48">
        <f t="shared" si="230"/>
        <v>0</v>
      </c>
      <c r="AV400" s="48">
        <f t="shared" si="231"/>
        <v>0</v>
      </c>
      <c r="AW400" s="48">
        <f>IF(N400="ПП",РПП*AB400*(V400/1.5),IF(N400="ВП",ВПр*AB400*(V400/1.5),IF(N400="РПА",РПА*AB400*(V400/1.5),IF(N400="КПА",кпа*AB400*(V400/1.5),0))))</f>
        <v>0</v>
      </c>
      <c r="AX400" s="48">
        <f t="shared" si="232"/>
        <v>0</v>
      </c>
      <c r="AY400" s="48">
        <f t="shared" si="233"/>
        <v>0</v>
      </c>
      <c r="AZ400" s="48">
        <f t="shared" si="234"/>
        <v>0</v>
      </c>
      <c r="BA400" s="48">
        <f t="shared" si="235"/>
        <v>0</v>
      </c>
      <c r="BB400" s="48">
        <f t="shared" si="236"/>
        <v>0</v>
      </c>
      <c r="BC400" s="48">
        <f t="shared" si="237"/>
        <v>0</v>
      </c>
      <c r="BD400" s="48">
        <f t="shared" si="238"/>
        <v>0</v>
      </c>
      <c r="BE400" s="48">
        <f t="shared" si="239"/>
        <v>0</v>
      </c>
      <c r="BF400" s="49">
        <f t="shared" si="240"/>
        <v>38.160000000000004</v>
      </c>
      <c r="BG400" s="50"/>
      <c r="BH400" s="51">
        <f t="shared" si="241"/>
        <v>0</v>
      </c>
      <c r="BI400" s="51">
        <f t="shared" si="242"/>
        <v>0</v>
      </c>
      <c r="BJ400" s="51">
        <f t="shared" si="243"/>
        <v>0</v>
      </c>
      <c r="BK400" s="52">
        <f t="shared" si="244"/>
        <v>18</v>
      </c>
      <c r="BL400" s="52">
        <f t="shared" si="245"/>
        <v>0.5</v>
      </c>
      <c r="BM400" s="52">
        <f t="shared" si="246"/>
        <v>20.16</v>
      </c>
    </row>
    <row r="401" spans="1:65" ht="30" customHeight="1" x14ac:dyDescent="0.25">
      <c r="A401" s="31" t="str">
        <f t="shared" si="212"/>
        <v>Д</v>
      </c>
      <c r="B401" s="31" t="str">
        <f t="shared" si="213"/>
        <v>Б</v>
      </c>
      <c r="C401" s="32" t="s">
        <v>226</v>
      </c>
      <c r="D401" s="33" t="str">
        <f t="shared" si="214"/>
        <v>Факультет физико-математических и естественных наук</v>
      </c>
      <c r="E401" s="34" t="str">
        <f t="shared" si="215"/>
        <v>'38.03.05</v>
      </c>
      <c r="F401" s="35" t="str">
        <f t="shared" si="216"/>
        <v>Бизнес-информатика</v>
      </c>
      <c r="G401" s="36" t="s">
        <v>76</v>
      </c>
      <c r="H401" s="36" t="s">
        <v>183</v>
      </c>
      <c r="I401" s="37"/>
      <c r="J401" s="37"/>
      <c r="K401" s="38" t="s">
        <v>150</v>
      </c>
      <c r="L401" s="39">
        <v>6</v>
      </c>
      <c r="M401" s="39">
        <v>18</v>
      </c>
      <c r="N401" s="40" t="s">
        <v>86</v>
      </c>
      <c r="O401" s="39"/>
      <c r="P401" s="39"/>
      <c r="Q401" s="39">
        <v>2</v>
      </c>
      <c r="R401" s="40"/>
      <c r="S401" s="41"/>
      <c r="T401" s="41"/>
      <c r="U401" s="41"/>
      <c r="V401" s="41"/>
      <c r="W401" s="41"/>
      <c r="X401" s="42" t="str">
        <f t="shared" si="217"/>
        <v>НБИбд</v>
      </c>
      <c r="Y401" s="43" t="s">
        <v>128</v>
      </c>
      <c r="Z401" s="39">
        <v>2</v>
      </c>
      <c r="AA401" s="39">
        <v>1</v>
      </c>
      <c r="AB401" s="42">
        <f t="shared" si="218"/>
        <v>22</v>
      </c>
      <c r="AC401" s="39">
        <v>21</v>
      </c>
      <c r="AD401" s="39">
        <v>1</v>
      </c>
      <c r="AE401" s="44">
        <f t="shared" si="219"/>
        <v>24</v>
      </c>
      <c r="AF401" s="45">
        <f t="shared" si="220"/>
        <v>0.91666666666666663</v>
      </c>
      <c r="AG401" s="45">
        <f t="shared" si="221"/>
        <v>0.91666666666666663</v>
      </c>
      <c r="AH401" s="46" t="s">
        <v>82</v>
      </c>
      <c r="AI401" s="40" t="s">
        <v>99</v>
      </c>
      <c r="AJ401" s="40" t="s">
        <v>116</v>
      </c>
      <c r="AK401" s="47" t="s">
        <v>141</v>
      </c>
      <c r="AL401" s="40"/>
      <c r="AM401" s="48">
        <f t="shared" si="222"/>
        <v>0</v>
      </c>
      <c r="AN401" s="48">
        <f t="shared" si="223"/>
        <v>33</v>
      </c>
      <c r="AO401" s="48">
        <f t="shared" si="224"/>
        <v>0</v>
      </c>
      <c r="AP401" s="48">
        <f t="shared" si="225"/>
        <v>0</v>
      </c>
      <c r="AQ401" s="48">
        <f t="shared" si="226"/>
        <v>0</v>
      </c>
      <c r="AR401" s="48">
        <f t="shared" si="227"/>
        <v>0</v>
      </c>
      <c r="AS401" s="48">
        <f t="shared" si="228"/>
        <v>0</v>
      </c>
      <c r="AT401" s="48">
        <f t="shared" si="229"/>
        <v>0</v>
      </c>
      <c r="AU401" s="48">
        <f t="shared" si="230"/>
        <v>0</v>
      </c>
      <c r="AV401" s="48">
        <f t="shared" si="231"/>
        <v>0</v>
      </c>
      <c r="AW401" s="48">
        <f>IF(N401="ПП",РПП*AB401*(V401/1.5),IF(N401="ВП",ВПр*AB401*(V401/1.5),IF(N401="РПА",РПА*AB401*(V401/1.5),IF(N401="КПА",кпа*AB401*(V401/1.5),0))))</f>
        <v>0</v>
      </c>
      <c r="AX401" s="48">
        <f t="shared" si="232"/>
        <v>0</v>
      </c>
      <c r="AY401" s="48">
        <f t="shared" si="233"/>
        <v>0</v>
      </c>
      <c r="AZ401" s="48">
        <f t="shared" si="234"/>
        <v>0</v>
      </c>
      <c r="BA401" s="48">
        <f t="shared" si="235"/>
        <v>0</v>
      </c>
      <c r="BB401" s="48">
        <f t="shared" si="236"/>
        <v>0</v>
      </c>
      <c r="BC401" s="48">
        <f t="shared" si="237"/>
        <v>0</v>
      </c>
      <c r="BD401" s="48">
        <f t="shared" si="238"/>
        <v>0</v>
      </c>
      <c r="BE401" s="48">
        <f t="shared" si="239"/>
        <v>0</v>
      </c>
      <c r="BF401" s="49">
        <f t="shared" si="240"/>
        <v>33</v>
      </c>
      <c r="BG401" s="50"/>
      <c r="BH401" s="51">
        <f t="shared" si="241"/>
        <v>0</v>
      </c>
      <c r="BI401" s="51">
        <f t="shared" si="242"/>
        <v>0</v>
      </c>
      <c r="BJ401" s="51">
        <f t="shared" si="243"/>
        <v>0</v>
      </c>
      <c r="BK401" s="52">
        <f t="shared" si="244"/>
        <v>33</v>
      </c>
      <c r="BL401" s="52">
        <f t="shared" si="245"/>
        <v>1</v>
      </c>
      <c r="BM401" s="52">
        <f t="shared" si="246"/>
        <v>0</v>
      </c>
    </row>
    <row r="402" spans="1:65" ht="30" customHeight="1" x14ac:dyDescent="0.25">
      <c r="A402" s="31" t="str">
        <f t="shared" si="212"/>
        <v>Д</v>
      </c>
      <c r="B402" s="31" t="str">
        <f t="shared" si="213"/>
        <v>Б</v>
      </c>
      <c r="C402" s="32" t="s">
        <v>226</v>
      </c>
      <c r="D402" s="33" t="str">
        <f t="shared" si="214"/>
        <v>Факультет физико-математических и естественных наук</v>
      </c>
      <c r="E402" s="34" t="str">
        <f t="shared" si="215"/>
        <v>'38.03.05</v>
      </c>
      <c r="F402" s="35" t="str">
        <f t="shared" si="216"/>
        <v>Бизнес-информатика</v>
      </c>
      <c r="G402" s="36" t="s">
        <v>76</v>
      </c>
      <c r="H402" s="36" t="s">
        <v>183</v>
      </c>
      <c r="I402" s="37"/>
      <c r="J402" s="37"/>
      <c r="K402" s="38" t="s">
        <v>235</v>
      </c>
      <c r="L402" s="39">
        <v>6</v>
      </c>
      <c r="M402" s="39">
        <v>18</v>
      </c>
      <c r="N402" s="40" t="s">
        <v>79</v>
      </c>
      <c r="O402" s="39">
        <v>1</v>
      </c>
      <c r="P402" s="39"/>
      <c r="Q402" s="39"/>
      <c r="R402" s="40" t="s">
        <v>80</v>
      </c>
      <c r="S402" s="41"/>
      <c r="T402" s="41"/>
      <c r="U402" s="41"/>
      <c r="V402" s="41"/>
      <c r="W402" s="41"/>
      <c r="X402" s="42" t="str">
        <f t="shared" si="217"/>
        <v>НБИбд</v>
      </c>
      <c r="Y402" s="43" t="s">
        <v>128</v>
      </c>
      <c r="Z402" s="39">
        <v>2</v>
      </c>
      <c r="AA402" s="39">
        <v>1</v>
      </c>
      <c r="AB402" s="42">
        <f t="shared" si="218"/>
        <v>22</v>
      </c>
      <c r="AC402" s="39">
        <v>21</v>
      </c>
      <c r="AD402" s="39">
        <v>1</v>
      </c>
      <c r="AE402" s="44">
        <f t="shared" si="219"/>
        <v>22</v>
      </c>
      <c r="AF402" s="45">
        <f t="shared" si="220"/>
        <v>1</v>
      </c>
      <c r="AG402" s="45">
        <f t="shared" si="221"/>
        <v>1</v>
      </c>
      <c r="AH402" s="46" t="s">
        <v>82</v>
      </c>
      <c r="AI402" s="40" t="s">
        <v>83</v>
      </c>
      <c r="AJ402" s="40" t="s">
        <v>84</v>
      </c>
      <c r="AK402" s="47" t="s">
        <v>204</v>
      </c>
      <c r="AL402" s="40"/>
      <c r="AM402" s="48">
        <f t="shared" si="222"/>
        <v>18</v>
      </c>
      <c r="AN402" s="48">
        <f t="shared" si="223"/>
        <v>0</v>
      </c>
      <c r="AO402" s="48">
        <f t="shared" si="224"/>
        <v>0</v>
      </c>
      <c r="AP402" s="48">
        <f t="shared" si="225"/>
        <v>7.2600000000000007</v>
      </c>
      <c r="AQ402" s="48">
        <f t="shared" si="226"/>
        <v>11</v>
      </c>
      <c r="AR402" s="48">
        <f t="shared" si="227"/>
        <v>1</v>
      </c>
      <c r="AS402" s="48">
        <f t="shared" si="228"/>
        <v>0.9</v>
      </c>
      <c r="AT402" s="48">
        <f t="shared" si="229"/>
        <v>0</v>
      </c>
      <c r="AU402" s="48">
        <f t="shared" si="230"/>
        <v>0</v>
      </c>
      <c r="AV402" s="48">
        <f t="shared" si="231"/>
        <v>0</v>
      </c>
      <c r="AW402" s="48">
        <f>IF(N402="ПП",РПП*AB402*(V402/1.5),IF(N402="ВП",ВПр*AB402*(V402/1.5),IF(N402="РПА",РПА*AB402*(V402/1.5),IF(N402="КПА",кпа*AB402*(V402/1.5),0))))</f>
        <v>0</v>
      </c>
      <c r="AX402" s="48">
        <f t="shared" si="232"/>
        <v>0</v>
      </c>
      <c r="AY402" s="48">
        <f t="shared" si="233"/>
        <v>0</v>
      </c>
      <c r="AZ402" s="48">
        <f t="shared" si="234"/>
        <v>0</v>
      </c>
      <c r="BA402" s="48">
        <f t="shared" si="235"/>
        <v>0</v>
      </c>
      <c r="BB402" s="48">
        <f t="shared" si="236"/>
        <v>0</v>
      </c>
      <c r="BC402" s="48">
        <f t="shared" si="237"/>
        <v>0</v>
      </c>
      <c r="BD402" s="48">
        <f t="shared" si="238"/>
        <v>0</v>
      </c>
      <c r="BE402" s="48">
        <f t="shared" si="239"/>
        <v>0</v>
      </c>
      <c r="BF402" s="49">
        <f t="shared" si="240"/>
        <v>38.160000000000004</v>
      </c>
      <c r="BG402" s="50"/>
      <c r="BH402" s="51">
        <f t="shared" si="241"/>
        <v>0</v>
      </c>
      <c r="BI402" s="51">
        <f t="shared" si="242"/>
        <v>0</v>
      </c>
      <c r="BJ402" s="51">
        <f t="shared" si="243"/>
        <v>0</v>
      </c>
      <c r="BK402" s="52">
        <f t="shared" si="244"/>
        <v>18</v>
      </c>
      <c r="BL402" s="52">
        <f t="shared" si="245"/>
        <v>0.5</v>
      </c>
      <c r="BM402" s="52">
        <f t="shared" si="246"/>
        <v>20.16</v>
      </c>
    </row>
    <row r="403" spans="1:65" ht="30" customHeight="1" x14ac:dyDescent="0.25">
      <c r="A403" s="31" t="str">
        <f t="shared" si="212"/>
        <v>Д</v>
      </c>
      <c r="B403" s="31" t="str">
        <f t="shared" si="213"/>
        <v>Б</v>
      </c>
      <c r="C403" s="32" t="s">
        <v>226</v>
      </c>
      <c r="D403" s="33" t="str">
        <f t="shared" si="214"/>
        <v>Факультет физико-математических и естественных наук</v>
      </c>
      <c r="E403" s="34" t="str">
        <f t="shared" si="215"/>
        <v>'38.03.05</v>
      </c>
      <c r="F403" s="35" t="str">
        <f t="shared" si="216"/>
        <v>Бизнес-информатика</v>
      </c>
      <c r="G403" s="36" t="s">
        <v>76</v>
      </c>
      <c r="H403" s="36" t="s">
        <v>183</v>
      </c>
      <c r="I403" s="37"/>
      <c r="J403" s="37"/>
      <c r="K403" s="38" t="s">
        <v>235</v>
      </c>
      <c r="L403" s="39">
        <v>6</v>
      </c>
      <c r="M403" s="39">
        <v>18</v>
      </c>
      <c r="N403" s="40" t="s">
        <v>94</v>
      </c>
      <c r="O403" s="39"/>
      <c r="P403" s="39">
        <v>2</v>
      </c>
      <c r="Q403" s="39"/>
      <c r="R403" s="40"/>
      <c r="S403" s="41"/>
      <c r="T403" s="41"/>
      <c r="U403" s="41"/>
      <c r="V403" s="41"/>
      <c r="W403" s="41"/>
      <c r="X403" s="42" t="str">
        <f t="shared" si="217"/>
        <v>НБИбд</v>
      </c>
      <c r="Y403" s="43" t="s">
        <v>128</v>
      </c>
      <c r="Z403" s="39">
        <v>1</v>
      </c>
      <c r="AA403" s="39">
        <v>1</v>
      </c>
      <c r="AB403" s="42">
        <f t="shared" si="218"/>
        <v>22</v>
      </c>
      <c r="AC403" s="39">
        <v>21</v>
      </c>
      <c r="AD403" s="39">
        <v>1</v>
      </c>
      <c r="AE403" s="44">
        <f t="shared" si="219"/>
        <v>12</v>
      </c>
      <c r="AF403" s="45">
        <f t="shared" si="220"/>
        <v>1</v>
      </c>
      <c r="AG403" s="45">
        <f t="shared" si="221"/>
        <v>1.8333333333333333</v>
      </c>
      <c r="AH403" s="46" t="s">
        <v>82</v>
      </c>
      <c r="AI403" s="40" t="s">
        <v>83</v>
      </c>
      <c r="AJ403" s="40" t="s">
        <v>84</v>
      </c>
      <c r="AK403" s="47" t="s">
        <v>204</v>
      </c>
      <c r="AL403" s="40"/>
      <c r="AM403" s="48">
        <f t="shared" si="222"/>
        <v>0</v>
      </c>
      <c r="AN403" s="48">
        <f t="shared" si="223"/>
        <v>0</v>
      </c>
      <c r="AO403" s="48">
        <f t="shared" si="224"/>
        <v>36</v>
      </c>
      <c r="AP403" s="48">
        <f t="shared" si="225"/>
        <v>0</v>
      </c>
      <c r="AQ403" s="48">
        <f t="shared" si="226"/>
        <v>0</v>
      </c>
      <c r="AR403" s="48">
        <f t="shared" si="227"/>
        <v>0</v>
      </c>
      <c r="AS403" s="48">
        <f t="shared" si="228"/>
        <v>0</v>
      </c>
      <c r="AT403" s="48">
        <f t="shared" si="229"/>
        <v>0</v>
      </c>
      <c r="AU403" s="48">
        <f t="shared" si="230"/>
        <v>0</v>
      </c>
      <c r="AV403" s="48">
        <f t="shared" si="231"/>
        <v>0</v>
      </c>
      <c r="AW403" s="48">
        <f>IF(N403="ПП",РПП*AB403*(V403/1.5),IF(N403="ВП",ВПр*AB403*(V403/1.5),IF(N403="РПА",РПА*AB403*(V403/1.5),IF(N403="КПА",кпа*AB403*(V403/1.5),0))))</f>
        <v>0</v>
      </c>
      <c r="AX403" s="48">
        <f t="shared" si="232"/>
        <v>0</v>
      </c>
      <c r="AY403" s="48">
        <f t="shared" si="233"/>
        <v>0</v>
      </c>
      <c r="AZ403" s="48">
        <f t="shared" si="234"/>
        <v>0</v>
      </c>
      <c r="BA403" s="48">
        <f t="shared" si="235"/>
        <v>0</v>
      </c>
      <c r="BB403" s="48">
        <f t="shared" si="236"/>
        <v>0</v>
      </c>
      <c r="BC403" s="48">
        <f t="shared" si="237"/>
        <v>0</v>
      </c>
      <c r="BD403" s="48">
        <f t="shared" si="238"/>
        <v>0</v>
      </c>
      <c r="BE403" s="48">
        <f t="shared" si="239"/>
        <v>0</v>
      </c>
      <c r="BF403" s="49">
        <f t="shared" si="240"/>
        <v>36</v>
      </c>
      <c r="BG403" s="50"/>
      <c r="BH403" s="51">
        <f t="shared" si="241"/>
        <v>0</v>
      </c>
      <c r="BI403" s="51">
        <f t="shared" si="242"/>
        <v>0</v>
      </c>
      <c r="BJ403" s="51">
        <f t="shared" si="243"/>
        <v>0</v>
      </c>
      <c r="BK403" s="52">
        <f t="shared" si="244"/>
        <v>36</v>
      </c>
      <c r="BL403" s="52">
        <f t="shared" si="245"/>
        <v>1</v>
      </c>
      <c r="BM403" s="52">
        <f t="shared" si="246"/>
        <v>0</v>
      </c>
    </row>
    <row r="404" spans="1:65" ht="30" customHeight="1" x14ac:dyDescent="0.25">
      <c r="A404" s="31" t="str">
        <f t="shared" si="212"/>
        <v>Д</v>
      </c>
      <c r="B404" s="31" t="str">
        <f t="shared" si="213"/>
        <v>Б</v>
      </c>
      <c r="C404" s="32" t="s">
        <v>226</v>
      </c>
      <c r="D404" s="33" t="str">
        <f t="shared" si="214"/>
        <v>Факультет физико-математических и естественных наук</v>
      </c>
      <c r="E404" s="34" t="str">
        <f t="shared" si="215"/>
        <v>'38.03.05</v>
      </c>
      <c r="F404" s="35" t="str">
        <f t="shared" si="216"/>
        <v>Бизнес-информатика</v>
      </c>
      <c r="G404" s="36" t="s">
        <v>76</v>
      </c>
      <c r="H404" s="36" t="s">
        <v>183</v>
      </c>
      <c r="I404" s="37"/>
      <c r="J404" s="37"/>
      <c r="K404" s="38" t="s">
        <v>235</v>
      </c>
      <c r="L404" s="39">
        <v>6</v>
      </c>
      <c r="M404" s="39">
        <v>18</v>
      </c>
      <c r="N404" s="40" t="s">
        <v>94</v>
      </c>
      <c r="O404" s="39"/>
      <c r="P404" s="39">
        <v>2</v>
      </c>
      <c r="Q404" s="39"/>
      <c r="R404" s="40"/>
      <c r="S404" s="41"/>
      <c r="T404" s="41"/>
      <c r="U404" s="41"/>
      <c r="V404" s="41"/>
      <c r="W404" s="41"/>
      <c r="X404" s="42" t="str">
        <f t="shared" si="217"/>
        <v>НБИбд</v>
      </c>
      <c r="Y404" s="43" t="s">
        <v>128</v>
      </c>
      <c r="Z404" s="39">
        <v>1</v>
      </c>
      <c r="AA404" s="39">
        <v>1</v>
      </c>
      <c r="AB404" s="42">
        <f t="shared" si="218"/>
        <v>0</v>
      </c>
      <c r="AC404" s="39"/>
      <c r="AD404" s="39"/>
      <c r="AE404" s="44">
        <f t="shared" si="219"/>
        <v>12</v>
      </c>
      <c r="AF404" s="45">
        <f t="shared" si="220"/>
        <v>0</v>
      </c>
      <c r="AG404" s="45">
        <f t="shared" si="221"/>
        <v>0</v>
      </c>
      <c r="AH404" s="46" t="s">
        <v>82</v>
      </c>
      <c r="AI404" s="40" t="s">
        <v>83</v>
      </c>
      <c r="AJ404" s="40" t="s">
        <v>84</v>
      </c>
      <c r="AK404" s="47" t="s">
        <v>204</v>
      </c>
      <c r="AL404" s="40"/>
      <c r="AM404" s="48">
        <f t="shared" si="222"/>
        <v>0</v>
      </c>
      <c r="AN404" s="48">
        <f t="shared" si="223"/>
        <v>0</v>
      </c>
      <c r="AO404" s="48">
        <f t="shared" si="224"/>
        <v>0</v>
      </c>
      <c r="AP404" s="48">
        <f t="shared" si="225"/>
        <v>0</v>
      </c>
      <c r="AQ404" s="48">
        <f t="shared" si="226"/>
        <v>0</v>
      </c>
      <c r="AR404" s="48">
        <f t="shared" si="227"/>
        <v>0</v>
      </c>
      <c r="AS404" s="48">
        <f t="shared" si="228"/>
        <v>0</v>
      </c>
      <c r="AT404" s="48">
        <f t="shared" si="229"/>
        <v>0</v>
      </c>
      <c r="AU404" s="48">
        <f t="shared" si="230"/>
        <v>0</v>
      </c>
      <c r="AV404" s="48">
        <f t="shared" si="231"/>
        <v>0</v>
      </c>
      <c r="AW404" s="48">
        <f>IF(N404="ПП",РПП*AB404*(V404/1.5),IF(N404="ВП",ВПр*AB404*(V404/1.5),IF(N404="РПА",РПА*AB404*(V404/1.5),IF(N404="КПА",кпа*AB404*(V404/1.5),0))))</f>
        <v>0</v>
      </c>
      <c r="AX404" s="48">
        <f t="shared" si="232"/>
        <v>0</v>
      </c>
      <c r="AY404" s="48">
        <f t="shared" si="233"/>
        <v>0</v>
      </c>
      <c r="AZ404" s="48">
        <f t="shared" si="234"/>
        <v>0</v>
      </c>
      <c r="BA404" s="48">
        <f t="shared" si="235"/>
        <v>0</v>
      </c>
      <c r="BB404" s="48">
        <f t="shared" si="236"/>
        <v>0</v>
      </c>
      <c r="BC404" s="48">
        <f t="shared" si="237"/>
        <v>0</v>
      </c>
      <c r="BD404" s="48">
        <f t="shared" si="238"/>
        <v>0</v>
      </c>
      <c r="BE404" s="48">
        <f t="shared" si="239"/>
        <v>0</v>
      </c>
      <c r="BF404" s="49">
        <f t="shared" si="240"/>
        <v>0</v>
      </c>
      <c r="BG404" s="50"/>
      <c r="BH404" s="51">
        <f t="shared" si="241"/>
        <v>0</v>
      </c>
      <c r="BI404" s="51">
        <f t="shared" si="242"/>
        <v>0</v>
      </c>
      <c r="BJ404" s="51">
        <f t="shared" si="243"/>
        <v>0</v>
      </c>
      <c r="BK404" s="52">
        <f t="shared" si="244"/>
        <v>0</v>
      </c>
      <c r="BL404" s="52">
        <f t="shared" si="245"/>
        <v>0</v>
      </c>
      <c r="BM404" s="52">
        <f t="shared" si="246"/>
        <v>0</v>
      </c>
    </row>
    <row r="405" spans="1:65" ht="30" customHeight="1" x14ac:dyDescent="0.25">
      <c r="A405" s="31" t="str">
        <f t="shared" si="212"/>
        <v>Д</v>
      </c>
      <c r="B405" s="31" t="str">
        <f t="shared" si="213"/>
        <v>Б</v>
      </c>
      <c r="C405" s="32" t="s">
        <v>226</v>
      </c>
      <c r="D405" s="33" t="str">
        <f t="shared" si="214"/>
        <v>Факультет физико-математических и естественных наук</v>
      </c>
      <c r="E405" s="34" t="str">
        <f t="shared" si="215"/>
        <v>'38.03.05</v>
      </c>
      <c r="F405" s="35" t="str">
        <f t="shared" si="216"/>
        <v>Бизнес-информатика</v>
      </c>
      <c r="G405" s="36" t="s">
        <v>76</v>
      </c>
      <c r="H405" s="36" t="s">
        <v>135</v>
      </c>
      <c r="I405" s="37"/>
      <c r="J405" s="37" t="s">
        <v>154</v>
      </c>
      <c r="K405" s="38" t="s">
        <v>145</v>
      </c>
      <c r="L405" s="39">
        <v>6</v>
      </c>
      <c r="M405" s="39">
        <v>18</v>
      </c>
      <c r="N405" s="40" t="s">
        <v>79</v>
      </c>
      <c r="O405" s="39">
        <v>1</v>
      </c>
      <c r="P405" s="39"/>
      <c r="Q405" s="39"/>
      <c r="R405" s="40"/>
      <c r="S405" s="41"/>
      <c r="T405" s="41"/>
      <c r="U405" s="41"/>
      <c r="V405" s="41"/>
      <c r="W405" s="41"/>
      <c r="X405" s="42" t="str">
        <f t="shared" si="217"/>
        <v>НБИбд</v>
      </c>
      <c r="Y405" s="43" t="s">
        <v>128</v>
      </c>
      <c r="Z405" s="39">
        <v>2</v>
      </c>
      <c r="AA405" s="39">
        <v>1</v>
      </c>
      <c r="AB405" s="42">
        <f t="shared" si="218"/>
        <v>15</v>
      </c>
      <c r="AC405" s="39">
        <v>14</v>
      </c>
      <c r="AD405" s="39">
        <v>1</v>
      </c>
      <c r="AE405" s="44">
        <f t="shared" si="219"/>
        <v>15</v>
      </c>
      <c r="AF405" s="45">
        <f t="shared" si="220"/>
        <v>1</v>
      </c>
      <c r="AG405" s="45">
        <f t="shared" si="221"/>
        <v>1</v>
      </c>
      <c r="AH405" s="46" t="s">
        <v>82</v>
      </c>
      <c r="AI405" s="40" t="s">
        <v>83</v>
      </c>
      <c r="AJ405" s="40" t="s">
        <v>116</v>
      </c>
      <c r="AK405" s="47" t="s">
        <v>122</v>
      </c>
      <c r="AL405" s="40"/>
      <c r="AM405" s="48">
        <f t="shared" si="222"/>
        <v>18</v>
      </c>
      <c r="AN405" s="48">
        <f t="shared" si="223"/>
        <v>0</v>
      </c>
      <c r="AO405" s="48">
        <f t="shared" si="224"/>
        <v>0</v>
      </c>
      <c r="AP405" s="48">
        <f t="shared" si="225"/>
        <v>0</v>
      </c>
      <c r="AQ405" s="48">
        <f t="shared" si="226"/>
        <v>0</v>
      </c>
      <c r="AR405" s="48">
        <f t="shared" si="227"/>
        <v>0</v>
      </c>
      <c r="AS405" s="48">
        <f t="shared" si="228"/>
        <v>0.9</v>
      </c>
      <c r="AT405" s="48">
        <f t="shared" si="229"/>
        <v>0</v>
      </c>
      <c r="AU405" s="48">
        <f t="shared" si="230"/>
        <v>0</v>
      </c>
      <c r="AV405" s="48">
        <f t="shared" si="231"/>
        <v>0</v>
      </c>
      <c r="AW405" s="48">
        <f>IF(N405="ПП",РПП*AB405*(V405/1.5),IF(N405="ВП",ВПр*AB405*(V405/1.5),IF(N405="РПА",РПА*AB405*(V405/1.5),IF(N405="КПА",кпа*AB405*(V405/1.5),0))))</f>
        <v>0</v>
      </c>
      <c r="AX405" s="48">
        <f t="shared" si="232"/>
        <v>0</v>
      </c>
      <c r="AY405" s="48">
        <f t="shared" si="233"/>
        <v>0</v>
      </c>
      <c r="AZ405" s="48">
        <f t="shared" si="234"/>
        <v>0</v>
      </c>
      <c r="BA405" s="48">
        <f t="shared" si="235"/>
        <v>0</v>
      </c>
      <c r="BB405" s="48">
        <f t="shared" si="236"/>
        <v>0</v>
      </c>
      <c r="BC405" s="48">
        <f t="shared" si="237"/>
        <v>0</v>
      </c>
      <c r="BD405" s="48">
        <f t="shared" si="238"/>
        <v>0</v>
      </c>
      <c r="BE405" s="48">
        <f t="shared" si="239"/>
        <v>0</v>
      </c>
      <c r="BF405" s="49">
        <f t="shared" si="240"/>
        <v>18.899999999999999</v>
      </c>
      <c r="BG405" s="50"/>
      <c r="BH405" s="51">
        <f t="shared" si="241"/>
        <v>0</v>
      </c>
      <c r="BI405" s="51">
        <f t="shared" si="242"/>
        <v>0</v>
      </c>
      <c r="BJ405" s="51">
        <f t="shared" si="243"/>
        <v>0</v>
      </c>
      <c r="BK405" s="52">
        <f t="shared" si="244"/>
        <v>18</v>
      </c>
      <c r="BL405" s="52">
        <f t="shared" si="245"/>
        <v>0.5</v>
      </c>
      <c r="BM405" s="52">
        <f t="shared" si="246"/>
        <v>0.9</v>
      </c>
    </row>
    <row r="406" spans="1:65" ht="30" customHeight="1" x14ac:dyDescent="0.25">
      <c r="A406" s="31" t="str">
        <f t="shared" si="212"/>
        <v>Д</v>
      </c>
      <c r="B406" s="31" t="str">
        <f t="shared" si="213"/>
        <v>Б</v>
      </c>
      <c r="C406" s="32" t="s">
        <v>226</v>
      </c>
      <c r="D406" s="33" t="str">
        <f t="shared" si="214"/>
        <v>Факультет физико-математических и естественных наук</v>
      </c>
      <c r="E406" s="34" t="str">
        <f t="shared" si="215"/>
        <v>'38.03.05</v>
      </c>
      <c r="F406" s="35" t="str">
        <f t="shared" si="216"/>
        <v>Бизнес-информатика</v>
      </c>
      <c r="G406" s="36" t="s">
        <v>76</v>
      </c>
      <c r="H406" s="36" t="s">
        <v>135</v>
      </c>
      <c r="I406" s="37"/>
      <c r="J406" s="37" t="s">
        <v>154</v>
      </c>
      <c r="K406" s="38" t="s">
        <v>145</v>
      </c>
      <c r="L406" s="39">
        <v>6</v>
      </c>
      <c r="M406" s="39">
        <v>18</v>
      </c>
      <c r="N406" s="40" t="s">
        <v>94</v>
      </c>
      <c r="O406" s="39"/>
      <c r="P406" s="39">
        <v>2</v>
      </c>
      <c r="Q406" s="39"/>
      <c r="R406" s="40" t="s">
        <v>95</v>
      </c>
      <c r="S406" s="41"/>
      <c r="T406" s="41"/>
      <c r="U406" s="41"/>
      <c r="V406" s="41"/>
      <c r="W406" s="41"/>
      <c r="X406" s="42" t="str">
        <f t="shared" si="217"/>
        <v>НБИбд</v>
      </c>
      <c r="Y406" s="43" t="s">
        <v>128</v>
      </c>
      <c r="Z406" s="39">
        <v>2</v>
      </c>
      <c r="AA406" s="39">
        <v>1</v>
      </c>
      <c r="AB406" s="42">
        <f t="shared" si="218"/>
        <v>15</v>
      </c>
      <c r="AC406" s="39">
        <v>14</v>
      </c>
      <c r="AD406" s="39">
        <v>1</v>
      </c>
      <c r="AE406" s="44">
        <f t="shared" si="219"/>
        <v>12</v>
      </c>
      <c r="AF406" s="45">
        <f t="shared" si="220"/>
        <v>1</v>
      </c>
      <c r="AG406" s="45">
        <f t="shared" si="221"/>
        <v>1.25</v>
      </c>
      <c r="AH406" s="46" t="s">
        <v>82</v>
      </c>
      <c r="AI406" s="40" t="s">
        <v>99</v>
      </c>
      <c r="AJ406" s="40" t="s">
        <v>116</v>
      </c>
      <c r="AK406" s="47" t="s">
        <v>120</v>
      </c>
      <c r="AL406" s="40"/>
      <c r="AM406" s="48">
        <f t="shared" si="222"/>
        <v>0</v>
      </c>
      <c r="AN406" s="48">
        <f t="shared" si="223"/>
        <v>0</v>
      </c>
      <c r="AO406" s="48">
        <f t="shared" si="224"/>
        <v>36</v>
      </c>
      <c r="AP406" s="48">
        <f t="shared" si="225"/>
        <v>4.95</v>
      </c>
      <c r="AQ406" s="48">
        <f t="shared" si="226"/>
        <v>7.5</v>
      </c>
      <c r="AR406" s="48">
        <f t="shared" si="227"/>
        <v>1</v>
      </c>
      <c r="AS406" s="48">
        <f t="shared" si="228"/>
        <v>0</v>
      </c>
      <c r="AT406" s="48">
        <f t="shared" si="229"/>
        <v>0</v>
      </c>
      <c r="AU406" s="48">
        <f t="shared" si="230"/>
        <v>0</v>
      </c>
      <c r="AV406" s="48">
        <f t="shared" si="231"/>
        <v>0</v>
      </c>
      <c r="AW406" s="48">
        <f>IF(N406="ПП",РПП*AB406*(V406/1.5),IF(N406="ВП",ВПр*AB406*(V406/1.5),IF(N406="РПА",РПА*AB406*(V406/1.5),IF(N406="КПА",кпа*AB406*(V406/1.5),0))))</f>
        <v>0</v>
      </c>
      <c r="AX406" s="48">
        <f t="shared" si="232"/>
        <v>0</v>
      </c>
      <c r="AY406" s="48">
        <f t="shared" si="233"/>
        <v>0</v>
      </c>
      <c r="AZ406" s="48">
        <f t="shared" si="234"/>
        <v>0</v>
      </c>
      <c r="BA406" s="48">
        <f t="shared" si="235"/>
        <v>0</v>
      </c>
      <c r="BB406" s="48">
        <f t="shared" si="236"/>
        <v>0</v>
      </c>
      <c r="BC406" s="48">
        <f t="shared" si="237"/>
        <v>0</v>
      </c>
      <c r="BD406" s="48">
        <f t="shared" si="238"/>
        <v>0</v>
      </c>
      <c r="BE406" s="48">
        <f t="shared" si="239"/>
        <v>0</v>
      </c>
      <c r="BF406" s="49">
        <f t="shared" si="240"/>
        <v>49.45</v>
      </c>
      <c r="BG406" s="50"/>
      <c r="BH406" s="51">
        <f t="shared" si="241"/>
        <v>0</v>
      </c>
      <c r="BI406" s="51">
        <f t="shared" si="242"/>
        <v>0</v>
      </c>
      <c r="BJ406" s="51">
        <f t="shared" si="243"/>
        <v>0</v>
      </c>
      <c r="BK406" s="52">
        <f t="shared" si="244"/>
        <v>36</v>
      </c>
      <c r="BL406" s="52">
        <f t="shared" si="245"/>
        <v>1</v>
      </c>
      <c r="BM406" s="52">
        <f t="shared" si="246"/>
        <v>13.45</v>
      </c>
    </row>
    <row r="407" spans="1:65" ht="30" customHeight="1" x14ac:dyDescent="0.25">
      <c r="A407" s="31" t="str">
        <f t="shared" si="212"/>
        <v>Д</v>
      </c>
      <c r="B407" s="31" t="str">
        <f t="shared" si="213"/>
        <v>Б</v>
      </c>
      <c r="C407" s="32" t="s">
        <v>226</v>
      </c>
      <c r="D407" s="33" t="str">
        <f t="shared" si="214"/>
        <v>Факультет физико-математических и естественных наук</v>
      </c>
      <c r="E407" s="34" t="str">
        <f t="shared" si="215"/>
        <v>'38.03.05</v>
      </c>
      <c r="F407" s="35" t="str">
        <f t="shared" si="216"/>
        <v>Бизнес-информатика</v>
      </c>
      <c r="G407" s="36" t="s">
        <v>76</v>
      </c>
      <c r="H407" s="36" t="s">
        <v>135</v>
      </c>
      <c r="I407" s="37"/>
      <c r="J407" s="37" t="s">
        <v>154</v>
      </c>
      <c r="K407" s="38" t="s">
        <v>151</v>
      </c>
      <c r="L407" s="39">
        <v>6</v>
      </c>
      <c r="M407" s="39">
        <v>18</v>
      </c>
      <c r="N407" s="40" t="s">
        <v>79</v>
      </c>
      <c r="O407" s="39">
        <v>1</v>
      </c>
      <c r="P407" s="39"/>
      <c r="Q407" s="39"/>
      <c r="R407" s="40"/>
      <c r="S407" s="41"/>
      <c r="T407" s="41"/>
      <c r="U407" s="41"/>
      <c r="V407" s="41"/>
      <c r="W407" s="41"/>
      <c r="X407" s="42" t="str">
        <f t="shared" si="217"/>
        <v>НБИбд</v>
      </c>
      <c r="Y407" s="43" t="s">
        <v>128</v>
      </c>
      <c r="Z407" s="39">
        <v>2</v>
      </c>
      <c r="AA407" s="39">
        <v>1</v>
      </c>
      <c r="AB407" s="42">
        <f t="shared" si="218"/>
        <v>15</v>
      </c>
      <c r="AC407" s="39">
        <v>14</v>
      </c>
      <c r="AD407" s="39">
        <v>1</v>
      </c>
      <c r="AE407" s="44">
        <f t="shared" si="219"/>
        <v>15</v>
      </c>
      <c r="AF407" s="45">
        <f t="shared" si="220"/>
        <v>1</v>
      </c>
      <c r="AG407" s="45">
        <f t="shared" si="221"/>
        <v>1</v>
      </c>
      <c r="AH407" s="46" t="s">
        <v>82</v>
      </c>
      <c r="AI407" s="40" t="s">
        <v>83</v>
      </c>
      <c r="AJ407" s="40" t="s">
        <v>84</v>
      </c>
      <c r="AK407" s="47" t="s">
        <v>144</v>
      </c>
      <c r="AL407" s="40"/>
      <c r="AM407" s="48">
        <f t="shared" si="222"/>
        <v>18</v>
      </c>
      <c r="AN407" s="48">
        <f t="shared" si="223"/>
        <v>0</v>
      </c>
      <c r="AO407" s="48">
        <f t="shared" si="224"/>
        <v>0</v>
      </c>
      <c r="AP407" s="48">
        <f t="shared" si="225"/>
        <v>0</v>
      </c>
      <c r="AQ407" s="48">
        <f t="shared" si="226"/>
        <v>0</v>
      </c>
      <c r="AR407" s="48">
        <f t="shared" si="227"/>
        <v>0</v>
      </c>
      <c r="AS407" s="48">
        <f t="shared" si="228"/>
        <v>0.9</v>
      </c>
      <c r="AT407" s="48">
        <f t="shared" si="229"/>
        <v>0</v>
      </c>
      <c r="AU407" s="48">
        <f t="shared" si="230"/>
        <v>0</v>
      </c>
      <c r="AV407" s="48">
        <f t="shared" si="231"/>
        <v>0</v>
      </c>
      <c r="AW407" s="48">
        <f>IF(N407="ПП",РПП*AB407*(V407/1.5),IF(N407="ВП",ВПр*AB407*(V407/1.5),IF(N407="РПА",РПА*AB407*(V407/1.5),IF(N407="КПА",кпа*AB407*(V407/1.5),0))))</f>
        <v>0</v>
      </c>
      <c r="AX407" s="48">
        <f t="shared" si="232"/>
        <v>0</v>
      </c>
      <c r="AY407" s="48">
        <f t="shared" si="233"/>
        <v>0</v>
      </c>
      <c r="AZ407" s="48">
        <f t="shared" si="234"/>
        <v>0</v>
      </c>
      <c r="BA407" s="48">
        <f t="shared" si="235"/>
        <v>0</v>
      </c>
      <c r="BB407" s="48">
        <f t="shared" si="236"/>
        <v>0</v>
      </c>
      <c r="BC407" s="48">
        <f t="shared" si="237"/>
        <v>0</v>
      </c>
      <c r="BD407" s="48">
        <f t="shared" si="238"/>
        <v>0</v>
      </c>
      <c r="BE407" s="48">
        <f t="shared" si="239"/>
        <v>0</v>
      </c>
      <c r="BF407" s="49">
        <f t="shared" si="240"/>
        <v>18.899999999999999</v>
      </c>
      <c r="BG407" s="50"/>
      <c r="BH407" s="51">
        <f t="shared" si="241"/>
        <v>0</v>
      </c>
      <c r="BI407" s="51">
        <f t="shared" si="242"/>
        <v>0</v>
      </c>
      <c r="BJ407" s="51">
        <f t="shared" si="243"/>
        <v>0</v>
      </c>
      <c r="BK407" s="52">
        <f t="shared" si="244"/>
        <v>18</v>
      </c>
      <c r="BL407" s="52">
        <f t="shared" si="245"/>
        <v>0.5</v>
      </c>
      <c r="BM407" s="52">
        <f t="shared" si="246"/>
        <v>0.9</v>
      </c>
    </row>
    <row r="408" spans="1:65" ht="30" customHeight="1" x14ac:dyDescent="0.25">
      <c r="A408" s="31" t="str">
        <f t="shared" si="212"/>
        <v>Д</v>
      </c>
      <c r="B408" s="31" t="str">
        <f t="shared" si="213"/>
        <v>Б</v>
      </c>
      <c r="C408" s="32" t="s">
        <v>226</v>
      </c>
      <c r="D408" s="33" t="str">
        <f t="shared" si="214"/>
        <v>Факультет физико-математических и естественных наук</v>
      </c>
      <c r="E408" s="34" t="str">
        <f t="shared" si="215"/>
        <v>'38.03.05</v>
      </c>
      <c r="F408" s="35" t="str">
        <f t="shared" si="216"/>
        <v>Бизнес-информатика</v>
      </c>
      <c r="G408" s="36" t="s">
        <v>76</v>
      </c>
      <c r="H408" s="36" t="s">
        <v>135</v>
      </c>
      <c r="I408" s="37"/>
      <c r="J408" s="37" t="s">
        <v>154</v>
      </c>
      <c r="K408" s="38" t="s">
        <v>151</v>
      </c>
      <c r="L408" s="39">
        <v>6</v>
      </c>
      <c r="M408" s="39">
        <v>18</v>
      </c>
      <c r="N408" s="40" t="s">
        <v>94</v>
      </c>
      <c r="O408" s="39"/>
      <c r="P408" s="39">
        <v>2</v>
      </c>
      <c r="Q408" s="39"/>
      <c r="R408" s="40" t="s">
        <v>95</v>
      </c>
      <c r="S408" s="41"/>
      <c r="T408" s="41"/>
      <c r="U408" s="41"/>
      <c r="V408" s="41"/>
      <c r="W408" s="41"/>
      <c r="X408" s="42" t="str">
        <f t="shared" si="217"/>
        <v>НБИбд</v>
      </c>
      <c r="Y408" s="43" t="s">
        <v>128</v>
      </c>
      <c r="Z408" s="39">
        <v>2</v>
      </c>
      <c r="AA408" s="39">
        <v>1</v>
      </c>
      <c r="AB408" s="42">
        <f t="shared" si="218"/>
        <v>15</v>
      </c>
      <c r="AC408" s="39">
        <v>14</v>
      </c>
      <c r="AD408" s="39">
        <v>1</v>
      </c>
      <c r="AE408" s="44">
        <f t="shared" si="219"/>
        <v>12</v>
      </c>
      <c r="AF408" s="45">
        <f t="shared" si="220"/>
        <v>1</v>
      </c>
      <c r="AG408" s="45">
        <f t="shared" si="221"/>
        <v>1.25</v>
      </c>
      <c r="AH408" s="46" t="s">
        <v>82</v>
      </c>
      <c r="AI408" s="40" t="s">
        <v>83</v>
      </c>
      <c r="AJ408" s="40" t="s">
        <v>84</v>
      </c>
      <c r="AK408" s="47" t="s">
        <v>144</v>
      </c>
      <c r="AL408" s="40"/>
      <c r="AM408" s="48">
        <f t="shared" si="222"/>
        <v>0</v>
      </c>
      <c r="AN408" s="48">
        <f t="shared" si="223"/>
        <v>0</v>
      </c>
      <c r="AO408" s="48">
        <f t="shared" si="224"/>
        <v>36</v>
      </c>
      <c r="AP408" s="48">
        <f t="shared" si="225"/>
        <v>4.95</v>
      </c>
      <c r="AQ408" s="48">
        <f t="shared" si="226"/>
        <v>7.5</v>
      </c>
      <c r="AR408" s="48">
        <f t="shared" si="227"/>
        <v>1</v>
      </c>
      <c r="AS408" s="48">
        <f t="shared" si="228"/>
        <v>0</v>
      </c>
      <c r="AT408" s="48">
        <f t="shared" si="229"/>
        <v>0</v>
      </c>
      <c r="AU408" s="48">
        <f t="shared" si="230"/>
        <v>0</v>
      </c>
      <c r="AV408" s="48">
        <f t="shared" si="231"/>
        <v>0</v>
      </c>
      <c r="AW408" s="48">
        <f>IF(N408="ПП",РПП*AB408*(V408/1.5),IF(N408="ВП",ВПр*AB408*(V408/1.5),IF(N408="РПА",РПА*AB408*(V408/1.5),IF(N408="КПА",кпа*AB408*(V408/1.5),0))))</f>
        <v>0</v>
      </c>
      <c r="AX408" s="48">
        <f t="shared" si="232"/>
        <v>0</v>
      </c>
      <c r="AY408" s="48">
        <f t="shared" si="233"/>
        <v>0</v>
      </c>
      <c r="AZ408" s="48">
        <f t="shared" si="234"/>
        <v>0</v>
      </c>
      <c r="BA408" s="48">
        <f t="shared" si="235"/>
        <v>0</v>
      </c>
      <c r="BB408" s="48">
        <f t="shared" si="236"/>
        <v>0</v>
      </c>
      <c r="BC408" s="48">
        <f t="shared" si="237"/>
        <v>0</v>
      </c>
      <c r="BD408" s="48">
        <f t="shared" si="238"/>
        <v>0</v>
      </c>
      <c r="BE408" s="48">
        <f t="shared" si="239"/>
        <v>0</v>
      </c>
      <c r="BF408" s="49">
        <f t="shared" si="240"/>
        <v>49.45</v>
      </c>
      <c r="BG408" s="50"/>
      <c r="BH408" s="51">
        <f t="shared" si="241"/>
        <v>0</v>
      </c>
      <c r="BI408" s="51">
        <f t="shared" si="242"/>
        <v>0</v>
      </c>
      <c r="BJ408" s="51">
        <f t="shared" si="243"/>
        <v>0</v>
      </c>
      <c r="BK408" s="52">
        <f t="shared" si="244"/>
        <v>36</v>
      </c>
      <c r="BL408" s="52">
        <f t="shared" si="245"/>
        <v>1</v>
      </c>
      <c r="BM408" s="52">
        <f t="shared" si="246"/>
        <v>13.45</v>
      </c>
    </row>
    <row r="409" spans="1:65" ht="30" customHeight="1" x14ac:dyDescent="0.25">
      <c r="A409" s="31" t="str">
        <f t="shared" si="212"/>
        <v>Д</v>
      </c>
      <c r="B409" s="31" t="str">
        <f t="shared" si="213"/>
        <v>Б</v>
      </c>
      <c r="C409" s="32" t="s">
        <v>226</v>
      </c>
      <c r="D409" s="33" t="str">
        <f t="shared" si="214"/>
        <v>Факультет физико-математических и естественных наук</v>
      </c>
      <c r="E409" s="34" t="str">
        <f t="shared" si="215"/>
        <v>'38.03.05</v>
      </c>
      <c r="F409" s="35" t="str">
        <f t="shared" si="216"/>
        <v>Бизнес-информатика</v>
      </c>
      <c r="G409" s="36" t="s">
        <v>153</v>
      </c>
      <c r="H409" s="36" t="s">
        <v>77</v>
      </c>
      <c r="I409" s="37"/>
      <c r="J409" s="37" t="s">
        <v>154</v>
      </c>
      <c r="K409" s="38" t="s">
        <v>155</v>
      </c>
      <c r="L409" s="39">
        <v>6</v>
      </c>
      <c r="M409" s="39">
        <v>18</v>
      </c>
      <c r="N409" s="40" t="s">
        <v>156</v>
      </c>
      <c r="O409" s="39"/>
      <c r="P409" s="39"/>
      <c r="Q409" s="39"/>
      <c r="R409" s="40"/>
      <c r="S409" s="41"/>
      <c r="T409" s="41"/>
      <c r="U409" s="41">
        <v>3</v>
      </c>
      <c r="V409" s="41"/>
      <c r="W409" s="41"/>
      <c r="X409" s="42" t="str">
        <f t="shared" si="217"/>
        <v>НБИбд</v>
      </c>
      <c r="Y409" s="43" t="s">
        <v>128</v>
      </c>
      <c r="Z409" s="39">
        <v>2</v>
      </c>
      <c r="AA409" s="39">
        <v>1</v>
      </c>
      <c r="AB409" s="42">
        <f t="shared" si="218"/>
        <v>11</v>
      </c>
      <c r="AC409" s="39">
        <v>10</v>
      </c>
      <c r="AD409" s="39">
        <v>1</v>
      </c>
      <c r="AE409" s="44">
        <f t="shared" si="219"/>
        <v>1</v>
      </c>
      <c r="AF409" s="45">
        <f t="shared" si="220"/>
        <v>1</v>
      </c>
      <c r="AG409" s="45">
        <f t="shared" si="221"/>
        <v>11</v>
      </c>
      <c r="AH409" s="46" t="s">
        <v>82</v>
      </c>
      <c r="AI409" s="40" t="s">
        <v>99</v>
      </c>
      <c r="AJ409" s="40" t="s">
        <v>100</v>
      </c>
      <c r="AK409" s="47" t="s">
        <v>101</v>
      </c>
      <c r="AL409" s="40"/>
      <c r="AM409" s="48">
        <f t="shared" si="222"/>
        <v>0</v>
      </c>
      <c r="AN409" s="48">
        <f t="shared" si="223"/>
        <v>0</v>
      </c>
      <c r="AO409" s="48">
        <f t="shared" si="224"/>
        <v>0</v>
      </c>
      <c r="AP409" s="48">
        <f t="shared" si="225"/>
        <v>0</v>
      </c>
      <c r="AQ409" s="48">
        <f t="shared" si="226"/>
        <v>0</v>
      </c>
      <c r="AR409" s="48">
        <f t="shared" si="227"/>
        <v>0</v>
      </c>
      <c r="AS409" s="48">
        <f t="shared" si="228"/>
        <v>0</v>
      </c>
      <c r="AT409" s="48">
        <f t="shared" si="229"/>
        <v>0</v>
      </c>
      <c r="AU409" s="48">
        <f t="shared" si="230"/>
        <v>0</v>
      </c>
      <c r="AV409" s="48">
        <f t="shared" si="231"/>
        <v>33</v>
      </c>
      <c r="AW409" s="48">
        <f>IF(N409="ПП",РПП*AB409*(V409/1.5),IF(N409="ВП",ВПр*AB409*(V409/1.5),IF(N409="РПА",РПА*AB409*(V409/1.5),IF(N409="КПА",кпа*AB409*(V409/1.5),0))))</f>
        <v>0</v>
      </c>
      <c r="AX409" s="48">
        <f t="shared" si="232"/>
        <v>0</v>
      </c>
      <c r="AY409" s="48">
        <f t="shared" si="233"/>
        <v>0</v>
      </c>
      <c r="AZ409" s="48">
        <f t="shared" si="234"/>
        <v>0</v>
      </c>
      <c r="BA409" s="48">
        <f t="shared" si="235"/>
        <v>0</v>
      </c>
      <c r="BB409" s="48">
        <f t="shared" si="236"/>
        <v>0</v>
      </c>
      <c r="BC409" s="48">
        <f t="shared" si="237"/>
        <v>0</v>
      </c>
      <c r="BD409" s="48">
        <f t="shared" si="238"/>
        <v>0</v>
      </c>
      <c r="BE409" s="48">
        <f t="shared" si="239"/>
        <v>0</v>
      </c>
      <c r="BF409" s="49">
        <f t="shared" si="240"/>
        <v>33</v>
      </c>
      <c r="BG409" s="50"/>
      <c r="BH409" s="51">
        <f t="shared" si="241"/>
        <v>0</v>
      </c>
      <c r="BI409" s="51">
        <f t="shared" si="242"/>
        <v>0</v>
      </c>
      <c r="BJ409" s="51">
        <f t="shared" si="243"/>
        <v>0</v>
      </c>
      <c r="BK409" s="52">
        <f t="shared" si="244"/>
        <v>0</v>
      </c>
      <c r="BL409" s="52">
        <f t="shared" si="245"/>
        <v>0</v>
      </c>
      <c r="BM409" s="52">
        <f t="shared" si="246"/>
        <v>33</v>
      </c>
    </row>
    <row r="410" spans="1:65" ht="30" customHeight="1" x14ac:dyDescent="0.25">
      <c r="A410" s="31" t="str">
        <f t="shared" si="212"/>
        <v>Д</v>
      </c>
      <c r="B410" s="31" t="str">
        <f t="shared" si="213"/>
        <v>Б</v>
      </c>
      <c r="C410" s="32" t="s">
        <v>226</v>
      </c>
      <c r="D410" s="33" t="str">
        <f t="shared" si="214"/>
        <v>Факультет физико-математических и естественных наук</v>
      </c>
      <c r="E410" s="34" t="str">
        <f t="shared" si="215"/>
        <v>'38.03.05</v>
      </c>
      <c r="F410" s="35" t="str">
        <f t="shared" si="216"/>
        <v>Бизнес-информатика</v>
      </c>
      <c r="G410" s="36" t="s">
        <v>76</v>
      </c>
      <c r="H410" s="36" t="s">
        <v>135</v>
      </c>
      <c r="I410" s="37"/>
      <c r="J410" s="37" t="s">
        <v>154</v>
      </c>
      <c r="K410" s="38" t="s">
        <v>236</v>
      </c>
      <c r="L410" s="39">
        <v>7</v>
      </c>
      <c r="M410" s="39">
        <v>18</v>
      </c>
      <c r="N410" s="40" t="s">
        <v>79</v>
      </c>
      <c r="O410" s="39">
        <v>1</v>
      </c>
      <c r="P410" s="39"/>
      <c r="Q410" s="39"/>
      <c r="R410" s="40"/>
      <c r="S410" s="41"/>
      <c r="T410" s="41"/>
      <c r="U410" s="41"/>
      <c r="V410" s="41"/>
      <c r="W410" s="41"/>
      <c r="X410" s="42" t="str">
        <f t="shared" si="217"/>
        <v>НБИбд</v>
      </c>
      <c r="Y410" s="43" t="s">
        <v>161</v>
      </c>
      <c r="Z410" s="39">
        <v>2</v>
      </c>
      <c r="AA410" s="39">
        <v>1</v>
      </c>
      <c r="AB410" s="42">
        <f t="shared" si="218"/>
        <v>18</v>
      </c>
      <c r="AC410" s="39">
        <v>15</v>
      </c>
      <c r="AD410" s="39">
        <v>3</v>
      </c>
      <c r="AE410" s="44">
        <f t="shared" si="219"/>
        <v>18</v>
      </c>
      <c r="AF410" s="45">
        <f t="shared" si="220"/>
        <v>1</v>
      </c>
      <c r="AG410" s="45">
        <f t="shared" si="221"/>
        <v>1</v>
      </c>
      <c r="AH410" s="46" t="s">
        <v>82</v>
      </c>
      <c r="AI410" s="40" t="s">
        <v>83</v>
      </c>
      <c r="AJ410" s="40" t="s">
        <v>84</v>
      </c>
      <c r="AK410" s="47" t="s">
        <v>144</v>
      </c>
      <c r="AL410" s="40"/>
      <c r="AM410" s="48">
        <f t="shared" si="222"/>
        <v>18</v>
      </c>
      <c r="AN410" s="48">
        <f t="shared" si="223"/>
        <v>0</v>
      </c>
      <c r="AO410" s="48">
        <f t="shared" si="224"/>
        <v>0</v>
      </c>
      <c r="AP410" s="48">
        <f t="shared" si="225"/>
        <v>0</v>
      </c>
      <c r="AQ410" s="48">
        <f t="shared" si="226"/>
        <v>0</v>
      </c>
      <c r="AR410" s="48">
        <f t="shared" si="227"/>
        <v>0</v>
      </c>
      <c r="AS410" s="48">
        <f t="shared" si="228"/>
        <v>0.9</v>
      </c>
      <c r="AT410" s="48">
        <f t="shared" si="229"/>
        <v>0</v>
      </c>
      <c r="AU410" s="48">
        <f t="shared" si="230"/>
        <v>0</v>
      </c>
      <c r="AV410" s="48">
        <f t="shared" si="231"/>
        <v>0</v>
      </c>
      <c r="AW410" s="48">
        <f>IF(N410="ПП",РПП*AB410*(V410/1.5),IF(N410="ВП",ВПр*AB410*(V410/1.5),IF(N410="РПА",РПА*AB410*(V410/1.5),IF(N410="КПА",кпа*AB410*(V410/1.5),0))))</f>
        <v>0</v>
      </c>
      <c r="AX410" s="48">
        <f t="shared" si="232"/>
        <v>0</v>
      </c>
      <c r="AY410" s="48">
        <f t="shared" si="233"/>
        <v>0</v>
      </c>
      <c r="AZ410" s="48">
        <f t="shared" si="234"/>
        <v>0</v>
      </c>
      <c r="BA410" s="48">
        <f t="shared" si="235"/>
        <v>0</v>
      </c>
      <c r="BB410" s="48">
        <f t="shared" si="236"/>
        <v>0</v>
      </c>
      <c r="BC410" s="48">
        <f t="shared" si="237"/>
        <v>0</v>
      </c>
      <c r="BD410" s="48">
        <f t="shared" si="238"/>
        <v>0</v>
      </c>
      <c r="BE410" s="48">
        <f t="shared" si="239"/>
        <v>0</v>
      </c>
      <c r="BF410" s="49">
        <f t="shared" si="240"/>
        <v>18.899999999999999</v>
      </c>
      <c r="BG410" s="50"/>
      <c r="BH410" s="51">
        <f t="shared" si="241"/>
        <v>18</v>
      </c>
      <c r="BI410" s="51">
        <f t="shared" si="242"/>
        <v>0.5</v>
      </c>
      <c r="BJ410" s="51">
        <f t="shared" si="243"/>
        <v>0.9</v>
      </c>
      <c r="BK410" s="52">
        <f t="shared" si="244"/>
        <v>0</v>
      </c>
      <c r="BL410" s="52">
        <f t="shared" si="245"/>
        <v>0</v>
      </c>
      <c r="BM410" s="52">
        <f t="shared" si="246"/>
        <v>0</v>
      </c>
    </row>
    <row r="411" spans="1:65" ht="30" customHeight="1" x14ac:dyDescent="0.25">
      <c r="A411" s="31" t="str">
        <f t="shared" si="212"/>
        <v>Д</v>
      </c>
      <c r="B411" s="31" t="str">
        <f t="shared" si="213"/>
        <v>Б</v>
      </c>
      <c r="C411" s="32" t="s">
        <v>226</v>
      </c>
      <c r="D411" s="33" t="str">
        <f t="shared" si="214"/>
        <v>Факультет физико-математических и естественных наук</v>
      </c>
      <c r="E411" s="34" t="str">
        <f t="shared" si="215"/>
        <v>'38.03.05</v>
      </c>
      <c r="F411" s="35" t="str">
        <f t="shared" si="216"/>
        <v>Бизнес-информатика</v>
      </c>
      <c r="G411" s="36" t="s">
        <v>76</v>
      </c>
      <c r="H411" s="36" t="s">
        <v>135</v>
      </c>
      <c r="I411" s="37"/>
      <c r="J411" s="37" t="s">
        <v>154</v>
      </c>
      <c r="K411" s="38" t="s">
        <v>236</v>
      </c>
      <c r="L411" s="39">
        <v>7</v>
      </c>
      <c r="M411" s="39">
        <v>18</v>
      </c>
      <c r="N411" s="40" t="s">
        <v>86</v>
      </c>
      <c r="O411" s="39"/>
      <c r="P411" s="39"/>
      <c r="Q411" s="39">
        <v>2</v>
      </c>
      <c r="R411" s="40" t="s">
        <v>95</v>
      </c>
      <c r="S411" s="41"/>
      <c r="T411" s="41"/>
      <c r="U411" s="41"/>
      <c r="V411" s="41"/>
      <c r="W411" s="41"/>
      <c r="X411" s="42" t="str">
        <f t="shared" si="217"/>
        <v>НБИбд</v>
      </c>
      <c r="Y411" s="43" t="s">
        <v>161</v>
      </c>
      <c r="Z411" s="39">
        <v>2</v>
      </c>
      <c r="AA411" s="39">
        <v>1</v>
      </c>
      <c r="AB411" s="42">
        <f t="shared" si="218"/>
        <v>18</v>
      </c>
      <c r="AC411" s="39">
        <v>15</v>
      </c>
      <c r="AD411" s="39">
        <v>3</v>
      </c>
      <c r="AE411" s="44">
        <f t="shared" si="219"/>
        <v>24</v>
      </c>
      <c r="AF411" s="45">
        <f t="shared" si="220"/>
        <v>0.75</v>
      </c>
      <c r="AG411" s="45">
        <f t="shared" si="221"/>
        <v>0.75</v>
      </c>
      <c r="AH411" s="46" t="s">
        <v>82</v>
      </c>
      <c r="AI411" s="40" t="s">
        <v>83</v>
      </c>
      <c r="AJ411" s="40" t="s">
        <v>84</v>
      </c>
      <c r="AK411" s="47" t="s">
        <v>144</v>
      </c>
      <c r="AL411" s="40"/>
      <c r="AM411" s="48">
        <f t="shared" si="222"/>
        <v>0</v>
      </c>
      <c r="AN411" s="48">
        <f t="shared" si="223"/>
        <v>27</v>
      </c>
      <c r="AO411" s="48">
        <f t="shared" si="224"/>
        <v>0</v>
      </c>
      <c r="AP411" s="48">
        <f t="shared" si="225"/>
        <v>5.94</v>
      </c>
      <c r="AQ411" s="48">
        <f t="shared" si="226"/>
        <v>9</v>
      </c>
      <c r="AR411" s="48">
        <f t="shared" si="227"/>
        <v>0.75</v>
      </c>
      <c r="AS411" s="48">
        <f t="shared" si="228"/>
        <v>0</v>
      </c>
      <c r="AT411" s="48">
        <f t="shared" si="229"/>
        <v>0</v>
      </c>
      <c r="AU411" s="48">
        <f t="shared" si="230"/>
        <v>0</v>
      </c>
      <c r="AV411" s="48">
        <f t="shared" si="231"/>
        <v>0</v>
      </c>
      <c r="AW411" s="48">
        <f>IF(N411="ПП",РПП*AB411*(V411/1.5),IF(N411="ВП",ВПр*AB411*(V411/1.5),IF(N411="РПА",РПА*AB411*(V411/1.5),IF(N411="КПА",кпа*AB411*(V411/1.5),0))))</f>
        <v>0</v>
      </c>
      <c r="AX411" s="48">
        <f t="shared" si="232"/>
        <v>0</v>
      </c>
      <c r="AY411" s="48">
        <f t="shared" si="233"/>
        <v>0</v>
      </c>
      <c r="AZ411" s="48">
        <f t="shared" si="234"/>
        <v>0</v>
      </c>
      <c r="BA411" s="48">
        <f t="shared" si="235"/>
        <v>0</v>
      </c>
      <c r="BB411" s="48">
        <f t="shared" si="236"/>
        <v>0</v>
      </c>
      <c r="BC411" s="48">
        <f t="shared" si="237"/>
        <v>0</v>
      </c>
      <c r="BD411" s="48">
        <f t="shared" si="238"/>
        <v>0</v>
      </c>
      <c r="BE411" s="48">
        <f t="shared" si="239"/>
        <v>0</v>
      </c>
      <c r="BF411" s="49">
        <f t="shared" si="240"/>
        <v>42.69</v>
      </c>
      <c r="BG411" s="50"/>
      <c r="BH411" s="51">
        <f t="shared" si="241"/>
        <v>27</v>
      </c>
      <c r="BI411" s="51">
        <f t="shared" si="242"/>
        <v>1</v>
      </c>
      <c r="BJ411" s="51">
        <f t="shared" si="243"/>
        <v>15.690000000000001</v>
      </c>
      <c r="BK411" s="52">
        <f t="shared" si="244"/>
        <v>0</v>
      </c>
      <c r="BL411" s="52">
        <f t="shared" si="245"/>
        <v>0</v>
      </c>
      <c r="BM411" s="52">
        <f t="shared" si="246"/>
        <v>0</v>
      </c>
    </row>
    <row r="412" spans="1:65" ht="30" customHeight="1" x14ac:dyDescent="0.25">
      <c r="A412" s="31" t="str">
        <f t="shared" si="212"/>
        <v>Д</v>
      </c>
      <c r="B412" s="31" t="str">
        <f t="shared" si="213"/>
        <v>Б</v>
      </c>
      <c r="C412" s="32" t="s">
        <v>226</v>
      </c>
      <c r="D412" s="33" t="str">
        <f t="shared" si="214"/>
        <v>Факультет физико-математических и естественных наук</v>
      </c>
      <c r="E412" s="34" t="str">
        <f t="shared" si="215"/>
        <v>'38.03.05</v>
      </c>
      <c r="F412" s="35" t="str">
        <f t="shared" si="216"/>
        <v>Бизнес-информатика</v>
      </c>
      <c r="G412" s="36" t="s">
        <v>76</v>
      </c>
      <c r="H412" s="36" t="s">
        <v>135</v>
      </c>
      <c r="I412" s="37"/>
      <c r="J412" s="37" t="s">
        <v>154</v>
      </c>
      <c r="K412" s="38" t="s">
        <v>164</v>
      </c>
      <c r="L412" s="39">
        <v>7</v>
      </c>
      <c r="M412" s="39">
        <v>18</v>
      </c>
      <c r="N412" s="40" t="s">
        <v>79</v>
      </c>
      <c r="O412" s="39">
        <v>1</v>
      </c>
      <c r="P412" s="39"/>
      <c r="Q412" s="39"/>
      <c r="R412" s="40" t="s">
        <v>80</v>
      </c>
      <c r="S412" s="41"/>
      <c r="T412" s="41"/>
      <c r="U412" s="41"/>
      <c r="V412" s="41"/>
      <c r="W412" s="41"/>
      <c r="X412" s="42" t="str">
        <f t="shared" si="217"/>
        <v>НБИбд</v>
      </c>
      <c r="Y412" s="43" t="s">
        <v>161</v>
      </c>
      <c r="Z412" s="39">
        <v>2</v>
      </c>
      <c r="AA412" s="39">
        <v>1</v>
      </c>
      <c r="AB412" s="42">
        <f t="shared" si="218"/>
        <v>18</v>
      </c>
      <c r="AC412" s="39">
        <v>15</v>
      </c>
      <c r="AD412" s="39">
        <v>3</v>
      </c>
      <c r="AE412" s="44">
        <f t="shared" si="219"/>
        <v>18</v>
      </c>
      <c r="AF412" s="45">
        <f t="shared" si="220"/>
        <v>1</v>
      </c>
      <c r="AG412" s="45">
        <f t="shared" si="221"/>
        <v>1</v>
      </c>
      <c r="AH412" s="46" t="s">
        <v>82</v>
      </c>
      <c r="AI412" s="40" t="s">
        <v>83</v>
      </c>
      <c r="AJ412" s="40" t="s">
        <v>84</v>
      </c>
      <c r="AK412" s="47" t="s">
        <v>93</v>
      </c>
      <c r="AL412" s="40"/>
      <c r="AM412" s="48">
        <f t="shared" si="222"/>
        <v>18</v>
      </c>
      <c r="AN412" s="48">
        <f t="shared" si="223"/>
        <v>0</v>
      </c>
      <c r="AO412" s="48">
        <f t="shared" si="224"/>
        <v>0</v>
      </c>
      <c r="AP412" s="48">
        <f t="shared" si="225"/>
        <v>5.94</v>
      </c>
      <c r="AQ412" s="48">
        <f t="shared" si="226"/>
        <v>9</v>
      </c>
      <c r="AR412" s="48">
        <f t="shared" si="227"/>
        <v>1</v>
      </c>
      <c r="AS412" s="48">
        <f t="shared" si="228"/>
        <v>0.9</v>
      </c>
      <c r="AT412" s="48">
        <f t="shared" si="229"/>
        <v>0</v>
      </c>
      <c r="AU412" s="48">
        <f t="shared" si="230"/>
        <v>0</v>
      </c>
      <c r="AV412" s="48">
        <f t="shared" si="231"/>
        <v>0</v>
      </c>
      <c r="AW412" s="48">
        <f>IF(N412="ПП",РПП*AB412*(V412/1.5),IF(N412="ВП",ВПр*AB412*(V412/1.5),IF(N412="РПА",РПА*AB412*(V412/1.5),IF(N412="КПА",кпа*AB412*(V412/1.5),0))))</f>
        <v>0</v>
      </c>
      <c r="AX412" s="48">
        <f t="shared" si="232"/>
        <v>0</v>
      </c>
      <c r="AY412" s="48">
        <f t="shared" si="233"/>
        <v>0</v>
      </c>
      <c r="AZ412" s="48">
        <f t="shared" si="234"/>
        <v>0</v>
      </c>
      <c r="BA412" s="48">
        <f t="shared" si="235"/>
        <v>0</v>
      </c>
      <c r="BB412" s="48">
        <f t="shared" si="236"/>
        <v>0</v>
      </c>
      <c r="BC412" s="48">
        <f t="shared" si="237"/>
        <v>0</v>
      </c>
      <c r="BD412" s="48">
        <f t="shared" si="238"/>
        <v>0</v>
      </c>
      <c r="BE412" s="48">
        <f t="shared" si="239"/>
        <v>0</v>
      </c>
      <c r="BF412" s="49">
        <f t="shared" si="240"/>
        <v>34.839999999999996</v>
      </c>
      <c r="BG412" s="50"/>
      <c r="BH412" s="51">
        <f t="shared" si="241"/>
        <v>18</v>
      </c>
      <c r="BI412" s="51">
        <f t="shared" si="242"/>
        <v>0.5</v>
      </c>
      <c r="BJ412" s="51">
        <f t="shared" si="243"/>
        <v>16.84</v>
      </c>
      <c r="BK412" s="52">
        <f t="shared" si="244"/>
        <v>0</v>
      </c>
      <c r="BL412" s="52">
        <f t="shared" si="245"/>
        <v>0</v>
      </c>
      <c r="BM412" s="52">
        <f t="shared" si="246"/>
        <v>0</v>
      </c>
    </row>
    <row r="413" spans="1:65" ht="30" customHeight="1" x14ac:dyDescent="0.25">
      <c r="A413" s="31" t="str">
        <f t="shared" si="212"/>
        <v>Д</v>
      </c>
      <c r="B413" s="31" t="str">
        <f t="shared" si="213"/>
        <v>Б</v>
      </c>
      <c r="C413" s="32" t="s">
        <v>226</v>
      </c>
      <c r="D413" s="33" t="str">
        <f t="shared" si="214"/>
        <v>Факультет физико-математических и естественных наук</v>
      </c>
      <c r="E413" s="34" t="str">
        <f t="shared" si="215"/>
        <v>'38.03.05</v>
      </c>
      <c r="F413" s="35" t="str">
        <f t="shared" si="216"/>
        <v>Бизнес-информатика</v>
      </c>
      <c r="G413" s="36" t="s">
        <v>76</v>
      </c>
      <c r="H413" s="36" t="s">
        <v>135</v>
      </c>
      <c r="I413" s="37"/>
      <c r="J413" s="37" t="s">
        <v>154</v>
      </c>
      <c r="K413" s="38" t="s">
        <v>164</v>
      </c>
      <c r="L413" s="39">
        <v>7</v>
      </c>
      <c r="M413" s="39">
        <v>18</v>
      </c>
      <c r="N413" s="40" t="s">
        <v>94</v>
      </c>
      <c r="O413" s="39"/>
      <c r="P413" s="39">
        <v>2</v>
      </c>
      <c r="Q413" s="39"/>
      <c r="R413" s="40"/>
      <c r="S413" s="41"/>
      <c r="T413" s="41"/>
      <c r="U413" s="41"/>
      <c r="V413" s="41"/>
      <c r="W413" s="41"/>
      <c r="X413" s="42" t="str">
        <f t="shared" si="217"/>
        <v>НБИбд</v>
      </c>
      <c r="Y413" s="43" t="s">
        <v>161</v>
      </c>
      <c r="Z413" s="39">
        <v>1</v>
      </c>
      <c r="AA413" s="39">
        <v>1</v>
      </c>
      <c r="AB413" s="42">
        <f t="shared" si="218"/>
        <v>9</v>
      </c>
      <c r="AC413" s="39">
        <v>8</v>
      </c>
      <c r="AD413" s="39">
        <v>1</v>
      </c>
      <c r="AE413" s="44">
        <f t="shared" si="219"/>
        <v>12</v>
      </c>
      <c r="AF413" s="45">
        <f t="shared" si="220"/>
        <v>0.75</v>
      </c>
      <c r="AG413" s="45">
        <f t="shared" si="221"/>
        <v>0.75</v>
      </c>
      <c r="AH413" s="46" t="s">
        <v>82</v>
      </c>
      <c r="AI413" s="40" t="s">
        <v>83</v>
      </c>
      <c r="AJ413" s="40" t="s">
        <v>84</v>
      </c>
      <c r="AK413" s="47" t="s">
        <v>93</v>
      </c>
      <c r="AL413" s="40"/>
      <c r="AM413" s="48">
        <f t="shared" si="222"/>
        <v>0</v>
      </c>
      <c r="AN413" s="48">
        <f t="shared" si="223"/>
        <v>0</v>
      </c>
      <c r="AO413" s="48">
        <f t="shared" si="224"/>
        <v>27</v>
      </c>
      <c r="AP413" s="48">
        <f t="shared" si="225"/>
        <v>0</v>
      </c>
      <c r="AQ413" s="48">
        <f t="shared" si="226"/>
        <v>0</v>
      </c>
      <c r="AR413" s="48">
        <f t="shared" si="227"/>
        <v>0</v>
      </c>
      <c r="AS413" s="48">
        <f t="shared" si="228"/>
        <v>0</v>
      </c>
      <c r="AT413" s="48">
        <f t="shared" si="229"/>
        <v>0</v>
      </c>
      <c r="AU413" s="48">
        <f t="shared" si="230"/>
        <v>0</v>
      </c>
      <c r="AV413" s="48">
        <f t="shared" si="231"/>
        <v>0</v>
      </c>
      <c r="AW413" s="48">
        <f>IF(N413="ПП",РПП*AB413*(V413/1.5),IF(N413="ВП",ВПр*AB413*(V413/1.5),IF(N413="РПА",РПА*AB413*(V413/1.5),IF(N413="КПА",кпа*AB413*(V413/1.5),0))))</f>
        <v>0</v>
      </c>
      <c r="AX413" s="48">
        <f t="shared" si="232"/>
        <v>0</v>
      </c>
      <c r="AY413" s="48">
        <f t="shared" si="233"/>
        <v>0</v>
      </c>
      <c r="AZ413" s="48">
        <f t="shared" si="234"/>
        <v>0</v>
      </c>
      <c r="BA413" s="48">
        <f t="shared" si="235"/>
        <v>0</v>
      </c>
      <c r="BB413" s="48">
        <f t="shared" si="236"/>
        <v>0</v>
      </c>
      <c r="BC413" s="48">
        <f t="shared" si="237"/>
        <v>0</v>
      </c>
      <c r="BD413" s="48">
        <f t="shared" si="238"/>
        <v>0</v>
      </c>
      <c r="BE413" s="48">
        <f t="shared" si="239"/>
        <v>0</v>
      </c>
      <c r="BF413" s="49">
        <f t="shared" si="240"/>
        <v>27</v>
      </c>
      <c r="BG413" s="50"/>
      <c r="BH413" s="51">
        <f t="shared" si="241"/>
        <v>27</v>
      </c>
      <c r="BI413" s="51">
        <f t="shared" si="242"/>
        <v>1</v>
      </c>
      <c r="BJ413" s="51">
        <f t="shared" si="243"/>
        <v>0</v>
      </c>
      <c r="BK413" s="52">
        <f t="shared" si="244"/>
        <v>0</v>
      </c>
      <c r="BL413" s="52">
        <f t="shared" si="245"/>
        <v>0</v>
      </c>
      <c r="BM413" s="52">
        <f t="shared" si="246"/>
        <v>0</v>
      </c>
    </row>
    <row r="414" spans="1:65" ht="30" customHeight="1" x14ac:dyDescent="0.25">
      <c r="A414" s="31" t="str">
        <f t="shared" si="212"/>
        <v>Д</v>
      </c>
      <c r="B414" s="31" t="str">
        <f t="shared" si="213"/>
        <v>Б</v>
      </c>
      <c r="C414" s="32" t="s">
        <v>226</v>
      </c>
      <c r="D414" s="33" t="str">
        <f t="shared" si="214"/>
        <v>Факультет физико-математических и естественных наук</v>
      </c>
      <c r="E414" s="34" t="str">
        <f t="shared" si="215"/>
        <v>'38.03.05</v>
      </c>
      <c r="F414" s="35" t="str">
        <f t="shared" si="216"/>
        <v>Бизнес-информатика</v>
      </c>
      <c r="G414" s="36" t="s">
        <v>76</v>
      </c>
      <c r="H414" s="36" t="s">
        <v>135</v>
      </c>
      <c r="I414" s="37"/>
      <c r="J414" s="37" t="s">
        <v>154</v>
      </c>
      <c r="K414" s="38" t="s">
        <v>164</v>
      </c>
      <c r="L414" s="39">
        <v>7</v>
      </c>
      <c r="M414" s="39">
        <v>18</v>
      </c>
      <c r="N414" s="40" t="s">
        <v>94</v>
      </c>
      <c r="O414" s="39"/>
      <c r="P414" s="39">
        <v>2</v>
      </c>
      <c r="Q414" s="39"/>
      <c r="R414" s="40"/>
      <c r="S414" s="41"/>
      <c r="T414" s="41"/>
      <c r="U414" s="41"/>
      <c r="V414" s="41"/>
      <c r="W414" s="41"/>
      <c r="X414" s="42" t="str">
        <f t="shared" si="217"/>
        <v>НБИбд</v>
      </c>
      <c r="Y414" s="43" t="s">
        <v>161</v>
      </c>
      <c r="Z414" s="39">
        <v>1</v>
      </c>
      <c r="AA414" s="39">
        <v>1</v>
      </c>
      <c r="AB414" s="42">
        <f t="shared" si="218"/>
        <v>9</v>
      </c>
      <c r="AC414" s="39">
        <v>7</v>
      </c>
      <c r="AD414" s="39">
        <v>2</v>
      </c>
      <c r="AE414" s="44">
        <f t="shared" si="219"/>
        <v>12</v>
      </c>
      <c r="AF414" s="45">
        <f t="shared" si="220"/>
        <v>0.75</v>
      </c>
      <c r="AG414" s="45">
        <f t="shared" si="221"/>
        <v>0.75</v>
      </c>
      <c r="AH414" s="46" t="s">
        <v>82</v>
      </c>
      <c r="AI414" s="40" t="s">
        <v>83</v>
      </c>
      <c r="AJ414" s="40" t="s">
        <v>84</v>
      </c>
      <c r="AK414" s="47" t="s">
        <v>93</v>
      </c>
      <c r="AL414" s="40"/>
      <c r="AM414" s="48">
        <f t="shared" si="222"/>
        <v>0</v>
      </c>
      <c r="AN414" s="48">
        <f t="shared" si="223"/>
        <v>0</v>
      </c>
      <c r="AO414" s="48">
        <f t="shared" si="224"/>
        <v>27</v>
      </c>
      <c r="AP414" s="48">
        <f t="shared" si="225"/>
        <v>0</v>
      </c>
      <c r="AQ414" s="48">
        <f t="shared" si="226"/>
        <v>0</v>
      </c>
      <c r="AR414" s="48">
        <f t="shared" si="227"/>
        <v>0</v>
      </c>
      <c r="AS414" s="48">
        <f t="shared" si="228"/>
        <v>0</v>
      </c>
      <c r="AT414" s="48">
        <f t="shared" si="229"/>
        <v>0</v>
      </c>
      <c r="AU414" s="48">
        <f t="shared" si="230"/>
        <v>0</v>
      </c>
      <c r="AV414" s="48">
        <f t="shared" si="231"/>
        <v>0</v>
      </c>
      <c r="AW414" s="48">
        <f>IF(N414="ПП",РПП*AB414*(V414/1.5),IF(N414="ВП",ВПр*AB414*(V414/1.5),IF(N414="РПА",РПА*AB414*(V414/1.5),IF(N414="КПА",кпа*AB414*(V414/1.5),0))))</f>
        <v>0</v>
      </c>
      <c r="AX414" s="48">
        <f t="shared" si="232"/>
        <v>0</v>
      </c>
      <c r="AY414" s="48">
        <f t="shared" si="233"/>
        <v>0</v>
      </c>
      <c r="AZ414" s="48">
        <f t="shared" si="234"/>
        <v>0</v>
      </c>
      <c r="BA414" s="48">
        <f t="shared" si="235"/>
        <v>0</v>
      </c>
      <c r="BB414" s="48">
        <f t="shared" si="236"/>
        <v>0</v>
      </c>
      <c r="BC414" s="48">
        <f t="shared" si="237"/>
        <v>0</v>
      </c>
      <c r="BD414" s="48">
        <f t="shared" si="238"/>
        <v>0</v>
      </c>
      <c r="BE414" s="48">
        <f t="shared" si="239"/>
        <v>0</v>
      </c>
      <c r="BF414" s="49">
        <f t="shared" si="240"/>
        <v>27</v>
      </c>
      <c r="BG414" s="50"/>
      <c r="BH414" s="51">
        <f t="shared" si="241"/>
        <v>27</v>
      </c>
      <c r="BI414" s="51">
        <f t="shared" si="242"/>
        <v>1</v>
      </c>
      <c r="BJ414" s="51">
        <f t="shared" si="243"/>
        <v>0</v>
      </c>
      <c r="BK414" s="52">
        <f t="shared" si="244"/>
        <v>0</v>
      </c>
      <c r="BL414" s="52">
        <f t="shared" si="245"/>
        <v>0</v>
      </c>
      <c r="BM414" s="52">
        <f t="shared" si="246"/>
        <v>0</v>
      </c>
    </row>
    <row r="415" spans="1:65" ht="30" customHeight="1" x14ac:dyDescent="0.25">
      <c r="A415" s="31" t="str">
        <f t="shared" si="212"/>
        <v>Д</v>
      </c>
      <c r="B415" s="31" t="str">
        <f t="shared" si="213"/>
        <v>Б</v>
      </c>
      <c r="C415" s="32" t="s">
        <v>226</v>
      </c>
      <c r="D415" s="33" t="str">
        <f t="shared" si="214"/>
        <v>Факультет физико-математических и естественных наук</v>
      </c>
      <c r="E415" s="34" t="str">
        <f t="shared" si="215"/>
        <v>'38.03.05</v>
      </c>
      <c r="F415" s="35" t="str">
        <f t="shared" si="216"/>
        <v>Бизнес-информатика</v>
      </c>
      <c r="G415" s="36" t="s">
        <v>76</v>
      </c>
      <c r="H415" s="36" t="s">
        <v>183</v>
      </c>
      <c r="I415" s="37"/>
      <c r="J415" s="37"/>
      <c r="K415" s="38" t="s">
        <v>237</v>
      </c>
      <c r="L415" s="39">
        <v>7</v>
      </c>
      <c r="M415" s="39">
        <v>18</v>
      </c>
      <c r="N415" s="40" t="s">
        <v>79</v>
      </c>
      <c r="O415" s="39">
        <v>1</v>
      </c>
      <c r="P415" s="39"/>
      <c r="Q415" s="39"/>
      <c r="R415" s="40"/>
      <c r="S415" s="41"/>
      <c r="T415" s="41"/>
      <c r="U415" s="41"/>
      <c r="V415" s="41"/>
      <c r="W415" s="41"/>
      <c r="X415" s="42" t="str">
        <f t="shared" si="217"/>
        <v>НБИбд</v>
      </c>
      <c r="Y415" s="43" t="s">
        <v>161</v>
      </c>
      <c r="Z415" s="39">
        <v>2</v>
      </c>
      <c r="AA415" s="39">
        <v>1</v>
      </c>
      <c r="AB415" s="42">
        <f t="shared" si="218"/>
        <v>33</v>
      </c>
      <c r="AC415" s="39">
        <v>30</v>
      </c>
      <c r="AD415" s="39">
        <v>3</v>
      </c>
      <c r="AE415" s="44">
        <f t="shared" si="219"/>
        <v>33</v>
      </c>
      <c r="AF415" s="45">
        <f t="shared" si="220"/>
        <v>1</v>
      </c>
      <c r="AG415" s="45">
        <f t="shared" si="221"/>
        <v>1</v>
      </c>
      <c r="AH415" s="46" t="s">
        <v>82</v>
      </c>
      <c r="AI415" s="40" t="s">
        <v>83</v>
      </c>
      <c r="AJ415" s="40" t="s">
        <v>84</v>
      </c>
      <c r="AK415" s="47" t="s">
        <v>144</v>
      </c>
      <c r="AL415" s="40"/>
      <c r="AM415" s="48">
        <f t="shared" si="222"/>
        <v>18</v>
      </c>
      <c r="AN415" s="48">
        <f t="shared" si="223"/>
        <v>0</v>
      </c>
      <c r="AO415" s="48">
        <f t="shared" si="224"/>
        <v>0</v>
      </c>
      <c r="AP415" s="48">
        <f t="shared" si="225"/>
        <v>0</v>
      </c>
      <c r="AQ415" s="48">
        <f t="shared" si="226"/>
        <v>0</v>
      </c>
      <c r="AR415" s="48">
        <f t="shared" si="227"/>
        <v>0</v>
      </c>
      <c r="AS415" s="48">
        <f t="shared" si="228"/>
        <v>0.9</v>
      </c>
      <c r="AT415" s="48">
        <f t="shared" si="229"/>
        <v>0</v>
      </c>
      <c r="AU415" s="48">
        <f t="shared" si="230"/>
        <v>0</v>
      </c>
      <c r="AV415" s="48">
        <f t="shared" si="231"/>
        <v>0</v>
      </c>
      <c r="AW415" s="48">
        <f>IF(N415="ПП",РПП*AB415*(V415/1.5),IF(N415="ВП",ВПр*AB415*(V415/1.5),IF(N415="РПА",РПА*AB415*(V415/1.5),IF(N415="КПА",кпа*AB415*(V415/1.5),0))))</f>
        <v>0</v>
      </c>
      <c r="AX415" s="48">
        <f t="shared" si="232"/>
        <v>0</v>
      </c>
      <c r="AY415" s="48">
        <f t="shared" si="233"/>
        <v>0</v>
      </c>
      <c r="AZ415" s="48">
        <f t="shared" si="234"/>
        <v>0</v>
      </c>
      <c r="BA415" s="48">
        <f t="shared" si="235"/>
        <v>0</v>
      </c>
      <c r="BB415" s="48">
        <f t="shared" si="236"/>
        <v>0</v>
      </c>
      <c r="BC415" s="48">
        <f t="shared" si="237"/>
        <v>0</v>
      </c>
      <c r="BD415" s="48">
        <f t="shared" si="238"/>
        <v>0</v>
      </c>
      <c r="BE415" s="48">
        <f t="shared" si="239"/>
        <v>0</v>
      </c>
      <c r="BF415" s="49">
        <f t="shared" si="240"/>
        <v>18.899999999999999</v>
      </c>
      <c r="BG415" s="50"/>
      <c r="BH415" s="51">
        <f t="shared" si="241"/>
        <v>18</v>
      </c>
      <c r="BI415" s="51">
        <f t="shared" si="242"/>
        <v>0.5</v>
      </c>
      <c r="BJ415" s="51">
        <f t="shared" si="243"/>
        <v>0.9</v>
      </c>
      <c r="BK415" s="52">
        <f t="shared" si="244"/>
        <v>0</v>
      </c>
      <c r="BL415" s="52">
        <f t="shared" si="245"/>
        <v>0</v>
      </c>
      <c r="BM415" s="52">
        <f t="shared" si="246"/>
        <v>0</v>
      </c>
    </row>
    <row r="416" spans="1:65" ht="30" customHeight="1" x14ac:dyDescent="0.25">
      <c r="A416" s="31" t="str">
        <f t="shared" si="212"/>
        <v>Д</v>
      </c>
      <c r="B416" s="31" t="str">
        <f t="shared" si="213"/>
        <v>Б</v>
      </c>
      <c r="C416" s="32" t="s">
        <v>226</v>
      </c>
      <c r="D416" s="33" t="str">
        <f t="shared" si="214"/>
        <v>Факультет физико-математических и естественных наук</v>
      </c>
      <c r="E416" s="34" t="str">
        <f t="shared" si="215"/>
        <v>'38.03.05</v>
      </c>
      <c r="F416" s="35" t="str">
        <f t="shared" si="216"/>
        <v>Бизнес-информатика</v>
      </c>
      <c r="G416" s="36" t="s">
        <v>76</v>
      </c>
      <c r="H416" s="36" t="s">
        <v>183</v>
      </c>
      <c r="I416" s="37"/>
      <c r="J416" s="37"/>
      <c r="K416" s="38" t="s">
        <v>237</v>
      </c>
      <c r="L416" s="39">
        <v>7</v>
      </c>
      <c r="M416" s="39">
        <v>18</v>
      </c>
      <c r="N416" s="40" t="s">
        <v>94</v>
      </c>
      <c r="O416" s="39"/>
      <c r="P416" s="39">
        <v>1</v>
      </c>
      <c r="Q416" s="39"/>
      <c r="R416" s="40" t="s">
        <v>95</v>
      </c>
      <c r="S416" s="41"/>
      <c r="T416" s="41"/>
      <c r="U416" s="41"/>
      <c r="V416" s="41"/>
      <c r="W416" s="41"/>
      <c r="X416" s="42" t="str">
        <f t="shared" si="217"/>
        <v>НБИбд</v>
      </c>
      <c r="Y416" s="43" t="s">
        <v>161</v>
      </c>
      <c r="Z416" s="39">
        <v>1</v>
      </c>
      <c r="AA416" s="39">
        <v>1</v>
      </c>
      <c r="AB416" s="42">
        <f t="shared" si="218"/>
        <v>33</v>
      </c>
      <c r="AC416" s="39">
        <v>30</v>
      </c>
      <c r="AD416" s="39">
        <v>3</v>
      </c>
      <c r="AE416" s="44">
        <f t="shared" si="219"/>
        <v>12</v>
      </c>
      <c r="AF416" s="45">
        <f t="shared" si="220"/>
        <v>1</v>
      </c>
      <c r="AG416" s="45">
        <f t="shared" si="221"/>
        <v>2.75</v>
      </c>
      <c r="AH416" s="46" t="s">
        <v>82</v>
      </c>
      <c r="AI416" s="40" t="s">
        <v>83</v>
      </c>
      <c r="AJ416" s="40" t="s">
        <v>84</v>
      </c>
      <c r="AK416" s="47" t="s">
        <v>144</v>
      </c>
      <c r="AL416" s="40"/>
      <c r="AM416" s="48">
        <f t="shared" si="222"/>
        <v>0</v>
      </c>
      <c r="AN416" s="48">
        <f t="shared" si="223"/>
        <v>0</v>
      </c>
      <c r="AO416" s="48">
        <f t="shared" si="224"/>
        <v>18</v>
      </c>
      <c r="AP416" s="48">
        <f t="shared" si="225"/>
        <v>10.89</v>
      </c>
      <c r="AQ416" s="48">
        <f t="shared" si="226"/>
        <v>16.5</v>
      </c>
      <c r="AR416" s="48">
        <f t="shared" si="227"/>
        <v>1</v>
      </c>
      <c r="AS416" s="48">
        <f t="shared" si="228"/>
        <v>0</v>
      </c>
      <c r="AT416" s="48">
        <f t="shared" si="229"/>
        <v>0</v>
      </c>
      <c r="AU416" s="48">
        <f t="shared" si="230"/>
        <v>0</v>
      </c>
      <c r="AV416" s="48">
        <f t="shared" si="231"/>
        <v>0</v>
      </c>
      <c r="AW416" s="48">
        <f>IF(N416="ПП",РПП*AB416*(V416/1.5),IF(N416="ВП",ВПр*AB416*(V416/1.5),IF(N416="РПА",РПА*AB416*(V416/1.5),IF(N416="КПА",кпа*AB416*(V416/1.5),0))))</f>
        <v>0</v>
      </c>
      <c r="AX416" s="48">
        <f t="shared" si="232"/>
        <v>0</v>
      </c>
      <c r="AY416" s="48">
        <f t="shared" si="233"/>
        <v>0</v>
      </c>
      <c r="AZ416" s="48">
        <f t="shared" si="234"/>
        <v>0</v>
      </c>
      <c r="BA416" s="48">
        <f t="shared" si="235"/>
        <v>0</v>
      </c>
      <c r="BB416" s="48">
        <f t="shared" si="236"/>
        <v>0</v>
      </c>
      <c r="BC416" s="48">
        <f t="shared" si="237"/>
        <v>0</v>
      </c>
      <c r="BD416" s="48">
        <f t="shared" si="238"/>
        <v>0</v>
      </c>
      <c r="BE416" s="48">
        <f t="shared" si="239"/>
        <v>0</v>
      </c>
      <c r="BF416" s="49">
        <f t="shared" si="240"/>
        <v>46.39</v>
      </c>
      <c r="BG416" s="50"/>
      <c r="BH416" s="51">
        <f t="shared" si="241"/>
        <v>18</v>
      </c>
      <c r="BI416" s="51">
        <f t="shared" si="242"/>
        <v>0.5</v>
      </c>
      <c r="BJ416" s="51">
        <f t="shared" si="243"/>
        <v>28.39</v>
      </c>
      <c r="BK416" s="52">
        <f t="shared" si="244"/>
        <v>0</v>
      </c>
      <c r="BL416" s="52">
        <f t="shared" si="245"/>
        <v>0</v>
      </c>
      <c r="BM416" s="52">
        <f t="shared" si="246"/>
        <v>0</v>
      </c>
    </row>
    <row r="417" spans="1:65" ht="30" customHeight="1" x14ac:dyDescent="0.25">
      <c r="A417" s="31" t="str">
        <f t="shared" si="212"/>
        <v>Д</v>
      </c>
      <c r="B417" s="31" t="str">
        <f t="shared" si="213"/>
        <v>Б</v>
      </c>
      <c r="C417" s="32" t="s">
        <v>226</v>
      </c>
      <c r="D417" s="33" t="str">
        <f t="shared" si="214"/>
        <v>Факультет физико-математических и естественных наук</v>
      </c>
      <c r="E417" s="34" t="str">
        <f t="shared" si="215"/>
        <v>'38.03.05</v>
      </c>
      <c r="F417" s="35" t="str">
        <f t="shared" si="216"/>
        <v>Бизнес-информатика</v>
      </c>
      <c r="G417" s="36" t="s">
        <v>76</v>
      </c>
      <c r="H417" s="36" t="s">
        <v>183</v>
      </c>
      <c r="I417" s="37"/>
      <c r="J417" s="37"/>
      <c r="K417" s="38" t="s">
        <v>237</v>
      </c>
      <c r="L417" s="39">
        <v>7</v>
      </c>
      <c r="M417" s="39">
        <v>18</v>
      </c>
      <c r="N417" s="40" t="s">
        <v>94</v>
      </c>
      <c r="O417" s="39"/>
      <c r="P417" s="39">
        <v>1</v>
      </c>
      <c r="Q417" s="39"/>
      <c r="R417" s="40" t="s">
        <v>95</v>
      </c>
      <c r="S417" s="41"/>
      <c r="T417" s="41"/>
      <c r="U417" s="41"/>
      <c r="V417" s="41"/>
      <c r="W417" s="41"/>
      <c r="X417" s="42" t="str">
        <f t="shared" si="217"/>
        <v>НБИбд</v>
      </c>
      <c r="Y417" s="43" t="s">
        <v>161</v>
      </c>
      <c r="Z417" s="39">
        <v>1</v>
      </c>
      <c r="AA417" s="39">
        <v>1</v>
      </c>
      <c r="AB417" s="42">
        <f t="shared" si="218"/>
        <v>0</v>
      </c>
      <c r="AC417" s="39"/>
      <c r="AD417" s="39"/>
      <c r="AE417" s="44">
        <f t="shared" si="219"/>
        <v>12</v>
      </c>
      <c r="AF417" s="45">
        <f t="shared" si="220"/>
        <v>0</v>
      </c>
      <c r="AG417" s="45">
        <f t="shared" si="221"/>
        <v>0</v>
      </c>
      <c r="AH417" s="46" t="s">
        <v>82</v>
      </c>
      <c r="AI417" s="40" t="s">
        <v>83</v>
      </c>
      <c r="AJ417" s="40" t="s">
        <v>84</v>
      </c>
      <c r="AK417" s="47" t="s">
        <v>144</v>
      </c>
      <c r="AL417" s="40"/>
      <c r="AM417" s="48">
        <f t="shared" si="222"/>
        <v>0</v>
      </c>
      <c r="AN417" s="48">
        <f t="shared" si="223"/>
        <v>0</v>
      </c>
      <c r="AO417" s="48">
        <f t="shared" si="224"/>
        <v>0</v>
      </c>
      <c r="AP417" s="48">
        <f t="shared" si="225"/>
        <v>0</v>
      </c>
      <c r="AQ417" s="48">
        <f t="shared" si="226"/>
        <v>0</v>
      </c>
      <c r="AR417" s="48">
        <f t="shared" si="227"/>
        <v>0</v>
      </c>
      <c r="AS417" s="48">
        <f t="shared" si="228"/>
        <v>0</v>
      </c>
      <c r="AT417" s="48">
        <f t="shared" si="229"/>
        <v>0</v>
      </c>
      <c r="AU417" s="48">
        <f t="shared" si="230"/>
        <v>0</v>
      </c>
      <c r="AV417" s="48">
        <f t="shared" si="231"/>
        <v>0</v>
      </c>
      <c r="AW417" s="48">
        <f>IF(N417="ПП",РПП*AB417*(V417/1.5),IF(N417="ВП",ВПр*AB417*(V417/1.5),IF(N417="РПА",РПА*AB417*(V417/1.5),IF(N417="КПА",кпа*AB417*(V417/1.5),0))))</f>
        <v>0</v>
      </c>
      <c r="AX417" s="48">
        <f t="shared" si="232"/>
        <v>0</v>
      </c>
      <c r="AY417" s="48">
        <f t="shared" si="233"/>
        <v>0</v>
      </c>
      <c r="AZ417" s="48">
        <f t="shared" si="234"/>
        <v>0</v>
      </c>
      <c r="BA417" s="48">
        <f t="shared" si="235"/>
        <v>0</v>
      </c>
      <c r="BB417" s="48">
        <f t="shared" si="236"/>
        <v>0</v>
      </c>
      <c r="BC417" s="48">
        <f t="shared" si="237"/>
        <v>0</v>
      </c>
      <c r="BD417" s="48">
        <f t="shared" si="238"/>
        <v>0</v>
      </c>
      <c r="BE417" s="48">
        <f t="shared" si="239"/>
        <v>0</v>
      </c>
      <c r="BF417" s="49">
        <f t="shared" si="240"/>
        <v>0</v>
      </c>
      <c r="BG417" s="50"/>
      <c r="BH417" s="51">
        <f t="shared" si="241"/>
        <v>0</v>
      </c>
      <c r="BI417" s="51">
        <f t="shared" si="242"/>
        <v>0</v>
      </c>
      <c r="BJ417" s="51">
        <f t="shared" si="243"/>
        <v>0</v>
      </c>
      <c r="BK417" s="52">
        <f t="shared" si="244"/>
        <v>0</v>
      </c>
      <c r="BL417" s="52">
        <f t="shared" si="245"/>
        <v>0</v>
      </c>
      <c r="BM417" s="52">
        <f t="shared" si="246"/>
        <v>0</v>
      </c>
    </row>
    <row r="418" spans="1:65" ht="30" customHeight="1" x14ac:dyDescent="0.25">
      <c r="A418" s="31" t="str">
        <f t="shared" ref="A418:A474" si="247">IF(C418&gt;0, VLOOKUP(C418,Код_ООП,11,FALSE()),0)</f>
        <v>Д</v>
      </c>
      <c r="B418" s="31" t="str">
        <f t="shared" ref="B418:B474" si="248">IF(C418&gt;0, VLOOKUP(C418,Код_ООП,12,FALSE()),0)</f>
        <v>Б</v>
      </c>
      <c r="C418" s="32" t="s">
        <v>226</v>
      </c>
      <c r="D418" s="33" t="str">
        <f t="shared" ref="D418:D474" si="249">IF(C418&gt;0,VLOOKUP(LEFT(C418,1),ОУП,2,FALSE()),0)</f>
        <v>Факультет физико-математических и естественных наук</v>
      </c>
      <c r="E418" s="34" t="str">
        <f t="shared" ref="E418:E474" si="250">IF(C418&gt;0, VLOOKUP(C418,Код_ООП,2,FALSE()),0)</f>
        <v>'38.03.05</v>
      </c>
      <c r="F418" s="35" t="str">
        <f t="shared" ref="F418:F474" si="251">IF(C418&gt;0, VLOOKUP(C418,Код_ООП,13,FALSE()),0)</f>
        <v>Бизнес-информатика</v>
      </c>
      <c r="G418" s="36" t="s">
        <v>76</v>
      </c>
      <c r="H418" s="36" t="s">
        <v>77</v>
      </c>
      <c r="I418" s="37"/>
      <c r="J418" s="37"/>
      <c r="K418" s="38" t="s">
        <v>238</v>
      </c>
      <c r="L418" s="39">
        <v>7</v>
      </c>
      <c r="M418" s="39">
        <v>18</v>
      </c>
      <c r="N418" s="40" t="s">
        <v>79</v>
      </c>
      <c r="O418" s="39">
        <v>1</v>
      </c>
      <c r="P418" s="39"/>
      <c r="Q418" s="39"/>
      <c r="R418" s="40" t="s">
        <v>80</v>
      </c>
      <c r="S418" s="41"/>
      <c r="T418" s="41"/>
      <c r="U418" s="41"/>
      <c r="V418" s="41"/>
      <c r="W418" s="41"/>
      <c r="X418" s="42" t="str">
        <f t="shared" ref="X418:X474" si="252">MID(C418,1,5)</f>
        <v>НБИбд</v>
      </c>
      <c r="Y418" s="43" t="s">
        <v>161</v>
      </c>
      <c r="Z418" s="39">
        <v>3</v>
      </c>
      <c r="AA418" s="39">
        <v>2</v>
      </c>
      <c r="AB418" s="42">
        <f t="shared" ref="AB418:AB474" si="253">AC418+AD418</f>
        <v>33</v>
      </c>
      <c r="AC418" s="39">
        <v>30</v>
      </c>
      <c r="AD418" s="39">
        <v>3</v>
      </c>
      <c r="AE418" s="44">
        <f t="shared" ref="AE418:AE474" si="254">IF(N418="сп",6,IF(N418="клн",8,IF(OR(N418="лаб",N418="ия"),12,IF(OR(N418="пр",N418="ТЕСТ"),IF(OR(B418="Б",B418="С"),24,12),IF(N418="лек",AB418,1)))))</f>
        <v>33</v>
      </c>
      <c r="AF418" s="45">
        <f t="shared" ref="AF418:AF474" si="255">IF(AG418&gt;1,1,AG418)</f>
        <v>1</v>
      </c>
      <c r="AG418" s="45">
        <f t="shared" ref="AG418:AG474" si="256">AB418/AE418</f>
        <v>1</v>
      </c>
      <c r="AH418" s="46" t="s">
        <v>82</v>
      </c>
      <c r="AI418" s="40" t="s">
        <v>83</v>
      </c>
      <c r="AJ418" s="40" t="s">
        <v>116</v>
      </c>
      <c r="AK418" s="47" t="s">
        <v>119</v>
      </c>
      <c r="AL418" s="40"/>
      <c r="AM418" s="48">
        <f t="shared" ref="AM418:AM474" si="257">IF(AB418&gt;0,IF(OR(N418="лек",N418="ТУИС"),O418*M418,0),0)</f>
        <v>18</v>
      </c>
      <c r="AN418" s="48">
        <f t="shared" ref="AN418:AN474" si="258">IF(OR(N418="пр",N418="ия",N418="сп"),Q418*AF418*M418,0)</f>
        <v>0</v>
      </c>
      <c r="AO418" s="48">
        <f t="shared" ref="AO418:AO474" si="259">IF(OR(N418="лаб",N418="клн"),P418*AF418*M418,0)</f>
        <v>0</v>
      </c>
      <c r="AP418" s="48">
        <f t="shared" ref="AP418:AP474" si="260">(IF((AND(OR(L418=1,L418=2,L418=3,L418=4,L418=5,L418=6,L418=7,L418=8,L418=9,L418=10,L418=11,L418=12),OR(R418="Зач",R418="Экз"))),ТКиРА*AB418,0)+IF(SUM(O418:Q418)&lt;&gt;0,IF(R418="ТК",ТКиРА*AB418,0),0))*(IF(G418="ФТД",0,1))</f>
        <v>10.89</v>
      </c>
      <c r="AQ418" s="48">
        <f t="shared" ref="AQ418:AQ474" si="261">IF(SUM(P418:Q418)&lt;&gt;0,IF(R418="Зач",ПАБРС*AB418,0),0)+IF(O418&lt;&gt;0,IF(R418="Экз",ПАБРС*AB418,0),0)</f>
        <v>16.5</v>
      </c>
      <c r="AR418" s="48">
        <f t="shared" ref="AR418:AR474" si="262">(IF(AQ418&lt;&gt;0,ОфВед*(IF(OR(N418="лек",N418="лаб"),AA418,AF418)),0))*(IF(G418="ФТД",0,1))</f>
        <v>2</v>
      </c>
      <c r="AS418" s="48">
        <f t="shared" ref="AS418:AS474" si="263">(IF(A418="Д",ТКЛД,IF(A418="В",ТКЛВ,IF(A418="З",ТКЛЗ,0))))*(IF(G418="ФТД",0,IF(B418="ЦМ",O418*M418,AM418)))*AA418</f>
        <v>1.8</v>
      </c>
      <c r="AT418" s="48">
        <f t="shared" ref="AT418:AT474" si="264">IF(S418="К",AB418*ВПКР,IF(S418="М",AB418*ВПИБ,0))</f>
        <v>0</v>
      </c>
      <c r="AU418" s="48">
        <f t="shared" ref="AU418:AU474" si="265">IF(OR(N418="лаб",N418="пр"),IF(T418="К",AB418*ВПКП,0),0)</f>
        <v>0</v>
      </c>
      <c r="AV418" s="48">
        <f t="shared" ref="AV418:AV474" si="266">IF(N418="УП",U418/1.5*AB418*РУП,IF(N418="УПМ",U418/1.5*AB418*РУПЛеч,0))</f>
        <v>0</v>
      </c>
      <c r="AW418" s="48">
        <f>IF(N418="ПП",РПП*AB418*(V418/1.5),IF(N418="ВП",ВПр*AB418*(V418/1.5),IF(N418="РПА",РПА*AB418*(V418/1.5),IF(N418="КПА",кпа*AB418*(V418/1.5),0))))</f>
        <v>0</v>
      </c>
      <c r="AX418" s="48">
        <f t="shared" ref="AX418:AX474" si="267">IF(N418="НР",(AC418*НИРМ+AD418*НИРМИн)*(W418/1.5),IF(N418="НИ",(AC418*НИРА+AD418*НИРАИ)*(W418/1.5),0))</f>
        <v>0</v>
      </c>
      <c r="AY418" s="48">
        <f t="shared" ref="AY418:AY474" si="268">IF(AND(N418="ЦП",B418="ЦМ"),AB418*ЦП,0)</f>
        <v>0</v>
      </c>
      <c r="AZ418" s="48">
        <f t="shared" ref="AZ418:AZ474" si="269">IF(B418="А",IF(N418="РР",AB418*РефАсп,IF(N418="РРФ",AB418*РефФил,0)),0)</f>
        <v>0</v>
      </c>
      <c r="BA418" s="48">
        <f t="shared" ref="BA418:BA474" si="270">IF(AND(R418="КЭ",N418="ЧК"),AB418*КдЭк,0)</f>
        <v>0</v>
      </c>
      <c r="BB418" s="48">
        <f t="shared" ref="BB418:BB474" si="271">IF(AND(N418="НКД",B418="Д"),AB418*НКД,0)+IF(AND(N418="РПЛ",B418="А"),AB418*РукПЛ,0)+IF(AND(N418="РСтж",B418="А"),AC418*РукСт+AD418*РукИСт,0)+IF(N418="ФГТ",AC418*РукРФа+AD418*РукИна,0)</f>
        <v>0</v>
      </c>
      <c r="BC418" s="48">
        <f t="shared" ref="BC418:BC474" si="272">IF(N418="РК",IF(OR(B418="С",B418="М",B418="ЦМ"),(AC418*РСМ+AD418*РСМИ),0),0)+IF(N418="РК",IF(B418="Б",(AC418*РБ+AD418*РБИ),0),0)+IF(N418="РК",IF(B418="А",(AC418*РНКР+AD418*РНКРИн),0),0)+IF(AND(R418="ПАкр"),AB418*0.3)</f>
        <v>0</v>
      </c>
      <c r="BD418" s="48">
        <f t="shared" ref="BD418:BD474" si="273">IF(N418="РДП",IF(B418="А",AB418*РРА,IF(OR(B418="С",B418="М",B418="ЦМ"),AB418*РРСМ,IF(B418="Б",AB418*РРБ,0))),IF(N418="РДИ",AB418*РДП,0))</f>
        <v>0</v>
      </c>
      <c r="BE418" s="48">
        <f t="shared" ref="BE418:BE474" si="274">IF(N418="ЧГ",AB418*ЧГ,IF(N418="ПГ",AB418*ПГ,IF(N418="ТЕСТ",ТГИЭ*AF418,IF(N418="СГ",AB418*СГ,0))))</f>
        <v>0</v>
      </c>
      <c r="BF418" s="49">
        <f t="shared" ref="BF418:BF474" si="275">SUM(AM418:BE418)</f>
        <v>49.19</v>
      </c>
      <c r="BG418" s="50"/>
      <c r="BH418" s="51">
        <f t="shared" ref="BH418:BH474" si="276">IF(OR(L418="1;1",L418="1;2",L418=1,L418="3;1",L418="3;2",L418=3,L418="5;1",L418="5;2",L418=5,L418="7;1",L418="7;2",L418=7,L418="9;1",L418="9;2",L418=9,L418=11),SUM(AM418:AO418),0)</f>
        <v>18</v>
      </c>
      <c r="BI418" s="51">
        <f t="shared" ref="BI418:BI474" si="277">IF(BH418&lt;&gt;0,SUM(O418:Q418)/2,0)</f>
        <v>0.5</v>
      </c>
      <c r="BJ418" s="51">
        <f t="shared" ref="BJ418:BJ474" si="278">IF(OR(L418="1;1",L418="1;2",L418=1,L418="3;1",L418="3;2",L418=3,L418="5;1",L418="5;2",L418=5,L418="7;1",L418="7;2",L418=7,L418="9;1",L418="9;2",L418=9,L418=11),SUM(AP418:BE418),0)</f>
        <v>31.19</v>
      </c>
      <c r="BK418" s="52">
        <f t="shared" ref="BK418:BK474" si="279">IF(OR(L418="2;3",L418="2;4",L418=2,L418="4;3",L418="4;4",L418=4,L418="6;3",L418="6;4",L418=6,L418="8;3",L418="8;4",L418=8,L418="10;3",L418="10;4",L418=10,L418=12),SUM(AM418:AO418),0)</f>
        <v>0</v>
      </c>
      <c r="BL418" s="52">
        <f t="shared" ref="BL418:BL474" si="280">IF(BK418&lt;&gt;0,SUM(O418:Q418)/2,0)</f>
        <v>0</v>
      </c>
      <c r="BM418" s="52">
        <f t="shared" ref="BM418:BM474" si="281">IF(OR(L418="2;3",L418="2;4",L418=2,L418="4;3",L418="4;4",L418=4,L418="6;3",L418="6;4",L418=6,L418="8;3",L418="8;4",L418=8,L418="10;3",L418="10;4",L418=10,L418=12),SUM(AP418:BE418),0)</f>
        <v>0</v>
      </c>
    </row>
    <row r="419" spans="1:65" ht="30" customHeight="1" x14ac:dyDescent="0.25">
      <c r="A419" s="31" t="str">
        <f t="shared" si="247"/>
        <v>Д</v>
      </c>
      <c r="B419" s="31" t="str">
        <f t="shared" si="248"/>
        <v>Б</v>
      </c>
      <c r="C419" s="32" t="s">
        <v>226</v>
      </c>
      <c r="D419" s="33" t="str">
        <f t="shared" si="249"/>
        <v>Факультет физико-математических и естественных наук</v>
      </c>
      <c r="E419" s="34" t="str">
        <f t="shared" si="250"/>
        <v>'38.03.05</v>
      </c>
      <c r="F419" s="35" t="str">
        <f t="shared" si="251"/>
        <v>Бизнес-информатика</v>
      </c>
      <c r="G419" s="36" t="s">
        <v>76</v>
      </c>
      <c r="H419" s="36" t="s">
        <v>77</v>
      </c>
      <c r="I419" s="37"/>
      <c r="J419" s="37"/>
      <c r="K419" s="38" t="s">
        <v>238</v>
      </c>
      <c r="L419" s="39">
        <v>7</v>
      </c>
      <c r="M419" s="39">
        <v>18</v>
      </c>
      <c r="N419" s="40" t="s">
        <v>86</v>
      </c>
      <c r="O419" s="39"/>
      <c r="P419" s="39"/>
      <c r="Q419" s="39">
        <v>1</v>
      </c>
      <c r="R419" s="40"/>
      <c r="S419" s="41"/>
      <c r="T419" s="41"/>
      <c r="U419" s="41"/>
      <c r="V419" s="41"/>
      <c r="W419" s="41"/>
      <c r="X419" s="42" t="str">
        <f t="shared" si="252"/>
        <v>НБИбд</v>
      </c>
      <c r="Y419" s="43" t="s">
        <v>161</v>
      </c>
      <c r="Z419" s="39">
        <v>2</v>
      </c>
      <c r="AA419" s="39">
        <v>1</v>
      </c>
      <c r="AB419" s="42">
        <f t="shared" si="253"/>
        <v>17</v>
      </c>
      <c r="AC419" s="39">
        <v>15</v>
      </c>
      <c r="AD419" s="39">
        <v>2</v>
      </c>
      <c r="AE419" s="44">
        <f t="shared" si="254"/>
        <v>24</v>
      </c>
      <c r="AF419" s="45">
        <f t="shared" si="255"/>
        <v>0.70833333333333337</v>
      </c>
      <c r="AG419" s="45">
        <f t="shared" si="256"/>
        <v>0.70833333333333337</v>
      </c>
      <c r="AH419" s="46" t="s">
        <v>82</v>
      </c>
      <c r="AI419" s="40" t="s">
        <v>83</v>
      </c>
      <c r="AJ419" s="40" t="s">
        <v>116</v>
      </c>
      <c r="AK419" s="47" t="s">
        <v>119</v>
      </c>
      <c r="AL419" s="40"/>
      <c r="AM419" s="48">
        <f t="shared" si="257"/>
        <v>0</v>
      </c>
      <c r="AN419" s="48">
        <f t="shared" si="258"/>
        <v>12.75</v>
      </c>
      <c r="AO419" s="48">
        <f t="shared" si="259"/>
        <v>0</v>
      </c>
      <c r="AP419" s="48">
        <f t="shared" si="260"/>
        <v>0</v>
      </c>
      <c r="AQ419" s="48">
        <f t="shared" si="261"/>
        <v>0</v>
      </c>
      <c r="AR419" s="48">
        <f t="shared" si="262"/>
        <v>0</v>
      </c>
      <c r="AS419" s="48">
        <f t="shared" si="263"/>
        <v>0</v>
      </c>
      <c r="AT419" s="48">
        <f t="shared" si="264"/>
        <v>0</v>
      </c>
      <c r="AU419" s="48">
        <f t="shared" si="265"/>
        <v>0</v>
      </c>
      <c r="AV419" s="48">
        <f t="shared" si="266"/>
        <v>0</v>
      </c>
      <c r="AW419" s="48">
        <f>IF(N419="ПП",РПП*AB419*(V419/1.5),IF(N419="ВП",ВПр*AB419*(V419/1.5),IF(N419="РПА",РПА*AB419*(V419/1.5),IF(N419="КПА",кпа*AB419*(V419/1.5),0))))</f>
        <v>0</v>
      </c>
      <c r="AX419" s="48">
        <f t="shared" si="267"/>
        <v>0</v>
      </c>
      <c r="AY419" s="48">
        <f t="shared" si="268"/>
        <v>0</v>
      </c>
      <c r="AZ419" s="48">
        <f t="shared" si="269"/>
        <v>0</v>
      </c>
      <c r="BA419" s="48">
        <f t="shared" si="270"/>
        <v>0</v>
      </c>
      <c r="BB419" s="48">
        <f t="shared" si="271"/>
        <v>0</v>
      </c>
      <c r="BC419" s="48">
        <f t="shared" si="272"/>
        <v>0</v>
      </c>
      <c r="BD419" s="48">
        <f t="shared" si="273"/>
        <v>0</v>
      </c>
      <c r="BE419" s="48">
        <f t="shared" si="274"/>
        <v>0</v>
      </c>
      <c r="BF419" s="49">
        <f t="shared" si="275"/>
        <v>12.75</v>
      </c>
      <c r="BG419" s="50"/>
      <c r="BH419" s="51">
        <f t="shared" si="276"/>
        <v>12.75</v>
      </c>
      <c r="BI419" s="51">
        <f t="shared" si="277"/>
        <v>0.5</v>
      </c>
      <c r="BJ419" s="51">
        <f t="shared" si="278"/>
        <v>0</v>
      </c>
      <c r="BK419" s="52">
        <f t="shared" si="279"/>
        <v>0</v>
      </c>
      <c r="BL419" s="52">
        <f t="shared" si="280"/>
        <v>0</v>
      </c>
      <c r="BM419" s="52">
        <f t="shared" si="281"/>
        <v>0</v>
      </c>
    </row>
    <row r="420" spans="1:65" ht="30" customHeight="1" x14ac:dyDescent="0.25">
      <c r="A420" s="31" t="str">
        <f t="shared" si="247"/>
        <v>Д</v>
      </c>
      <c r="B420" s="31" t="str">
        <f t="shared" si="248"/>
        <v>Б</v>
      </c>
      <c r="C420" s="32" t="s">
        <v>226</v>
      </c>
      <c r="D420" s="33" t="str">
        <f t="shared" si="249"/>
        <v>Факультет физико-математических и естественных наук</v>
      </c>
      <c r="E420" s="34" t="str">
        <f t="shared" si="250"/>
        <v>'38.03.05</v>
      </c>
      <c r="F420" s="35" t="str">
        <f t="shared" si="251"/>
        <v>Бизнес-информатика</v>
      </c>
      <c r="G420" s="36" t="s">
        <v>76</v>
      </c>
      <c r="H420" s="36" t="s">
        <v>77</v>
      </c>
      <c r="I420" s="37"/>
      <c r="J420" s="37"/>
      <c r="K420" s="38" t="s">
        <v>238</v>
      </c>
      <c r="L420" s="39">
        <v>7</v>
      </c>
      <c r="M420" s="39">
        <v>18</v>
      </c>
      <c r="N420" s="40" t="s">
        <v>86</v>
      </c>
      <c r="O420" s="39"/>
      <c r="P420" s="39"/>
      <c r="Q420" s="39">
        <v>1</v>
      </c>
      <c r="R420" s="40"/>
      <c r="S420" s="41"/>
      <c r="T420" s="41"/>
      <c r="U420" s="41"/>
      <c r="V420" s="41"/>
      <c r="W420" s="41"/>
      <c r="X420" s="42" t="str">
        <f t="shared" si="252"/>
        <v>НБИбд</v>
      </c>
      <c r="Y420" s="43" t="s">
        <v>161</v>
      </c>
      <c r="Z420" s="39">
        <v>1</v>
      </c>
      <c r="AA420" s="39">
        <v>1</v>
      </c>
      <c r="AB420" s="42">
        <f t="shared" si="253"/>
        <v>16</v>
      </c>
      <c r="AC420" s="39">
        <v>15</v>
      </c>
      <c r="AD420" s="39">
        <v>1</v>
      </c>
      <c r="AE420" s="44">
        <f t="shared" si="254"/>
        <v>24</v>
      </c>
      <c r="AF420" s="45">
        <f t="shared" si="255"/>
        <v>0.66666666666666663</v>
      </c>
      <c r="AG420" s="45">
        <f t="shared" si="256"/>
        <v>0.66666666666666663</v>
      </c>
      <c r="AH420" s="46" t="s">
        <v>82</v>
      </c>
      <c r="AI420" s="40" t="s">
        <v>83</v>
      </c>
      <c r="AJ420" s="40" t="s">
        <v>116</v>
      </c>
      <c r="AK420" s="47" t="s">
        <v>119</v>
      </c>
      <c r="AL420" s="40"/>
      <c r="AM420" s="48">
        <f t="shared" si="257"/>
        <v>0</v>
      </c>
      <c r="AN420" s="48">
        <f t="shared" si="258"/>
        <v>12</v>
      </c>
      <c r="AO420" s="48">
        <f t="shared" si="259"/>
        <v>0</v>
      </c>
      <c r="AP420" s="48">
        <f t="shared" si="260"/>
        <v>0</v>
      </c>
      <c r="AQ420" s="48">
        <f t="shared" si="261"/>
        <v>0</v>
      </c>
      <c r="AR420" s="48">
        <f t="shared" si="262"/>
        <v>0</v>
      </c>
      <c r="AS420" s="48">
        <f t="shared" si="263"/>
        <v>0</v>
      </c>
      <c r="AT420" s="48">
        <f t="shared" si="264"/>
        <v>0</v>
      </c>
      <c r="AU420" s="48">
        <f t="shared" si="265"/>
        <v>0</v>
      </c>
      <c r="AV420" s="48">
        <f t="shared" si="266"/>
        <v>0</v>
      </c>
      <c r="AW420" s="48">
        <f>IF(N420="ПП",РПП*AB420*(V420/1.5),IF(N420="ВП",ВПр*AB420*(V420/1.5),IF(N420="РПА",РПА*AB420*(V420/1.5),IF(N420="КПА",кпа*AB420*(V420/1.5),0))))</f>
        <v>0</v>
      </c>
      <c r="AX420" s="48">
        <f t="shared" si="267"/>
        <v>0</v>
      </c>
      <c r="AY420" s="48">
        <f t="shared" si="268"/>
        <v>0</v>
      </c>
      <c r="AZ420" s="48">
        <f t="shared" si="269"/>
        <v>0</v>
      </c>
      <c r="BA420" s="48">
        <f t="shared" si="270"/>
        <v>0</v>
      </c>
      <c r="BB420" s="48">
        <f t="shared" si="271"/>
        <v>0</v>
      </c>
      <c r="BC420" s="48">
        <f t="shared" si="272"/>
        <v>0</v>
      </c>
      <c r="BD420" s="48">
        <f t="shared" si="273"/>
        <v>0</v>
      </c>
      <c r="BE420" s="48">
        <f t="shared" si="274"/>
        <v>0</v>
      </c>
      <c r="BF420" s="49">
        <f t="shared" si="275"/>
        <v>12</v>
      </c>
      <c r="BG420" s="50"/>
      <c r="BH420" s="51">
        <f t="shared" si="276"/>
        <v>12</v>
      </c>
      <c r="BI420" s="51">
        <f t="shared" si="277"/>
        <v>0.5</v>
      </c>
      <c r="BJ420" s="51">
        <f t="shared" si="278"/>
        <v>0</v>
      </c>
      <c r="BK420" s="52">
        <f t="shared" si="279"/>
        <v>0</v>
      </c>
      <c r="BL420" s="52">
        <f t="shared" si="280"/>
        <v>0</v>
      </c>
      <c r="BM420" s="52">
        <f t="shared" si="281"/>
        <v>0</v>
      </c>
    </row>
    <row r="421" spans="1:65" ht="30" customHeight="1" x14ac:dyDescent="0.25">
      <c r="A421" s="31" t="str">
        <f t="shared" si="247"/>
        <v>Д</v>
      </c>
      <c r="B421" s="31" t="str">
        <f t="shared" si="248"/>
        <v>Б</v>
      </c>
      <c r="C421" s="32" t="s">
        <v>226</v>
      </c>
      <c r="D421" s="33" t="str">
        <f t="shared" si="249"/>
        <v>Факультет физико-математических и естественных наук</v>
      </c>
      <c r="E421" s="34" t="str">
        <f t="shared" si="250"/>
        <v>'38.03.05</v>
      </c>
      <c r="F421" s="35" t="str">
        <f t="shared" si="251"/>
        <v>Бизнес-информатика</v>
      </c>
      <c r="G421" s="36" t="s">
        <v>153</v>
      </c>
      <c r="H421" s="36" t="s">
        <v>183</v>
      </c>
      <c r="I421" s="37"/>
      <c r="J421" s="37"/>
      <c r="K421" s="38" t="s">
        <v>169</v>
      </c>
      <c r="L421" s="39">
        <v>8</v>
      </c>
      <c r="M421" s="39">
        <v>18</v>
      </c>
      <c r="N421" s="126" t="s">
        <v>2680</v>
      </c>
      <c r="O421" s="39"/>
      <c r="P421" s="39"/>
      <c r="Q421" s="39"/>
      <c r="R421" s="40"/>
      <c r="S421" s="41"/>
      <c r="T421" s="41"/>
      <c r="U421" s="41"/>
      <c r="V421" s="41"/>
      <c r="W421" s="41">
        <v>15</v>
      </c>
      <c r="X421" s="42" t="str">
        <f t="shared" si="252"/>
        <v>НБИбд</v>
      </c>
      <c r="Y421" s="43" t="s">
        <v>161</v>
      </c>
      <c r="Z421" s="39">
        <v>3</v>
      </c>
      <c r="AA421" s="124">
        <v>1</v>
      </c>
      <c r="AB421" s="42">
        <f t="shared" si="253"/>
        <v>18</v>
      </c>
      <c r="AC421" s="39">
        <v>15</v>
      </c>
      <c r="AD421" s="58">
        <v>3</v>
      </c>
      <c r="AE421" s="44">
        <f t="shared" si="254"/>
        <v>1</v>
      </c>
      <c r="AF421" s="45">
        <f t="shared" si="255"/>
        <v>1</v>
      </c>
      <c r="AG421" s="45">
        <f t="shared" si="256"/>
        <v>18</v>
      </c>
      <c r="AH421" s="46" t="s">
        <v>82</v>
      </c>
      <c r="AI421" s="40" t="s">
        <v>115</v>
      </c>
      <c r="AJ421" s="40" t="s">
        <v>84</v>
      </c>
      <c r="AK421" s="47" t="s">
        <v>147</v>
      </c>
      <c r="AL421" s="40"/>
      <c r="AM421" s="48">
        <f t="shared" si="257"/>
        <v>0</v>
      </c>
      <c r="AN421" s="48">
        <f t="shared" si="258"/>
        <v>0</v>
      </c>
      <c r="AO421" s="48">
        <f t="shared" si="259"/>
        <v>0</v>
      </c>
      <c r="AP421" s="48">
        <f t="shared" si="260"/>
        <v>0</v>
      </c>
      <c r="AQ421" s="48">
        <f t="shared" si="261"/>
        <v>0</v>
      </c>
      <c r="AR421" s="48">
        <f t="shared" si="262"/>
        <v>0</v>
      </c>
      <c r="AS421" s="48">
        <f t="shared" si="263"/>
        <v>0</v>
      </c>
      <c r="AT421" s="48">
        <f t="shared" si="264"/>
        <v>0</v>
      </c>
      <c r="AU421" s="48">
        <f t="shared" si="265"/>
        <v>0</v>
      </c>
      <c r="AV421" s="48">
        <f t="shared" si="266"/>
        <v>0</v>
      </c>
      <c r="AW421" s="48">
        <f>IF(N421="ПП",РПП*AB421*(V421/1.5),IF(N421="ВП",ВПр*AB421*(V421/1.5),IF(N421="РПА",РПА*AB421*(V421/1.5),IF(N421="КПА",кпа*AB421*(V421/1.5),0))))</f>
        <v>0</v>
      </c>
      <c r="AX421" s="48">
        <f t="shared" si="267"/>
        <v>195</v>
      </c>
      <c r="AY421" s="48">
        <f t="shared" si="268"/>
        <v>0</v>
      </c>
      <c r="AZ421" s="48">
        <f t="shared" si="269"/>
        <v>0</v>
      </c>
      <c r="BA421" s="48">
        <f t="shared" si="270"/>
        <v>0</v>
      </c>
      <c r="BB421" s="48">
        <f t="shared" si="271"/>
        <v>0</v>
      </c>
      <c r="BC421" s="48">
        <f t="shared" si="272"/>
        <v>0</v>
      </c>
      <c r="BD421" s="48">
        <f t="shared" si="273"/>
        <v>0</v>
      </c>
      <c r="BE421" s="48">
        <f t="shared" si="274"/>
        <v>0</v>
      </c>
      <c r="BF421" s="49">
        <f t="shared" si="275"/>
        <v>195</v>
      </c>
      <c r="BG421" s="50"/>
      <c r="BH421" s="51">
        <f t="shared" si="276"/>
        <v>0</v>
      </c>
      <c r="BI421" s="51">
        <f t="shared" si="277"/>
        <v>0</v>
      </c>
      <c r="BJ421" s="51">
        <f t="shared" si="278"/>
        <v>0</v>
      </c>
      <c r="BK421" s="52">
        <f t="shared" si="279"/>
        <v>0</v>
      </c>
      <c r="BL421" s="52">
        <f t="shared" si="280"/>
        <v>0</v>
      </c>
      <c r="BM421" s="52">
        <f t="shared" si="281"/>
        <v>195</v>
      </c>
    </row>
    <row r="422" spans="1:65" ht="30" customHeight="1" x14ac:dyDescent="0.25">
      <c r="A422" s="31" t="str">
        <f t="shared" si="247"/>
        <v>Д</v>
      </c>
      <c r="B422" s="31" t="str">
        <f t="shared" si="248"/>
        <v>Б</v>
      </c>
      <c r="C422" s="32" t="s">
        <v>226</v>
      </c>
      <c r="D422" s="33" t="str">
        <f t="shared" si="249"/>
        <v>Факультет физико-математических и естественных наук</v>
      </c>
      <c r="E422" s="34" t="str">
        <f t="shared" si="250"/>
        <v>'38.03.05</v>
      </c>
      <c r="F422" s="35" t="str">
        <f t="shared" si="251"/>
        <v>Бизнес-информатика</v>
      </c>
      <c r="G422" s="36" t="s">
        <v>153</v>
      </c>
      <c r="H422" s="36" t="s">
        <v>183</v>
      </c>
      <c r="I422" s="37"/>
      <c r="J422" s="37"/>
      <c r="K422" s="38" t="s">
        <v>170</v>
      </c>
      <c r="L422" s="39">
        <v>8</v>
      </c>
      <c r="M422" s="39">
        <v>18</v>
      </c>
      <c r="N422" s="40" t="s">
        <v>168</v>
      </c>
      <c r="O422" s="39"/>
      <c r="P422" s="39"/>
      <c r="Q422" s="39"/>
      <c r="R422" s="40"/>
      <c r="S422" s="41"/>
      <c r="T422" s="41"/>
      <c r="U422" s="41"/>
      <c r="V422" s="41">
        <v>6</v>
      </c>
      <c r="W422" s="41"/>
      <c r="X422" s="42" t="str">
        <f t="shared" si="252"/>
        <v>НБИбд</v>
      </c>
      <c r="Y422" s="43" t="s">
        <v>161</v>
      </c>
      <c r="Z422" s="39">
        <v>3</v>
      </c>
      <c r="AA422" s="124">
        <v>1</v>
      </c>
      <c r="AB422" s="42">
        <f t="shared" si="253"/>
        <v>18</v>
      </c>
      <c r="AC422" s="39">
        <v>15</v>
      </c>
      <c r="AD422" s="58">
        <v>3</v>
      </c>
      <c r="AE422" s="44">
        <f t="shared" si="254"/>
        <v>1</v>
      </c>
      <c r="AF422" s="45">
        <f t="shared" si="255"/>
        <v>1</v>
      </c>
      <c r="AG422" s="45">
        <f t="shared" si="256"/>
        <v>18</v>
      </c>
      <c r="AH422" s="46" t="s">
        <v>82</v>
      </c>
      <c r="AI422" s="40" t="s">
        <v>99</v>
      </c>
      <c r="AJ422" s="40" t="s">
        <v>100</v>
      </c>
      <c r="AK422" s="47" t="s">
        <v>101</v>
      </c>
      <c r="AL422" s="40"/>
      <c r="AM422" s="48">
        <f t="shared" si="257"/>
        <v>0</v>
      </c>
      <c r="AN422" s="48">
        <f t="shared" si="258"/>
        <v>0</v>
      </c>
      <c r="AO422" s="48">
        <f t="shared" si="259"/>
        <v>0</v>
      </c>
      <c r="AP422" s="48">
        <f t="shared" si="260"/>
        <v>0</v>
      </c>
      <c r="AQ422" s="48">
        <f t="shared" si="261"/>
        <v>0</v>
      </c>
      <c r="AR422" s="48">
        <f t="shared" si="262"/>
        <v>0</v>
      </c>
      <c r="AS422" s="48">
        <f t="shared" si="263"/>
        <v>0</v>
      </c>
      <c r="AT422" s="48">
        <f t="shared" si="264"/>
        <v>0</v>
      </c>
      <c r="AU422" s="48">
        <f t="shared" si="265"/>
        <v>0</v>
      </c>
      <c r="AV422" s="48">
        <f t="shared" si="266"/>
        <v>0</v>
      </c>
      <c r="AW422" s="48">
        <f>IF(N422="ПП",РПП*AB422*(V422/1.5),IF(N422="ВП",ВПр*AB422*(V422/1.5),IF(N422="РПА",РПА*AB422*(V422/1.5),IF(N422="КПА",кпа*AB422*(V422/1.5),0))))</f>
        <v>108</v>
      </c>
      <c r="AX422" s="48">
        <f t="shared" si="267"/>
        <v>0</v>
      </c>
      <c r="AY422" s="48">
        <f t="shared" si="268"/>
        <v>0</v>
      </c>
      <c r="AZ422" s="48">
        <f t="shared" si="269"/>
        <v>0</v>
      </c>
      <c r="BA422" s="48">
        <f t="shared" si="270"/>
        <v>0</v>
      </c>
      <c r="BB422" s="48">
        <f t="shared" si="271"/>
        <v>0</v>
      </c>
      <c r="BC422" s="48">
        <f t="shared" si="272"/>
        <v>0</v>
      </c>
      <c r="BD422" s="48">
        <f t="shared" si="273"/>
        <v>0</v>
      </c>
      <c r="BE422" s="48">
        <f t="shared" si="274"/>
        <v>0</v>
      </c>
      <c r="BF422" s="49">
        <f t="shared" si="275"/>
        <v>108</v>
      </c>
      <c r="BG422" s="50"/>
      <c r="BH422" s="51">
        <f t="shared" si="276"/>
        <v>0</v>
      </c>
      <c r="BI422" s="51">
        <f t="shared" si="277"/>
        <v>0</v>
      </c>
      <c r="BJ422" s="51">
        <f t="shared" si="278"/>
        <v>0</v>
      </c>
      <c r="BK422" s="52">
        <f t="shared" si="279"/>
        <v>0</v>
      </c>
      <c r="BL422" s="52">
        <f t="shared" si="280"/>
        <v>0</v>
      </c>
      <c r="BM422" s="52">
        <f t="shared" si="281"/>
        <v>108</v>
      </c>
    </row>
    <row r="423" spans="1:65" ht="30" customHeight="1" x14ac:dyDescent="0.25">
      <c r="A423" s="31" t="str">
        <f t="shared" si="247"/>
        <v>Д</v>
      </c>
      <c r="B423" s="31" t="str">
        <f t="shared" si="248"/>
        <v>Б</v>
      </c>
      <c r="C423" s="32" t="s">
        <v>226</v>
      </c>
      <c r="D423" s="33" t="str">
        <f t="shared" si="249"/>
        <v>Факультет физико-математических и естественных наук</v>
      </c>
      <c r="E423" s="34" t="str">
        <f t="shared" si="250"/>
        <v>'38.03.05</v>
      </c>
      <c r="F423" s="35" t="str">
        <f t="shared" si="251"/>
        <v>Бизнес-информатика</v>
      </c>
      <c r="G423" s="36" t="s">
        <v>166</v>
      </c>
      <c r="H423" s="36" t="s">
        <v>77</v>
      </c>
      <c r="I423" s="37"/>
      <c r="J423" s="37"/>
      <c r="K423" s="38" t="s">
        <v>175</v>
      </c>
      <c r="L423" s="39">
        <v>8</v>
      </c>
      <c r="M423" s="39"/>
      <c r="N423" s="40" t="s">
        <v>176</v>
      </c>
      <c r="O423" s="39"/>
      <c r="P423" s="39"/>
      <c r="Q423" s="39"/>
      <c r="R423" s="40"/>
      <c r="S423" s="41"/>
      <c r="T423" s="41"/>
      <c r="U423" s="41"/>
      <c r="V423" s="41">
        <v>3</v>
      </c>
      <c r="W423" s="41"/>
      <c r="X423" s="42" t="str">
        <f t="shared" si="252"/>
        <v>НБИбд</v>
      </c>
      <c r="Y423" s="43" t="s">
        <v>161</v>
      </c>
      <c r="Z423" s="39">
        <v>3</v>
      </c>
      <c r="AA423" s="124">
        <v>1</v>
      </c>
      <c r="AB423" s="42">
        <f t="shared" si="253"/>
        <v>18</v>
      </c>
      <c r="AC423" s="39">
        <v>15</v>
      </c>
      <c r="AD423" s="58">
        <v>3</v>
      </c>
      <c r="AE423" s="44">
        <f t="shared" si="254"/>
        <v>24</v>
      </c>
      <c r="AF423" s="45">
        <f t="shared" si="255"/>
        <v>0.75</v>
      </c>
      <c r="AG423" s="45">
        <f t="shared" si="256"/>
        <v>0.75</v>
      </c>
      <c r="AH423" s="46" t="s">
        <v>82</v>
      </c>
      <c r="AI423" s="40" t="s">
        <v>83</v>
      </c>
      <c r="AJ423" s="40" t="s">
        <v>84</v>
      </c>
      <c r="AK423" s="47" t="s">
        <v>93</v>
      </c>
      <c r="AL423" s="40"/>
      <c r="AM423" s="48">
        <f t="shared" si="257"/>
        <v>0</v>
      </c>
      <c r="AN423" s="48">
        <f t="shared" si="258"/>
        <v>0</v>
      </c>
      <c r="AO423" s="48">
        <f t="shared" si="259"/>
        <v>0</v>
      </c>
      <c r="AP423" s="48">
        <f t="shared" si="260"/>
        <v>0</v>
      </c>
      <c r="AQ423" s="48">
        <f t="shared" si="261"/>
        <v>0</v>
      </c>
      <c r="AR423" s="48">
        <f t="shared" si="262"/>
        <v>0</v>
      </c>
      <c r="AS423" s="48">
        <f t="shared" si="263"/>
        <v>0</v>
      </c>
      <c r="AT423" s="48">
        <f t="shared" si="264"/>
        <v>0</v>
      </c>
      <c r="AU423" s="48">
        <f t="shared" si="265"/>
        <v>0</v>
      </c>
      <c r="AV423" s="48">
        <f t="shared" si="266"/>
        <v>0</v>
      </c>
      <c r="AW423" s="48">
        <f>IF(N423="ПП",РПП*AB423*(V423/1.5),IF(N423="ВП",ВПр*AB423*(V423/1.5),IF(N423="РПА",РПА*AB423*(V423/1.5),IF(N423="КПА",кпа*AB423*(V423/1.5),0))))</f>
        <v>0</v>
      </c>
      <c r="AX423" s="48">
        <f t="shared" si="267"/>
        <v>0</v>
      </c>
      <c r="AY423" s="48">
        <f t="shared" si="268"/>
        <v>0</v>
      </c>
      <c r="AZ423" s="48">
        <f t="shared" si="269"/>
        <v>0</v>
      </c>
      <c r="BA423" s="48">
        <f t="shared" si="270"/>
        <v>0</v>
      </c>
      <c r="BB423" s="48">
        <f t="shared" si="271"/>
        <v>0</v>
      </c>
      <c r="BC423" s="48">
        <f t="shared" si="272"/>
        <v>0</v>
      </c>
      <c r="BD423" s="48">
        <f t="shared" si="273"/>
        <v>0</v>
      </c>
      <c r="BE423" s="48">
        <f t="shared" si="274"/>
        <v>1.5</v>
      </c>
      <c r="BF423" s="49">
        <f t="shared" si="275"/>
        <v>1.5</v>
      </c>
      <c r="BG423" s="50"/>
      <c r="BH423" s="51">
        <f t="shared" si="276"/>
        <v>0</v>
      </c>
      <c r="BI423" s="51">
        <f t="shared" si="277"/>
        <v>0</v>
      </c>
      <c r="BJ423" s="51">
        <f t="shared" si="278"/>
        <v>0</v>
      </c>
      <c r="BK423" s="52">
        <f t="shared" si="279"/>
        <v>0</v>
      </c>
      <c r="BL423" s="52">
        <f t="shared" si="280"/>
        <v>0</v>
      </c>
      <c r="BM423" s="52">
        <f t="shared" si="281"/>
        <v>1.5</v>
      </c>
    </row>
    <row r="424" spans="1:65" ht="30" customHeight="1" x14ac:dyDescent="0.25">
      <c r="A424" s="31" t="str">
        <f t="shared" si="247"/>
        <v>Д</v>
      </c>
      <c r="B424" s="31" t="str">
        <f t="shared" si="248"/>
        <v>Б</v>
      </c>
      <c r="C424" s="32" t="s">
        <v>226</v>
      </c>
      <c r="D424" s="33" t="str">
        <f t="shared" si="249"/>
        <v>Факультет физико-математических и естественных наук</v>
      </c>
      <c r="E424" s="34" t="str">
        <f t="shared" si="250"/>
        <v>'38.03.05</v>
      </c>
      <c r="F424" s="35" t="str">
        <f t="shared" si="251"/>
        <v>Бизнес-информатика</v>
      </c>
      <c r="G424" s="36" t="s">
        <v>166</v>
      </c>
      <c r="H424" s="36" t="s">
        <v>77</v>
      </c>
      <c r="I424" s="37"/>
      <c r="J424" s="37"/>
      <c r="K424" s="38" t="s">
        <v>177</v>
      </c>
      <c r="L424" s="39">
        <v>8</v>
      </c>
      <c r="M424" s="39"/>
      <c r="N424" s="40" t="s">
        <v>181</v>
      </c>
      <c r="O424" s="39"/>
      <c r="P424" s="39"/>
      <c r="Q424" s="39"/>
      <c r="R424" s="40"/>
      <c r="S424" s="41"/>
      <c r="T424" s="41"/>
      <c r="U424" s="41"/>
      <c r="V424" s="41"/>
      <c r="W424" s="41"/>
      <c r="X424" s="42" t="str">
        <f t="shared" si="252"/>
        <v>НБИбд</v>
      </c>
      <c r="Y424" s="43" t="s">
        <v>161</v>
      </c>
      <c r="Z424" s="39">
        <v>3</v>
      </c>
      <c r="AA424" s="124">
        <v>1</v>
      </c>
      <c r="AB424" s="42">
        <f t="shared" si="253"/>
        <v>18</v>
      </c>
      <c r="AC424" s="39">
        <v>15</v>
      </c>
      <c r="AD424" s="58">
        <v>3</v>
      </c>
      <c r="AE424" s="44">
        <f t="shared" si="254"/>
        <v>1</v>
      </c>
      <c r="AF424" s="45">
        <f t="shared" si="255"/>
        <v>1</v>
      </c>
      <c r="AG424" s="45">
        <f t="shared" si="256"/>
        <v>18</v>
      </c>
      <c r="AH424" s="46" t="s">
        <v>82</v>
      </c>
      <c r="AI424" s="40" t="s">
        <v>83</v>
      </c>
      <c r="AJ424" s="40" t="s">
        <v>84</v>
      </c>
      <c r="AK424" s="47" t="s">
        <v>93</v>
      </c>
      <c r="AL424" s="40"/>
      <c r="AM424" s="48">
        <f t="shared" si="257"/>
        <v>0</v>
      </c>
      <c r="AN424" s="48">
        <f t="shared" si="258"/>
        <v>0</v>
      </c>
      <c r="AO424" s="48">
        <f t="shared" si="259"/>
        <v>0</v>
      </c>
      <c r="AP424" s="48">
        <f t="shared" si="260"/>
        <v>0</v>
      </c>
      <c r="AQ424" s="48">
        <f t="shared" si="261"/>
        <v>0</v>
      </c>
      <c r="AR424" s="48">
        <f t="shared" si="262"/>
        <v>0</v>
      </c>
      <c r="AS424" s="48">
        <f t="shared" si="263"/>
        <v>0</v>
      </c>
      <c r="AT424" s="48">
        <f t="shared" si="264"/>
        <v>0</v>
      </c>
      <c r="AU424" s="48">
        <f t="shared" si="265"/>
        <v>0</v>
      </c>
      <c r="AV424" s="48">
        <f t="shared" si="266"/>
        <v>0</v>
      </c>
      <c r="AW424" s="48">
        <f>IF(N424="ПП",РПП*AB424*(V424/1.5),IF(N424="ВП",ВПр*AB424*(V424/1.5),IF(N424="РПА",РПА*AB424*(V424/1.5),IF(N424="КПА",кпа*AB424*(V424/1.5),0))))</f>
        <v>0</v>
      </c>
      <c r="AX424" s="48">
        <f t="shared" si="267"/>
        <v>0</v>
      </c>
      <c r="AY424" s="48">
        <f t="shared" si="268"/>
        <v>0</v>
      </c>
      <c r="AZ424" s="48">
        <f t="shared" si="269"/>
        <v>0</v>
      </c>
      <c r="BA424" s="48">
        <f t="shared" si="270"/>
        <v>0</v>
      </c>
      <c r="BB424" s="48">
        <f t="shared" si="271"/>
        <v>0</v>
      </c>
      <c r="BC424" s="48">
        <f t="shared" si="272"/>
        <v>0</v>
      </c>
      <c r="BD424" s="48">
        <f t="shared" si="273"/>
        <v>0</v>
      </c>
      <c r="BE424" s="48">
        <f t="shared" si="274"/>
        <v>9</v>
      </c>
      <c r="BF424" s="49">
        <f t="shared" si="275"/>
        <v>9</v>
      </c>
      <c r="BG424" s="50"/>
      <c r="BH424" s="51">
        <f t="shared" si="276"/>
        <v>0</v>
      </c>
      <c r="BI424" s="51">
        <f t="shared" si="277"/>
        <v>0</v>
      </c>
      <c r="BJ424" s="51">
        <f t="shared" si="278"/>
        <v>0</v>
      </c>
      <c r="BK424" s="52">
        <f t="shared" si="279"/>
        <v>0</v>
      </c>
      <c r="BL424" s="52">
        <f t="shared" si="280"/>
        <v>0</v>
      </c>
      <c r="BM424" s="52">
        <f t="shared" si="281"/>
        <v>9</v>
      </c>
    </row>
    <row r="425" spans="1:65" ht="30" customHeight="1" x14ac:dyDescent="0.25">
      <c r="A425" s="31" t="str">
        <f t="shared" si="247"/>
        <v>Д</v>
      </c>
      <c r="B425" s="31" t="str">
        <f t="shared" si="248"/>
        <v>Б</v>
      </c>
      <c r="C425" s="32" t="s">
        <v>226</v>
      </c>
      <c r="D425" s="33" t="str">
        <f t="shared" si="249"/>
        <v>Факультет физико-математических и естественных наук</v>
      </c>
      <c r="E425" s="34" t="str">
        <f t="shared" si="250"/>
        <v>'38.03.05</v>
      </c>
      <c r="F425" s="35" t="str">
        <f t="shared" si="251"/>
        <v>Бизнес-информатика</v>
      </c>
      <c r="G425" s="36" t="s">
        <v>166</v>
      </c>
      <c r="H425" s="36" t="s">
        <v>77</v>
      </c>
      <c r="I425" s="37"/>
      <c r="J425" s="37"/>
      <c r="K425" s="38" t="s">
        <v>171</v>
      </c>
      <c r="L425" s="39">
        <v>8</v>
      </c>
      <c r="M425" s="39"/>
      <c r="N425" s="40" t="s">
        <v>172</v>
      </c>
      <c r="O425" s="39"/>
      <c r="P425" s="39"/>
      <c r="Q425" s="39"/>
      <c r="R425" s="40" t="s">
        <v>173</v>
      </c>
      <c r="S425" s="41"/>
      <c r="T425" s="41"/>
      <c r="U425" s="41"/>
      <c r="V425" s="41"/>
      <c r="W425" s="41"/>
      <c r="X425" s="42" t="str">
        <f t="shared" si="252"/>
        <v>НБИбд</v>
      </c>
      <c r="Y425" s="43" t="s">
        <v>161</v>
      </c>
      <c r="Z425" s="39">
        <v>3</v>
      </c>
      <c r="AA425" s="124">
        <v>1</v>
      </c>
      <c r="AB425" s="42">
        <f t="shared" si="253"/>
        <v>18</v>
      </c>
      <c r="AC425" s="39">
        <v>15</v>
      </c>
      <c r="AD425" s="58">
        <v>3</v>
      </c>
      <c r="AE425" s="44">
        <f t="shared" si="254"/>
        <v>1</v>
      </c>
      <c r="AF425" s="45">
        <f t="shared" si="255"/>
        <v>1</v>
      </c>
      <c r="AG425" s="45">
        <f t="shared" si="256"/>
        <v>18</v>
      </c>
      <c r="AH425" s="46" t="s">
        <v>82</v>
      </c>
      <c r="AI425" s="40" t="s">
        <v>83</v>
      </c>
      <c r="AJ425" s="40" t="s">
        <v>84</v>
      </c>
      <c r="AK425" s="47" t="s">
        <v>97</v>
      </c>
      <c r="AL425" s="40"/>
      <c r="AM425" s="48">
        <f t="shared" si="257"/>
        <v>0</v>
      </c>
      <c r="AN425" s="48">
        <f t="shared" si="258"/>
        <v>0</v>
      </c>
      <c r="AO425" s="48">
        <f t="shared" si="259"/>
        <v>0</v>
      </c>
      <c r="AP425" s="48">
        <f t="shared" si="260"/>
        <v>0</v>
      </c>
      <c r="AQ425" s="48">
        <f t="shared" si="261"/>
        <v>0</v>
      </c>
      <c r="AR425" s="48">
        <f t="shared" si="262"/>
        <v>0</v>
      </c>
      <c r="AS425" s="48">
        <f t="shared" si="263"/>
        <v>0</v>
      </c>
      <c r="AT425" s="48">
        <f t="shared" si="264"/>
        <v>0</v>
      </c>
      <c r="AU425" s="48">
        <f t="shared" si="265"/>
        <v>0</v>
      </c>
      <c r="AV425" s="48">
        <f t="shared" si="266"/>
        <v>0</v>
      </c>
      <c r="AW425" s="48">
        <f>IF(N425="ПП",РПП*AB425*(V425/1.5),IF(N425="ВП",ВПр*AB425*(V425/1.5),IF(N425="РПА",РПА*AB425*(V425/1.5),IF(N425="КПА",кпа*AB425*(V425/1.5),0))))</f>
        <v>0</v>
      </c>
      <c r="AX425" s="48">
        <f t="shared" si="267"/>
        <v>0</v>
      </c>
      <c r="AY425" s="48">
        <f t="shared" si="268"/>
        <v>0</v>
      </c>
      <c r="AZ425" s="48">
        <f t="shared" si="269"/>
        <v>0</v>
      </c>
      <c r="BA425" s="48">
        <f t="shared" si="270"/>
        <v>0</v>
      </c>
      <c r="BB425" s="48">
        <f t="shared" si="271"/>
        <v>0</v>
      </c>
      <c r="BC425" s="48">
        <f t="shared" si="272"/>
        <v>390</v>
      </c>
      <c r="BD425" s="48">
        <f t="shared" si="273"/>
        <v>0</v>
      </c>
      <c r="BE425" s="48">
        <f t="shared" si="274"/>
        <v>0</v>
      </c>
      <c r="BF425" s="49">
        <f t="shared" si="275"/>
        <v>390</v>
      </c>
      <c r="BG425" s="50"/>
      <c r="BH425" s="51">
        <f t="shared" si="276"/>
        <v>0</v>
      </c>
      <c r="BI425" s="51">
        <f t="shared" si="277"/>
        <v>0</v>
      </c>
      <c r="BJ425" s="51">
        <f t="shared" si="278"/>
        <v>0</v>
      </c>
      <c r="BK425" s="52">
        <f t="shared" si="279"/>
        <v>0</v>
      </c>
      <c r="BL425" s="52">
        <f t="shared" si="280"/>
        <v>0</v>
      </c>
      <c r="BM425" s="52">
        <f t="shared" si="281"/>
        <v>390</v>
      </c>
    </row>
    <row r="426" spans="1:65" ht="30" customHeight="1" x14ac:dyDescent="0.25">
      <c r="A426" s="31" t="str">
        <f t="shared" si="247"/>
        <v>Д</v>
      </c>
      <c r="B426" s="31" t="str">
        <f t="shared" si="248"/>
        <v>Б</v>
      </c>
      <c r="C426" s="32" t="s">
        <v>226</v>
      </c>
      <c r="D426" s="33" t="str">
        <f t="shared" si="249"/>
        <v>Факультет физико-математических и естественных наук</v>
      </c>
      <c r="E426" s="34" t="str">
        <f t="shared" si="250"/>
        <v>'38.03.05</v>
      </c>
      <c r="F426" s="35" t="str">
        <f t="shared" si="251"/>
        <v>Бизнес-информатика</v>
      </c>
      <c r="G426" s="36" t="s">
        <v>166</v>
      </c>
      <c r="H426" s="36" t="s">
        <v>77</v>
      </c>
      <c r="I426" s="37"/>
      <c r="J426" s="37"/>
      <c r="K426" s="38" t="s">
        <v>47</v>
      </c>
      <c r="L426" s="39">
        <v>8</v>
      </c>
      <c r="M426" s="39"/>
      <c r="N426" s="40" t="s">
        <v>174</v>
      </c>
      <c r="O426" s="39"/>
      <c r="P426" s="39"/>
      <c r="Q426" s="39"/>
      <c r="R426" s="40"/>
      <c r="S426" s="41"/>
      <c r="T426" s="41"/>
      <c r="U426" s="41"/>
      <c r="V426" s="41"/>
      <c r="W426" s="41"/>
      <c r="X426" s="42" t="str">
        <f t="shared" si="252"/>
        <v>НБИбд</v>
      </c>
      <c r="Y426" s="43" t="s">
        <v>161</v>
      </c>
      <c r="Z426" s="39">
        <v>3</v>
      </c>
      <c r="AA426" s="124">
        <v>1</v>
      </c>
      <c r="AB426" s="42">
        <f t="shared" si="253"/>
        <v>18</v>
      </c>
      <c r="AC426" s="39">
        <v>15</v>
      </c>
      <c r="AD426" s="58">
        <v>3</v>
      </c>
      <c r="AE426" s="44">
        <f t="shared" si="254"/>
        <v>1</v>
      </c>
      <c r="AF426" s="45">
        <f t="shared" si="255"/>
        <v>1</v>
      </c>
      <c r="AG426" s="45">
        <f t="shared" si="256"/>
        <v>18</v>
      </c>
      <c r="AH426" s="46" t="s">
        <v>82</v>
      </c>
      <c r="AI426" s="40" t="s">
        <v>83</v>
      </c>
      <c r="AJ426" s="40" t="s">
        <v>84</v>
      </c>
      <c r="AK426" s="47" t="s">
        <v>97</v>
      </c>
      <c r="AL426" s="40"/>
      <c r="AM426" s="48">
        <f t="shared" si="257"/>
        <v>0</v>
      </c>
      <c r="AN426" s="48">
        <f t="shared" si="258"/>
        <v>0</v>
      </c>
      <c r="AO426" s="48">
        <f t="shared" si="259"/>
        <v>0</v>
      </c>
      <c r="AP426" s="48">
        <f t="shared" si="260"/>
        <v>0</v>
      </c>
      <c r="AQ426" s="48">
        <f t="shared" si="261"/>
        <v>0</v>
      </c>
      <c r="AR426" s="48">
        <f t="shared" si="262"/>
        <v>0</v>
      </c>
      <c r="AS426" s="48">
        <f t="shared" si="263"/>
        <v>0</v>
      </c>
      <c r="AT426" s="48">
        <f t="shared" si="264"/>
        <v>0</v>
      </c>
      <c r="AU426" s="48">
        <f t="shared" si="265"/>
        <v>0</v>
      </c>
      <c r="AV426" s="48">
        <f t="shared" si="266"/>
        <v>0</v>
      </c>
      <c r="AW426" s="48">
        <f>IF(N426="ПП",РПП*AB426*(V426/1.5),IF(N426="ВП",ВПр*AB426*(V426/1.5),IF(N426="РПА",РПА*AB426*(V426/1.5),IF(N426="КПА",кпа*AB426*(V426/1.5),0))))</f>
        <v>0</v>
      </c>
      <c r="AX426" s="48">
        <f t="shared" si="267"/>
        <v>0</v>
      </c>
      <c r="AY426" s="48">
        <f t="shared" si="268"/>
        <v>0</v>
      </c>
      <c r="AZ426" s="48">
        <f t="shared" si="269"/>
        <v>0</v>
      </c>
      <c r="BA426" s="48">
        <f t="shared" si="270"/>
        <v>0</v>
      </c>
      <c r="BB426" s="48">
        <f t="shared" si="271"/>
        <v>0</v>
      </c>
      <c r="BC426" s="48">
        <f t="shared" si="272"/>
        <v>0</v>
      </c>
      <c r="BD426" s="48">
        <f t="shared" si="273"/>
        <v>36</v>
      </c>
      <c r="BE426" s="48">
        <f t="shared" si="274"/>
        <v>0</v>
      </c>
      <c r="BF426" s="49">
        <f t="shared" si="275"/>
        <v>36</v>
      </c>
      <c r="BG426" s="50"/>
      <c r="BH426" s="51">
        <f t="shared" si="276"/>
        <v>0</v>
      </c>
      <c r="BI426" s="51">
        <f t="shared" si="277"/>
        <v>0</v>
      </c>
      <c r="BJ426" s="51">
        <f t="shared" si="278"/>
        <v>0</v>
      </c>
      <c r="BK426" s="52">
        <f t="shared" si="279"/>
        <v>0</v>
      </c>
      <c r="BL426" s="52">
        <f t="shared" si="280"/>
        <v>0</v>
      </c>
      <c r="BM426" s="52">
        <f t="shared" si="281"/>
        <v>36</v>
      </c>
    </row>
    <row r="427" spans="1:65" ht="30" customHeight="1" x14ac:dyDescent="0.25">
      <c r="A427" s="31" t="str">
        <f t="shared" si="247"/>
        <v>Д</v>
      </c>
      <c r="B427" s="31" t="str">
        <f t="shared" si="248"/>
        <v>Б</v>
      </c>
      <c r="C427" s="32" t="s">
        <v>239</v>
      </c>
      <c r="D427" s="33" t="str">
        <f t="shared" si="249"/>
        <v>Факультет физико-математических и естественных наук</v>
      </c>
      <c r="E427" s="34" t="str">
        <f t="shared" si="250"/>
        <v>'38.03.05</v>
      </c>
      <c r="F427" s="35" t="str">
        <f t="shared" si="251"/>
        <v>Кибербезопасность в экономике</v>
      </c>
      <c r="G427" s="36" t="s">
        <v>76</v>
      </c>
      <c r="H427" s="36" t="s">
        <v>77</v>
      </c>
      <c r="I427" s="37"/>
      <c r="J427" s="37"/>
      <c r="K427" s="38" t="s">
        <v>230</v>
      </c>
      <c r="L427" s="39">
        <v>3</v>
      </c>
      <c r="M427" s="39">
        <v>18</v>
      </c>
      <c r="N427" s="40" t="s">
        <v>79</v>
      </c>
      <c r="O427" s="39">
        <v>1</v>
      </c>
      <c r="P427" s="39"/>
      <c r="Q427" s="39"/>
      <c r="R427" s="40" t="s">
        <v>80</v>
      </c>
      <c r="S427" s="41"/>
      <c r="T427" s="41"/>
      <c r="U427" s="41"/>
      <c r="V427" s="41"/>
      <c r="W427" s="41"/>
      <c r="X427" s="42" t="str">
        <f t="shared" si="252"/>
        <v>НБИбд</v>
      </c>
      <c r="Y427" s="43" t="s">
        <v>107</v>
      </c>
      <c r="Z427" s="39">
        <v>2</v>
      </c>
      <c r="AA427" s="39">
        <v>1</v>
      </c>
      <c r="AB427" s="42">
        <f t="shared" si="253"/>
        <v>31</v>
      </c>
      <c r="AC427" s="39">
        <v>26</v>
      </c>
      <c r="AD427" s="39">
        <v>5</v>
      </c>
      <c r="AE427" s="44">
        <f t="shared" si="254"/>
        <v>31</v>
      </c>
      <c r="AF427" s="45">
        <f t="shared" si="255"/>
        <v>1</v>
      </c>
      <c r="AG427" s="45">
        <f t="shared" si="256"/>
        <v>1</v>
      </c>
      <c r="AH427" s="46" t="s">
        <v>82</v>
      </c>
      <c r="AI427" s="40" t="s">
        <v>99</v>
      </c>
      <c r="AJ427" s="40" t="s">
        <v>84</v>
      </c>
      <c r="AK427" s="47" t="s">
        <v>134</v>
      </c>
      <c r="AL427" s="40"/>
      <c r="AM427" s="48">
        <f t="shared" si="257"/>
        <v>18</v>
      </c>
      <c r="AN427" s="48">
        <f t="shared" si="258"/>
        <v>0</v>
      </c>
      <c r="AO427" s="48">
        <f t="shared" si="259"/>
        <v>0</v>
      </c>
      <c r="AP427" s="48">
        <f t="shared" si="260"/>
        <v>10.23</v>
      </c>
      <c r="AQ427" s="48">
        <f t="shared" si="261"/>
        <v>15.5</v>
      </c>
      <c r="AR427" s="48">
        <f t="shared" si="262"/>
        <v>1</v>
      </c>
      <c r="AS427" s="48">
        <f t="shared" si="263"/>
        <v>0.9</v>
      </c>
      <c r="AT427" s="48">
        <f t="shared" si="264"/>
        <v>0</v>
      </c>
      <c r="AU427" s="48">
        <f t="shared" si="265"/>
        <v>0</v>
      </c>
      <c r="AV427" s="48">
        <f t="shared" si="266"/>
        <v>0</v>
      </c>
      <c r="AW427" s="48">
        <f>IF(N427="ПП",РПП*AB427*(V427/1.5),IF(N427="ВП",ВПр*AB427*(V427/1.5),IF(N427="РПА",РПА*AB427*(V427/1.5),IF(N427="КПА",кпа*AB427*(V427/1.5),0))))</f>
        <v>0</v>
      </c>
      <c r="AX427" s="48">
        <f t="shared" si="267"/>
        <v>0</v>
      </c>
      <c r="AY427" s="48">
        <f t="shared" si="268"/>
        <v>0</v>
      </c>
      <c r="AZ427" s="48">
        <f t="shared" si="269"/>
        <v>0</v>
      </c>
      <c r="BA427" s="48">
        <f t="shared" si="270"/>
        <v>0</v>
      </c>
      <c r="BB427" s="48">
        <f t="shared" si="271"/>
        <v>0</v>
      </c>
      <c r="BC427" s="48">
        <f t="shared" si="272"/>
        <v>0</v>
      </c>
      <c r="BD427" s="48">
        <f t="shared" si="273"/>
        <v>0</v>
      </c>
      <c r="BE427" s="48">
        <f t="shared" si="274"/>
        <v>0</v>
      </c>
      <c r="BF427" s="49">
        <f t="shared" si="275"/>
        <v>45.63</v>
      </c>
      <c r="BG427" s="50"/>
      <c r="BH427" s="51">
        <f t="shared" si="276"/>
        <v>18</v>
      </c>
      <c r="BI427" s="51">
        <f t="shared" si="277"/>
        <v>0.5</v>
      </c>
      <c r="BJ427" s="51">
        <f t="shared" si="278"/>
        <v>27.63</v>
      </c>
      <c r="BK427" s="52">
        <f t="shared" si="279"/>
        <v>0</v>
      </c>
      <c r="BL427" s="52">
        <f t="shared" si="280"/>
        <v>0</v>
      </c>
      <c r="BM427" s="52">
        <f t="shared" si="281"/>
        <v>0</v>
      </c>
    </row>
    <row r="428" spans="1:65" ht="30" customHeight="1" x14ac:dyDescent="0.25">
      <c r="A428" s="31" t="str">
        <f t="shared" si="247"/>
        <v>Д</v>
      </c>
      <c r="B428" s="31" t="str">
        <f t="shared" si="248"/>
        <v>Б</v>
      </c>
      <c r="C428" s="32" t="s">
        <v>239</v>
      </c>
      <c r="D428" s="33" t="str">
        <f t="shared" si="249"/>
        <v>Факультет физико-математических и естественных наук</v>
      </c>
      <c r="E428" s="34" t="str">
        <f t="shared" si="250"/>
        <v>'38.03.05</v>
      </c>
      <c r="F428" s="35" t="str">
        <f t="shared" si="251"/>
        <v>Кибербезопасность в экономике</v>
      </c>
      <c r="G428" s="36" t="s">
        <v>76</v>
      </c>
      <c r="H428" s="36" t="s">
        <v>77</v>
      </c>
      <c r="I428" s="37"/>
      <c r="J428" s="37"/>
      <c r="K428" s="38" t="s">
        <v>230</v>
      </c>
      <c r="L428" s="39">
        <v>3</v>
      </c>
      <c r="M428" s="39">
        <v>18</v>
      </c>
      <c r="N428" s="40" t="s">
        <v>86</v>
      </c>
      <c r="O428" s="39"/>
      <c r="P428" s="39"/>
      <c r="Q428" s="39">
        <v>2</v>
      </c>
      <c r="R428" s="40"/>
      <c r="S428" s="41"/>
      <c r="T428" s="41"/>
      <c r="U428" s="41"/>
      <c r="V428" s="41"/>
      <c r="W428" s="41"/>
      <c r="X428" s="42" t="str">
        <f t="shared" si="252"/>
        <v>НБИбд</v>
      </c>
      <c r="Y428" s="43" t="s">
        <v>107</v>
      </c>
      <c r="Z428" s="39">
        <v>2</v>
      </c>
      <c r="AA428" s="39">
        <v>1</v>
      </c>
      <c r="AB428" s="42">
        <f t="shared" si="253"/>
        <v>31</v>
      </c>
      <c r="AC428" s="39">
        <v>26</v>
      </c>
      <c r="AD428" s="39">
        <v>5</v>
      </c>
      <c r="AE428" s="44">
        <f t="shared" si="254"/>
        <v>24</v>
      </c>
      <c r="AF428" s="45">
        <f t="shared" si="255"/>
        <v>1</v>
      </c>
      <c r="AG428" s="45">
        <f t="shared" si="256"/>
        <v>1.2916666666666667</v>
      </c>
      <c r="AH428" s="46" t="s">
        <v>82</v>
      </c>
      <c r="AI428" s="40" t="s">
        <v>99</v>
      </c>
      <c r="AJ428" s="40" t="s">
        <v>84</v>
      </c>
      <c r="AK428" s="47" t="s">
        <v>134</v>
      </c>
      <c r="AL428" s="40"/>
      <c r="AM428" s="48">
        <f t="shared" si="257"/>
        <v>0</v>
      </c>
      <c r="AN428" s="48">
        <f t="shared" si="258"/>
        <v>36</v>
      </c>
      <c r="AO428" s="48">
        <f t="shared" si="259"/>
        <v>0</v>
      </c>
      <c r="AP428" s="48">
        <f t="shared" si="260"/>
        <v>0</v>
      </c>
      <c r="AQ428" s="48">
        <f t="shared" si="261"/>
        <v>0</v>
      </c>
      <c r="AR428" s="48">
        <f t="shared" si="262"/>
        <v>0</v>
      </c>
      <c r="AS428" s="48">
        <f t="shared" si="263"/>
        <v>0</v>
      </c>
      <c r="AT428" s="48">
        <f t="shared" si="264"/>
        <v>0</v>
      </c>
      <c r="AU428" s="48">
        <f t="shared" si="265"/>
        <v>0</v>
      </c>
      <c r="AV428" s="48">
        <f t="shared" si="266"/>
        <v>0</v>
      </c>
      <c r="AW428" s="48">
        <f>IF(N428="ПП",РПП*AB428*(V428/1.5),IF(N428="ВП",ВПр*AB428*(V428/1.5),IF(N428="РПА",РПА*AB428*(V428/1.5),IF(N428="КПА",кпа*AB428*(V428/1.5),0))))</f>
        <v>0</v>
      </c>
      <c r="AX428" s="48">
        <f t="shared" si="267"/>
        <v>0</v>
      </c>
      <c r="AY428" s="48">
        <f t="shared" si="268"/>
        <v>0</v>
      </c>
      <c r="AZ428" s="48">
        <f t="shared" si="269"/>
        <v>0</v>
      </c>
      <c r="BA428" s="48">
        <f t="shared" si="270"/>
        <v>0</v>
      </c>
      <c r="BB428" s="48">
        <f t="shared" si="271"/>
        <v>0</v>
      </c>
      <c r="BC428" s="48">
        <f t="shared" si="272"/>
        <v>0</v>
      </c>
      <c r="BD428" s="48">
        <f t="shared" si="273"/>
        <v>0</v>
      </c>
      <c r="BE428" s="48">
        <f t="shared" si="274"/>
        <v>0</v>
      </c>
      <c r="BF428" s="49">
        <f t="shared" si="275"/>
        <v>36</v>
      </c>
      <c r="BG428" s="50"/>
      <c r="BH428" s="51">
        <f t="shared" si="276"/>
        <v>36</v>
      </c>
      <c r="BI428" s="51">
        <f t="shared" si="277"/>
        <v>1</v>
      </c>
      <c r="BJ428" s="51">
        <f t="shared" si="278"/>
        <v>0</v>
      </c>
      <c r="BK428" s="52">
        <f t="shared" si="279"/>
        <v>0</v>
      </c>
      <c r="BL428" s="52">
        <f t="shared" si="280"/>
        <v>0</v>
      </c>
      <c r="BM428" s="52">
        <f t="shared" si="281"/>
        <v>0</v>
      </c>
    </row>
    <row r="429" spans="1:65" ht="30" customHeight="1" x14ac:dyDescent="0.25">
      <c r="A429" s="31" t="str">
        <f t="shared" si="247"/>
        <v>Д</v>
      </c>
      <c r="B429" s="31" t="str">
        <f t="shared" si="248"/>
        <v>Б</v>
      </c>
      <c r="C429" s="32" t="s">
        <v>239</v>
      </c>
      <c r="D429" s="33" t="str">
        <f t="shared" si="249"/>
        <v>Факультет физико-математических и естественных наук</v>
      </c>
      <c r="E429" s="34" t="str">
        <f t="shared" si="250"/>
        <v>'38.03.05</v>
      </c>
      <c r="F429" s="35" t="str">
        <f t="shared" si="251"/>
        <v>Кибербезопасность в экономике</v>
      </c>
      <c r="G429" s="36" t="s">
        <v>76</v>
      </c>
      <c r="H429" s="36" t="s">
        <v>77</v>
      </c>
      <c r="I429" s="37"/>
      <c r="J429" s="37"/>
      <c r="K429" s="38" t="s">
        <v>231</v>
      </c>
      <c r="L429" s="39">
        <v>3</v>
      </c>
      <c r="M429" s="39">
        <v>18</v>
      </c>
      <c r="N429" s="40" t="s">
        <v>79</v>
      </c>
      <c r="O429" s="39">
        <v>1</v>
      </c>
      <c r="P429" s="39"/>
      <c r="Q429" s="39"/>
      <c r="R429" s="40"/>
      <c r="S429" s="41"/>
      <c r="T429" s="41"/>
      <c r="U429" s="41"/>
      <c r="V429" s="41"/>
      <c r="W429" s="41"/>
      <c r="X429" s="42" t="str">
        <f t="shared" si="252"/>
        <v>НБИбд</v>
      </c>
      <c r="Y429" s="43" t="s">
        <v>107</v>
      </c>
      <c r="Z429" s="39">
        <v>2</v>
      </c>
      <c r="AA429" s="39">
        <v>1</v>
      </c>
      <c r="AB429" s="42">
        <f t="shared" si="253"/>
        <v>31</v>
      </c>
      <c r="AC429" s="39">
        <v>26</v>
      </c>
      <c r="AD429" s="39">
        <v>5</v>
      </c>
      <c r="AE429" s="44">
        <f t="shared" si="254"/>
        <v>31</v>
      </c>
      <c r="AF429" s="45">
        <f t="shared" si="255"/>
        <v>1</v>
      </c>
      <c r="AG429" s="45">
        <f t="shared" si="256"/>
        <v>1</v>
      </c>
      <c r="AH429" s="46" t="s">
        <v>82</v>
      </c>
      <c r="AI429" s="40" t="s">
        <v>83</v>
      </c>
      <c r="AJ429" s="40" t="s">
        <v>116</v>
      </c>
      <c r="AK429" s="47" t="s">
        <v>119</v>
      </c>
      <c r="AL429" s="40"/>
      <c r="AM429" s="48">
        <f t="shared" si="257"/>
        <v>18</v>
      </c>
      <c r="AN429" s="48">
        <f t="shared" si="258"/>
        <v>0</v>
      </c>
      <c r="AO429" s="48">
        <f t="shared" si="259"/>
        <v>0</v>
      </c>
      <c r="AP429" s="48">
        <f t="shared" si="260"/>
        <v>0</v>
      </c>
      <c r="AQ429" s="48">
        <f t="shared" si="261"/>
        <v>0</v>
      </c>
      <c r="AR429" s="48">
        <f t="shared" si="262"/>
        <v>0</v>
      </c>
      <c r="AS429" s="48">
        <f t="shared" si="263"/>
        <v>0.9</v>
      </c>
      <c r="AT429" s="48">
        <f t="shared" si="264"/>
        <v>0</v>
      </c>
      <c r="AU429" s="48">
        <f t="shared" si="265"/>
        <v>0</v>
      </c>
      <c r="AV429" s="48">
        <f t="shared" si="266"/>
        <v>0</v>
      </c>
      <c r="AW429" s="48">
        <f>IF(N429="ПП",РПП*AB429*(V429/1.5),IF(N429="ВП",ВПр*AB429*(V429/1.5),IF(N429="РПА",РПА*AB429*(V429/1.5),IF(N429="КПА",кпа*AB429*(V429/1.5),0))))</f>
        <v>0</v>
      </c>
      <c r="AX429" s="48">
        <f t="shared" si="267"/>
        <v>0</v>
      </c>
      <c r="AY429" s="48">
        <f t="shared" si="268"/>
        <v>0</v>
      </c>
      <c r="AZ429" s="48">
        <f t="shared" si="269"/>
        <v>0</v>
      </c>
      <c r="BA429" s="48">
        <f t="shared" si="270"/>
        <v>0</v>
      </c>
      <c r="BB429" s="48">
        <f t="shared" si="271"/>
        <v>0</v>
      </c>
      <c r="BC429" s="48">
        <f t="shared" si="272"/>
        <v>0</v>
      </c>
      <c r="BD429" s="48">
        <f t="shared" si="273"/>
        <v>0</v>
      </c>
      <c r="BE429" s="48">
        <f t="shared" si="274"/>
        <v>0</v>
      </c>
      <c r="BF429" s="49">
        <f t="shared" si="275"/>
        <v>18.899999999999999</v>
      </c>
      <c r="BG429" s="50"/>
      <c r="BH429" s="51">
        <f t="shared" si="276"/>
        <v>18</v>
      </c>
      <c r="BI429" s="51">
        <f t="shared" si="277"/>
        <v>0.5</v>
      </c>
      <c r="BJ429" s="51">
        <f t="shared" si="278"/>
        <v>0.9</v>
      </c>
      <c r="BK429" s="52">
        <f t="shared" si="279"/>
        <v>0</v>
      </c>
      <c r="BL429" s="52">
        <f t="shared" si="280"/>
        <v>0</v>
      </c>
      <c r="BM429" s="52">
        <f t="shared" si="281"/>
        <v>0</v>
      </c>
    </row>
    <row r="430" spans="1:65" ht="30" customHeight="1" x14ac:dyDescent="0.25">
      <c r="A430" s="31" t="str">
        <f t="shared" si="247"/>
        <v>Д</v>
      </c>
      <c r="B430" s="31" t="str">
        <f t="shared" si="248"/>
        <v>Б</v>
      </c>
      <c r="C430" s="32" t="s">
        <v>239</v>
      </c>
      <c r="D430" s="33" t="str">
        <f t="shared" si="249"/>
        <v>Факультет физико-математических и естественных наук</v>
      </c>
      <c r="E430" s="34" t="str">
        <f t="shared" si="250"/>
        <v>'38.03.05</v>
      </c>
      <c r="F430" s="35" t="str">
        <f t="shared" si="251"/>
        <v>Кибербезопасность в экономике</v>
      </c>
      <c r="G430" s="36" t="s">
        <v>76</v>
      </c>
      <c r="H430" s="36" t="s">
        <v>77</v>
      </c>
      <c r="I430" s="37"/>
      <c r="J430" s="37"/>
      <c r="K430" s="38" t="s">
        <v>231</v>
      </c>
      <c r="L430" s="39">
        <v>3</v>
      </c>
      <c r="M430" s="39">
        <v>18</v>
      </c>
      <c r="N430" s="40" t="s">
        <v>86</v>
      </c>
      <c r="O430" s="39"/>
      <c r="P430" s="39"/>
      <c r="Q430" s="39">
        <v>1</v>
      </c>
      <c r="R430" s="40" t="s">
        <v>95</v>
      </c>
      <c r="S430" s="41"/>
      <c r="T430" s="41"/>
      <c r="U430" s="41"/>
      <c r="V430" s="41"/>
      <c r="W430" s="41"/>
      <c r="X430" s="42" t="str">
        <f t="shared" si="252"/>
        <v>НБИбд</v>
      </c>
      <c r="Y430" s="43" t="s">
        <v>107</v>
      </c>
      <c r="Z430" s="39">
        <v>2</v>
      </c>
      <c r="AA430" s="39">
        <v>1</v>
      </c>
      <c r="AB430" s="42">
        <f t="shared" si="253"/>
        <v>31</v>
      </c>
      <c r="AC430" s="39">
        <v>26</v>
      </c>
      <c r="AD430" s="39">
        <v>5</v>
      </c>
      <c r="AE430" s="44">
        <f t="shared" si="254"/>
        <v>24</v>
      </c>
      <c r="AF430" s="45">
        <f t="shared" si="255"/>
        <v>1</v>
      </c>
      <c r="AG430" s="45">
        <f t="shared" si="256"/>
        <v>1.2916666666666667</v>
      </c>
      <c r="AH430" s="46" t="s">
        <v>82</v>
      </c>
      <c r="AI430" s="40" t="s">
        <v>83</v>
      </c>
      <c r="AJ430" s="40" t="s">
        <v>116</v>
      </c>
      <c r="AK430" s="47" t="s">
        <v>119</v>
      </c>
      <c r="AL430" s="40"/>
      <c r="AM430" s="48">
        <f t="shared" si="257"/>
        <v>0</v>
      </c>
      <c r="AN430" s="48">
        <f t="shared" si="258"/>
        <v>18</v>
      </c>
      <c r="AO430" s="48">
        <f t="shared" si="259"/>
        <v>0</v>
      </c>
      <c r="AP430" s="48">
        <f t="shared" si="260"/>
        <v>10.23</v>
      </c>
      <c r="AQ430" s="48">
        <f t="shared" si="261"/>
        <v>15.5</v>
      </c>
      <c r="AR430" s="48">
        <f t="shared" si="262"/>
        <v>1</v>
      </c>
      <c r="AS430" s="48">
        <f t="shared" si="263"/>
        <v>0</v>
      </c>
      <c r="AT430" s="48">
        <f t="shared" si="264"/>
        <v>0</v>
      </c>
      <c r="AU430" s="48">
        <f t="shared" si="265"/>
        <v>0</v>
      </c>
      <c r="AV430" s="48">
        <f t="shared" si="266"/>
        <v>0</v>
      </c>
      <c r="AW430" s="48">
        <f>IF(N430="ПП",РПП*AB430*(V430/1.5),IF(N430="ВП",ВПр*AB430*(V430/1.5),IF(N430="РПА",РПА*AB430*(V430/1.5),IF(N430="КПА",кпа*AB430*(V430/1.5),0))))</f>
        <v>0</v>
      </c>
      <c r="AX430" s="48">
        <f t="shared" si="267"/>
        <v>0</v>
      </c>
      <c r="AY430" s="48">
        <f t="shared" si="268"/>
        <v>0</v>
      </c>
      <c r="AZ430" s="48">
        <f t="shared" si="269"/>
        <v>0</v>
      </c>
      <c r="BA430" s="48">
        <f t="shared" si="270"/>
        <v>0</v>
      </c>
      <c r="BB430" s="48">
        <f t="shared" si="271"/>
        <v>0</v>
      </c>
      <c r="BC430" s="48">
        <f t="shared" si="272"/>
        <v>0</v>
      </c>
      <c r="BD430" s="48">
        <f t="shared" si="273"/>
        <v>0</v>
      </c>
      <c r="BE430" s="48">
        <f t="shared" si="274"/>
        <v>0</v>
      </c>
      <c r="BF430" s="49">
        <f t="shared" si="275"/>
        <v>44.730000000000004</v>
      </c>
      <c r="BG430" s="50"/>
      <c r="BH430" s="51">
        <f t="shared" si="276"/>
        <v>18</v>
      </c>
      <c r="BI430" s="51">
        <f t="shared" si="277"/>
        <v>0.5</v>
      </c>
      <c r="BJ430" s="51">
        <f t="shared" si="278"/>
        <v>26.73</v>
      </c>
      <c r="BK430" s="52">
        <f t="shared" si="279"/>
        <v>0</v>
      </c>
      <c r="BL430" s="52">
        <f t="shared" si="280"/>
        <v>0</v>
      </c>
      <c r="BM430" s="52">
        <f t="shared" si="281"/>
        <v>0</v>
      </c>
    </row>
    <row r="431" spans="1:65" ht="30" customHeight="1" x14ac:dyDescent="0.25">
      <c r="A431" s="31" t="str">
        <f t="shared" si="247"/>
        <v>Д</v>
      </c>
      <c r="B431" s="31" t="str">
        <f t="shared" si="248"/>
        <v>Б</v>
      </c>
      <c r="C431" s="32" t="s">
        <v>239</v>
      </c>
      <c r="D431" s="33" t="str">
        <f t="shared" si="249"/>
        <v>Факультет физико-математических и естественных наук</v>
      </c>
      <c r="E431" s="34" t="str">
        <f t="shared" si="250"/>
        <v>'38.03.05</v>
      </c>
      <c r="F431" s="35" t="str">
        <f t="shared" si="251"/>
        <v>Кибербезопасность в экономике</v>
      </c>
      <c r="G431" s="36" t="s">
        <v>76</v>
      </c>
      <c r="H431" s="36" t="s">
        <v>183</v>
      </c>
      <c r="I431" s="37"/>
      <c r="J431" s="37"/>
      <c r="K431" s="38" t="s">
        <v>240</v>
      </c>
      <c r="L431" s="39">
        <v>3</v>
      </c>
      <c r="M431" s="39">
        <v>18</v>
      </c>
      <c r="N431" s="40" t="s">
        <v>79</v>
      </c>
      <c r="O431" s="39">
        <v>1</v>
      </c>
      <c r="P431" s="39"/>
      <c r="Q431" s="39"/>
      <c r="R431" s="40"/>
      <c r="S431" s="41"/>
      <c r="T431" s="41"/>
      <c r="U431" s="41"/>
      <c r="V431" s="41"/>
      <c r="W431" s="41"/>
      <c r="X431" s="42" t="str">
        <f t="shared" si="252"/>
        <v>НБИбд</v>
      </c>
      <c r="Y431" s="43" t="s">
        <v>107</v>
      </c>
      <c r="Z431" s="39">
        <v>2</v>
      </c>
      <c r="AA431" s="39">
        <v>1</v>
      </c>
      <c r="AB431" s="42">
        <f t="shared" si="253"/>
        <v>31</v>
      </c>
      <c r="AC431" s="39">
        <v>26</v>
      </c>
      <c r="AD431" s="39">
        <v>5</v>
      </c>
      <c r="AE431" s="44">
        <f t="shared" si="254"/>
        <v>31</v>
      </c>
      <c r="AF431" s="45">
        <f t="shared" si="255"/>
        <v>1</v>
      </c>
      <c r="AG431" s="45">
        <f t="shared" si="256"/>
        <v>1</v>
      </c>
      <c r="AH431" s="46" t="s">
        <v>82</v>
      </c>
      <c r="AI431" s="40" t="s">
        <v>115</v>
      </c>
      <c r="AJ431" s="40" t="s">
        <v>116</v>
      </c>
      <c r="AK431" s="47" t="s">
        <v>117</v>
      </c>
      <c r="AL431" s="40"/>
      <c r="AM431" s="48">
        <f t="shared" si="257"/>
        <v>18</v>
      </c>
      <c r="AN431" s="48">
        <f t="shared" si="258"/>
        <v>0</v>
      </c>
      <c r="AO431" s="48">
        <f t="shared" si="259"/>
        <v>0</v>
      </c>
      <c r="AP431" s="48">
        <f t="shared" si="260"/>
        <v>0</v>
      </c>
      <c r="AQ431" s="48">
        <f t="shared" si="261"/>
        <v>0</v>
      </c>
      <c r="AR431" s="48">
        <f t="shared" si="262"/>
        <v>0</v>
      </c>
      <c r="AS431" s="48">
        <f t="shared" si="263"/>
        <v>0.9</v>
      </c>
      <c r="AT431" s="48">
        <f t="shared" si="264"/>
        <v>0</v>
      </c>
      <c r="AU431" s="48">
        <f t="shared" si="265"/>
        <v>0</v>
      </c>
      <c r="AV431" s="48">
        <f t="shared" si="266"/>
        <v>0</v>
      </c>
      <c r="AW431" s="48">
        <f>IF(N431="ПП",РПП*AB431*(V431/1.5),IF(N431="ВП",ВПр*AB431*(V431/1.5),IF(N431="РПА",РПА*AB431*(V431/1.5),IF(N431="КПА",кпа*AB431*(V431/1.5),0))))</f>
        <v>0</v>
      </c>
      <c r="AX431" s="48">
        <f t="shared" si="267"/>
        <v>0</v>
      </c>
      <c r="AY431" s="48">
        <f t="shared" si="268"/>
        <v>0</v>
      </c>
      <c r="AZ431" s="48">
        <f t="shared" si="269"/>
        <v>0</v>
      </c>
      <c r="BA431" s="48">
        <f t="shared" si="270"/>
        <v>0</v>
      </c>
      <c r="BB431" s="48">
        <f t="shared" si="271"/>
        <v>0</v>
      </c>
      <c r="BC431" s="48">
        <f t="shared" si="272"/>
        <v>0</v>
      </c>
      <c r="BD431" s="48">
        <f t="shared" si="273"/>
        <v>0</v>
      </c>
      <c r="BE431" s="48">
        <f t="shared" si="274"/>
        <v>0</v>
      </c>
      <c r="BF431" s="49">
        <f t="shared" si="275"/>
        <v>18.899999999999999</v>
      </c>
      <c r="BG431" s="50"/>
      <c r="BH431" s="51">
        <f t="shared" si="276"/>
        <v>18</v>
      </c>
      <c r="BI431" s="51">
        <f t="shared" si="277"/>
        <v>0.5</v>
      </c>
      <c r="BJ431" s="51">
        <f t="shared" si="278"/>
        <v>0.9</v>
      </c>
      <c r="BK431" s="52">
        <f t="shared" si="279"/>
        <v>0</v>
      </c>
      <c r="BL431" s="52">
        <f t="shared" si="280"/>
        <v>0</v>
      </c>
      <c r="BM431" s="52">
        <f t="shared" si="281"/>
        <v>0</v>
      </c>
    </row>
    <row r="432" spans="1:65" ht="30" customHeight="1" x14ac:dyDescent="0.25">
      <c r="A432" s="31" t="str">
        <f t="shared" si="247"/>
        <v>Д</v>
      </c>
      <c r="B432" s="31" t="str">
        <f t="shared" si="248"/>
        <v>Б</v>
      </c>
      <c r="C432" s="32" t="s">
        <v>239</v>
      </c>
      <c r="D432" s="33" t="str">
        <f t="shared" si="249"/>
        <v>Факультет физико-математических и естественных наук</v>
      </c>
      <c r="E432" s="34" t="str">
        <f t="shared" si="250"/>
        <v>'38.03.05</v>
      </c>
      <c r="F432" s="35" t="str">
        <f t="shared" si="251"/>
        <v>Кибербезопасность в экономике</v>
      </c>
      <c r="G432" s="36" t="s">
        <v>76</v>
      </c>
      <c r="H432" s="36" t="s">
        <v>183</v>
      </c>
      <c r="I432" s="37"/>
      <c r="J432" s="37"/>
      <c r="K432" s="38" t="s">
        <v>240</v>
      </c>
      <c r="L432" s="39">
        <v>3</v>
      </c>
      <c r="M432" s="39">
        <v>18</v>
      </c>
      <c r="N432" s="40" t="s">
        <v>86</v>
      </c>
      <c r="O432" s="39"/>
      <c r="P432" s="39"/>
      <c r="Q432" s="39">
        <v>2</v>
      </c>
      <c r="R432" s="40" t="s">
        <v>95</v>
      </c>
      <c r="S432" s="41"/>
      <c r="T432" s="41"/>
      <c r="U432" s="41"/>
      <c r="V432" s="41"/>
      <c r="W432" s="41"/>
      <c r="X432" s="42" t="str">
        <f t="shared" si="252"/>
        <v>НБИбд</v>
      </c>
      <c r="Y432" s="43" t="s">
        <v>107</v>
      </c>
      <c r="Z432" s="39">
        <v>2</v>
      </c>
      <c r="AA432" s="39">
        <v>1</v>
      </c>
      <c r="AB432" s="42">
        <f t="shared" si="253"/>
        <v>31</v>
      </c>
      <c r="AC432" s="39">
        <v>26</v>
      </c>
      <c r="AD432" s="39">
        <v>5</v>
      </c>
      <c r="AE432" s="44">
        <f t="shared" si="254"/>
        <v>24</v>
      </c>
      <c r="AF432" s="45">
        <f t="shared" si="255"/>
        <v>1</v>
      </c>
      <c r="AG432" s="45">
        <f t="shared" si="256"/>
        <v>1.2916666666666667</v>
      </c>
      <c r="AH432" s="46" t="s">
        <v>82</v>
      </c>
      <c r="AI432" s="40" t="s">
        <v>115</v>
      </c>
      <c r="AJ432" s="40" t="s">
        <v>116</v>
      </c>
      <c r="AK432" s="47" t="s">
        <v>117</v>
      </c>
      <c r="AL432" s="40"/>
      <c r="AM432" s="48">
        <f t="shared" si="257"/>
        <v>0</v>
      </c>
      <c r="AN432" s="48">
        <f t="shared" si="258"/>
        <v>36</v>
      </c>
      <c r="AO432" s="48">
        <f t="shared" si="259"/>
        <v>0</v>
      </c>
      <c r="AP432" s="48">
        <f t="shared" si="260"/>
        <v>10.23</v>
      </c>
      <c r="AQ432" s="48">
        <f t="shared" si="261"/>
        <v>15.5</v>
      </c>
      <c r="AR432" s="48">
        <f t="shared" si="262"/>
        <v>1</v>
      </c>
      <c r="AS432" s="48">
        <f t="shared" si="263"/>
        <v>0</v>
      </c>
      <c r="AT432" s="48">
        <f t="shared" si="264"/>
        <v>0</v>
      </c>
      <c r="AU432" s="48">
        <f t="shared" si="265"/>
        <v>0</v>
      </c>
      <c r="AV432" s="48">
        <f t="shared" si="266"/>
        <v>0</v>
      </c>
      <c r="AW432" s="48">
        <f>IF(N432="ПП",РПП*AB432*(V432/1.5),IF(N432="ВП",ВПр*AB432*(V432/1.5),IF(N432="РПА",РПА*AB432*(V432/1.5),IF(N432="КПА",кпа*AB432*(V432/1.5),0))))</f>
        <v>0</v>
      </c>
      <c r="AX432" s="48">
        <f t="shared" si="267"/>
        <v>0</v>
      </c>
      <c r="AY432" s="48">
        <f t="shared" si="268"/>
        <v>0</v>
      </c>
      <c r="AZ432" s="48">
        <f t="shared" si="269"/>
        <v>0</v>
      </c>
      <c r="BA432" s="48">
        <f t="shared" si="270"/>
        <v>0</v>
      </c>
      <c r="BB432" s="48">
        <f t="shared" si="271"/>
        <v>0</v>
      </c>
      <c r="BC432" s="48">
        <f t="shared" si="272"/>
        <v>0</v>
      </c>
      <c r="BD432" s="48">
        <f t="shared" si="273"/>
        <v>0</v>
      </c>
      <c r="BE432" s="48">
        <f t="shared" si="274"/>
        <v>0</v>
      </c>
      <c r="BF432" s="49">
        <f t="shared" si="275"/>
        <v>62.730000000000004</v>
      </c>
      <c r="BG432" s="50"/>
      <c r="BH432" s="51">
        <f t="shared" si="276"/>
        <v>36</v>
      </c>
      <c r="BI432" s="51">
        <f t="shared" si="277"/>
        <v>1</v>
      </c>
      <c r="BJ432" s="51">
        <f t="shared" si="278"/>
        <v>26.73</v>
      </c>
      <c r="BK432" s="52">
        <f t="shared" si="279"/>
        <v>0</v>
      </c>
      <c r="BL432" s="52">
        <f t="shared" si="280"/>
        <v>0</v>
      </c>
      <c r="BM432" s="52">
        <f t="shared" si="281"/>
        <v>0</v>
      </c>
    </row>
    <row r="433" spans="1:65" ht="30" customHeight="1" x14ac:dyDescent="0.25">
      <c r="A433" s="31" t="str">
        <f t="shared" si="247"/>
        <v>Д</v>
      </c>
      <c r="B433" s="31" t="str">
        <f t="shared" si="248"/>
        <v>Б</v>
      </c>
      <c r="C433" s="32" t="s">
        <v>239</v>
      </c>
      <c r="D433" s="33" t="str">
        <f t="shared" si="249"/>
        <v>Факультет физико-математических и естественных наук</v>
      </c>
      <c r="E433" s="34" t="str">
        <f t="shared" si="250"/>
        <v>'38.03.05</v>
      </c>
      <c r="F433" s="35" t="str">
        <f t="shared" si="251"/>
        <v>Кибербезопасность в экономике</v>
      </c>
      <c r="G433" s="36" t="s">
        <v>76</v>
      </c>
      <c r="H433" s="36" t="s">
        <v>77</v>
      </c>
      <c r="I433" s="37"/>
      <c r="J433" s="37"/>
      <c r="K433" s="38" t="s">
        <v>232</v>
      </c>
      <c r="L433" s="39">
        <v>4</v>
      </c>
      <c r="M433" s="39">
        <v>18</v>
      </c>
      <c r="N433" s="40" t="s">
        <v>79</v>
      </c>
      <c r="O433" s="39">
        <v>1</v>
      </c>
      <c r="P433" s="39"/>
      <c r="Q433" s="39"/>
      <c r="R433" s="40"/>
      <c r="S433" s="41"/>
      <c r="T433" s="41"/>
      <c r="U433" s="41"/>
      <c r="V433" s="41"/>
      <c r="W433" s="41"/>
      <c r="X433" s="42" t="str">
        <f t="shared" si="252"/>
        <v>НБИбд</v>
      </c>
      <c r="Y433" s="43" t="s">
        <v>107</v>
      </c>
      <c r="Z433" s="39">
        <v>2</v>
      </c>
      <c r="AA433" s="39">
        <v>1</v>
      </c>
      <c r="AB433" s="42">
        <f t="shared" si="253"/>
        <v>31</v>
      </c>
      <c r="AC433" s="39">
        <v>26</v>
      </c>
      <c r="AD433" s="39">
        <v>5</v>
      </c>
      <c r="AE433" s="44">
        <f t="shared" si="254"/>
        <v>31</v>
      </c>
      <c r="AF433" s="45">
        <f t="shared" si="255"/>
        <v>1</v>
      </c>
      <c r="AG433" s="45">
        <f t="shared" si="256"/>
        <v>1</v>
      </c>
      <c r="AH433" s="46" t="s">
        <v>82</v>
      </c>
      <c r="AI433" s="40" t="s">
        <v>83</v>
      </c>
      <c r="AJ433" s="40" t="s">
        <v>116</v>
      </c>
      <c r="AK433" s="47" t="s">
        <v>119</v>
      </c>
      <c r="AL433" s="40"/>
      <c r="AM433" s="48">
        <f t="shared" si="257"/>
        <v>18</v>
      </c>
      <c r="AN433" s="48">
        <f t="shared" si="258"/>
        <v>0</v>
      </c>
      <c r="AO433" s="48">
        <f t="shared" si="259"/>
        <v>0</v>
      </c>
      <c r="AP433" s="48">
        <f t="shared" si="260"/>
        <v>0</v>
      </c>
      <c r="AQ433" s="48">
        <f t="shared" si="261"/>
        <v>0</v>
      </c>
      <c r="AR433" s="48">
        <f t="shared" si="262"/>
        <v>0</v>
      </c>
      <c r="AS433" s="48">
        <f t="shared" si="263"/>
        <v>0.9</v>
      </c>
      <c r="AT433" s="48">
        <f t="shared" si="264"/>
        <v>0</v>
      </c>
      <c r="AU433" s="48">
        <f t="shared" si="265"/>
        <v>0</v>
      </c>
      <c r="AV433" s="48">
        <f t="shared" si="266"/>
        <v>0</v>
      </c>
      <c r="AW433" s="48">
        <f>IF(N433="ПП",РПП*AB433*(V433/1.5),IF(N433="ВП",ВПр*AB433*(V433/1.5),IF(N433="РПА",РПА*AB433*(V433/1.5),IF(N433="КПА",кпа*AB433*(V433/1.5),0))))</f>
        <v>0</v>
      </c>
      <c r="AX433" s="48">
        <f t="shared" si="267"/>
        <v>0</v>
      </c>
      <c r="AY433" s="48">
        <f t="shared" si="268"/>
        <v>0</v>
      </c>
      <c r="AZ433" s="48">
        <f t="shared" si="269"/>
        <v>0</v>
      </c>
      <c r="BA433" s="48">
        <f t="shared" si="270"/>
        <v>0</v>
      </c>
      <c r="BB433" s="48">
        <f t="shared" si="271"/>
        <v>0</v>
      </c>
      <c r="BC433" s="48">
        <f t="shared" si="272"/>
        <v>0</v>
      </c>
      <c r="BD433" s="48">
        <f t="shared" si="273"/>
        <v>0</v>
      </c>
      <c r="BE433" s="48">
        <f t="shared" si="274"/>
        <v>0</v>
      </c>
      <c r="BF433" s="49">
        <f t="shared" si="275"/>
        <v>18.899999999999999</v>
      </c>
      <c r="BG433" s="50"/>
      <c r="BH433" s="51">
        <f t="shared" si="276"/>
        <v>0</v>
      </c>
      <c r="BI433" s="51">
        <f t="shared" si="277"/>
        <v>0</v>
      </c>
      <c r="BJ433" s="51">
        <f t="shared" si="278"/>
        <v>0</v>
      </c>
      <c r="BK433" s="52">
        <f t="shared" si="279"/>
        <v>18</v>
      </c>
      <c r="BL433" s="52">
        <f t="shared" si="280"/>
        <v>0.5</v>
      </c>
      <c r="BM433" s="52">
        <f t="shared" si="281"/>
        <v>0.9</v>
      </c>
    </row>
    <row r="434" spans="1:65" ht="30" customHeight="1" x14ac:dyDescent="0.25">
      <c r="A434" s="31" t="str">
        <f t="shared" si="247"/>
        <v>Д</v>
      </c>
      <c r="B434" s="31" t="str">
        <f t="shared" si="248"/>
        <v>Б</v>
      </c>
      <c r="C434" s="32" t="s">
        <v>239</v>
      </c>
      <c r="D434" s="33" t="str">
        <f t="shared" si="249"/>
        <v>Факультет физико-математических и естественных наук</v>
      </c>
      <c r="E434" s="34" t="str">
        <f t="shared" si="250"/>
        <v>'38.03.05</v>
      </c>
      <c r="F434" s="35" t="str">
        <f t="shared" si="251"/>
        <v>Кибербезопасность в экономике</v>
      </c>
      <c r="G434" s="36" t="s">
        <v>76</v>
      </c>
      <c r="H434" s="36" t="s">
        <v>77</v>
      </c>
      <c r="I434" s="37"/>
      <c r="J434" s="37"/>
      <c r="K434" s="38" t="s">
        <v>232</v>
      </c>
      <c r="L434" s="39">
        <v>4</v>
      </c>
      <c r="M434" s="39">
        <v>18</v>
      </c>
      <c r="N434" s="40" t="s">
        <v>86</v>
      </c>
      <c r="O434" s="39"/>
      <c r="P434" s="39"/>
      <c r="Q434" s="39">
        <v>1</v>
      </c>
      <c r="R434" s="40" t="s">
        <v>95</v>
      </c>
      <c r="S434" s="41"/>
      <c r="T434" s="41"/>
      <c r="U434" s="41"/>
      <c r="V434" s="41"/>
      <c r="W434" s="41"/>
      <c r="X434" s="42" t="str">
        <f t="shared" si="252"/>
        <v>НБИбд</v>
      </c>
      <c r="Y434" s="43" t="s">
        <v>107</v>
      </c>
      <c r="Z434" s="39">
        <v>2</v>
      </c>
      <c r="AA434" s="39">
        <v>1</v>
      </c>
      <c r="AB434" s="42">
        <f t="shared" si="253"/>
        <v>31</v>
      </c>
      <c r="AC434" s="39">
        <v>26</v>
      </c>
      <c r="AD434" s="39">
        <v>5</v>
      </c>
      <c r="AE434" s="44">
        <f t="shared" si="254"/>
        <v>24</v>
      </c>
      <c r="AF434" s="45">
        <f t="shared" si="255"/>
        <v>1</v>
      </c>
      <c r="AG434" s="45">
        <f t="shared" si="256"/>
        <v>1.2916666666666667</v>
      </c>
      <c r="AH434" s="46" t="s">
        <v>82</v>
      </c>
      <c r="AI434" s="40" t="s">
        <v>83</v>
      </c>
      <c r="AJ434" s="40" t="s">
        <v>116</v>
      </c>
      <c r="AK434" s="47" t="s">
        <v>119</v>
      </c>
      <c r="AL434" s="40"/>
      <c r="AM434" s="48">
        <f t="shared" si="257"/>
        <v>0</v>
      </c>
      <c r="AN434" s="48">
        <f t="shared" si="258"/>
        <v>18</v>
      </c>
      <c r="AO434" s="48">
        <f t="shared" si="259"/>
        <v>0</v>
      </c>
      <c r="AP434" s="48">
        <f t="shared" si="260"/>
        <v>10.23</v>
      </c>
      <c r="AQ434" s="48">
        <f t="shared" si="261"/>
        <v>15.5</v>
      </c>
      <c r="AR434" s="48">
        <f t="shared" si="262"/>
        <v>1</v>
      </c>
      <c r="AS434" s="48">
        <f t="shared" si="263"/>
        <v>0</v>
      </c>
      <c r="AT434" s="48">
        <f t="shared" si="264"/>
        <v>0</v>
      </c>
      <c r="AU434" s="48">
        <f t="shared" si="265"/>
        <v>0</v>
      </c>
      <c r="AV434" s="48">
        <f t="shared" si="266"/>
        <v>0</v>
      </c>
      <c r="AW434" s="48">
        <f>IF(N434="ПП",РПП*AB434*(V434/1.5),IF(N434="ВП",ВПр*AB434*(V434/1.5),IF(N434="РПА",РПА*AB434*(V434/1.5),IF(N434="КПА",кпа*AB434*(V434/1.5),0))))</f>
        <v>0</v>
      </c>
      <c r="AX434" s="48">
        <f t="shared" si="267"/>
        <v>0</v>
      </c>
      <c r="AY434" s="48">
        <f t="shared" si="268"/>
        <v>0</v>
      </c>
      <c r="AZ434" s="48">
        <f t="shared" si="269"/>
        <v>0</v>
      </c>
      <c r="BA434" s="48">
        <f t="shared" si="270"/>
        <v>0</v>
      </c>
      <c r="BB434" s="48">
        <f t="shared" si="271"/>
        <v>0</v>
      </c>
      <c r="BC434" s="48">
        <f t="shared" si="272"/>
        <v>0</v>
      </c>
      <c r="BD434" s="48">
        <f t="shared" si="273"/>
        <v>0</v>
      </c>
      <c r="BE434" s="48">
        <f t="shared" si="274"/>
        <v>0</v>
      </c>
      <c r="BF434" s="49">
        <f t="shared" si="275"/>
        <v>44.730000000000004</v>
      </c>
      <c r="BG434" s="50"/>
      <c r="BH434" s="51">
        <f t="shared" si="276"/>
        <v>0</v>
      </c>
      <c r="BI434" s="51">
        <f t="shared" si="277"/>
        <v>0</v>
      </c>
      <c r="BJ434" s="51">
        <f t="shared" si="278"/>
        <v>0</v>
      </c>
      <c r="BK434" s="52">
        <f t="shared" si="279"/>
        <v>18</v>
      </c>
      <c r="BL434" s="52">
        <f t="shared" si="280"/>
        <v>0.5</v>
      </c>
      <c r="BM434" s="52">
        <f t="shared" si="281"/>
        <v>26.73</v>
      </c>
    </row>
    <row r="435" spans="1:65" ht="30" customHeight="1" x14ac:dyDescent="0.25">
      <c r="A435" s="31" t="str">
        <f t="shared" si="247"/>
        <v>Д</v>
      </c>
      <c r="B435" s="31" t="str">
        <f t="shared" si="248"/>
        <v>Б</v>
      </c>
      <c r="C435" s="32" t="s">
        <v>239</v>
      </c>
      <c r="D435" s="33" t="str">
        <f t="shared" si="249"/>
        <v>Факультет физико-математических и естественных наук</v>
      </c>
      <c r="E435" s="34" t="str">
        <f t="shared" si="250"/>
        <v>'38.03.05</v>
      </c>
      <c r="F435" s="35" t="str">
        <f t="shared" si="251"/>
        <v>Кибербезопасность в экономике</v>
      </c>
      <c r="G435" s="36" t="s">
        <v>76</v>
      </c>
      <c r="H435" s="36" t="s">
        <v>77</v>
      </c>
      <c r="I435" s="37"/>
      <c r="J435" s="37"/>
      <c r="K435" s="38" t="s">
        <v>238</v>
      </c>
      <c r="L435" s="39">
        <v>7</v>
      </c>
      <c r="M435" s="39">
        <v>18</v>
      </c>
      <c r="N435" s="40" t="s">
        <v>79</v>
      </c>
      <c r="O435" s="39">
        <v>1</v>
      </c>
      <c r="P435" s="39"/>
      <c r="Q435" s="39"/>
      <c r="R435" s="40"/>
      <c r="S435" s="41"/>
      <c r="T435" s="41"/>
      <c r="U435" s="41"/>
      <c r="V435" s="41"/>
      <c r="W435" s="41"/>
      <c r="X435" s="42" t="str">
        <f t="shared" si="252"/>
        <v>НБИбд</v>
      </c>
      <c r="Y435" s="43" t="s">
        <v>161</v>
      </c>
      <c r="Z435" s="39">
        <v>1</v>
      </c>
      <c r="AA435" s="39">
        <v>1</v>
      </c>
      <c r="AB435" s="42">
        <f t="shared" si="253"/>
        <v>18</v>
      </c>
      <c r="AC435" s="39">
        <v>16</v>
      </c>
      <c r="AD435" s="39">
        <v>2</v>
      </c>
      <c r="AE435" s="44">
        <f t="shared" si="254"/>
        <v>18</v>
      </c>
      <c r="AF435" s="45">
        <f t="shared" si="255"/>
        <v>1</v>
      </c>
      <c r="AG435" s="45">
        <f t="shared" si="256"/>
        <v>1</v>
      </c>
      <c r="AH435" s="46" t="s">
        <v>82</v>
      </c>
      <c r="AI435" s="40" t="s">
        <v>83</v>
      </c>
      <c r="AJ435" s="40" t="s">
        <v>116</v>
      </c>
      <c r="AK435" s="47" t="s">
        <v>119</v>
      </c>
      <c r="AL435" s="40"/>
      <c r="AM435" s="48">
        <f t="shared" si="257"/>
        <v>18</v>
      </c>
      <c r="AN435" s="48">
        <f t="shared" si="258"/>
        <v>0</v>
      </c>
      <c r="AO435" s="48">
        <f t="shared" si="259"/>
        <v>0</v>
      </c>
      <c r="AP435" s="48">
        <f t="shared" si="260"/>
        <v>0</v>
      </c>
      <c r="AQ435" s="48">
        <f t="shared" si="261"/>
        <v>0</v>
      </c>
      <c r="AR435" s="48">
        <f t="shared" si="262"/>
        <v>0</v>
      </c>
      <c r="AS435" s="48">
        <f t="shared" si="263"/>
        <v>0.9</v>
      </c>
      <c r="AT435" s="48">
        <f t="shared" si="264"/>
        <v>0</v>
      </c>
      <c r="AU435" s="48">
        <f t="shared" si="265"/>
        <v>0</v>
      </c>
      <c r="AV435" s="48">
        <f t="shared" si="266"/>
        <v>0</v>
      </c>
      <c r="AW435" s="48">
        <f>IF(N435="ПП",РПП*AB435*(V435/1.5),IF(N435="ВП",ВПр*AB435*(V435/1.5),IF(N435="РПА",РПА*AB435*(V435/1.5),IF(N435="КПА",кпа*AB435*(V435/1.5),0))))</f>
        <v>0</v>
      </c>
      <c r="AX435" s="48">
        <f t="shared" si="267"/>
        <v>0</v>
      </c>
      <c r="AY435" s="48">
        <f t="shared" si="268"/>
        <v>0</v>
      </c>
      <c r="AZ435" s="48">
        <f t="shared" si="269"/>
        <v>0</v>
      </c>
      <c r="BA435" s="48">
        <f t="shared" si="270"/>
        <v>0</v>
      </c>
      <c r="BB435" s="48">
        <f t="shared" si="271"/>
        <v>0</v>
      </c>
      <c r="BC435" s="48">
        <f t="shared" si="272"/>
        <v>0</v>
      </c>
      <c r="BD435" s="48">
        <f t="shared" si="273"/>
        <v>0</v>
      </c>
      <c r="BE435" s="48">
        <f t="shared" si="274"/>
        <v>0</v>
      </c>
      <c r="BF435" s="49">
        <f t="shared" si="275"/>
        <v>18.899999999999999</v>
      </c>
      <c r="BG435" s="50"/>
      <c r="BH435" s="51">
        <f t="shared" si="276"/>
        <v>18</v>
      </c>
      <c r="BI435" s="51">
        <f t="shared" si="277"/>
        <v>0.5</v>
      </c>
      <c r="BJ435" s="51">
        <f t="shared" si="278"/>
        <v>0.9</v>
      </c>
      <c r="BK435" s="52">
        <f t="shared" si="279"/>
        <v>0</v>
      </c>
      <c r="BL435" s="52">
        <f t="shared" si="280"/>
        <v>0</v>
      </c>
      <c r="BM435" s="52">
        <f t="shared" si="281"/>
        <v>0</v>
      </c>
    </row>
    <row r="436" spans="1:65" ht="30" customHeight="1" x14ac:dyDescent="0.25">
      <c r="A436" s="31" t="str">
        <f t="shared" si="247"/>
        <v>Д</v>
      </c>
      <c r="B436" s="31" t="str">
        <f t="shared" si="248"/>
        <v>Б</v>
      </c>
      <c r="C436" s="32" t="s">
        <v>239</v>
      </c>
      <c r="D436" s="33" t="str">
        <f t="shared" si="249"/>
        <v>Факультет физико-математических и естественных наук</v>
      </c>
      <c r="E436" s="34" t="str">
        <f t="shared" si="250"/>
        <v>'38.03.05</v>
      </c>
      <c r="F436" s="35" t="str">
        <f t="shared" si="251"/>
        <v>Кибербезопасность в экономике</v>
      </c>
      <c r="G436" s="36" t="s">
        <v>76</v>
      </c>
      <c r="H436" s="36" t="s">
        <v>77</v>
      </c>
      <c r="I436" s="37"/>
      <c r="J436" s="37"/>
      <c r="K436" s="38" t="s">
        <v>238</v>
      </c>
      <c r="L436" s="39">
        <v>7</v>
      </c>
      <c r="M436" s="39">
        <v>18</v>
      </c>
      <c r="N436" s="40" t="s">
        <v>86</v>
      </c>
      <c r="O436" s="39"/>
      <c r="P436" s="39"/>
      <c r="Q436" s="39">
        <v>1</v>
      </c>
      <c r="R436" s="40" t="s">
        <v>95</v>
      </c>
      <c r="S436" s="41"/>
      <c r="T436" s="41"/>
      <c r="U436" s="41"/>
      <c r="V436" s="41"/>
      <c r="W436" s="41"/>
      <c r="X436" s="42" t="str">
        <f t="shared" si="252"/>
        <v>НБИбд</v>
      </c>
      <c r="Y436" s="43" t="s">
        <v>161</v>
      </c>
      <c r="Z436" s="39">
        <v>1</v>
      </c>
      <c r="AA436" s="39">
        <v>1</v>
      </c>
      <c r="AB436" s="42">
        <f t="shared" si="253"/>
        <v>18</v>
      </c>
      <c r="AC436" s="39">
        <v>16</v>
      </c>
      <c r="AD436" s="39">
        <v>2</v>
      </c>
      <c r="AE436" s="44">
        <f t="shared" si="254"/>
        <v>24</v>
      </c>
      <c r="AF436" s="45">
        <f t="shared" si="255"/>
        <v>0.75</v>
      </c>
      <c r="AG436" s="45">
        <f t="shared" si="256"/>
        <v>0.75</v>
      </c>
      <c r="AH436" s="46" t="s">
        <v>82</v>
      </c>
      <c r="AI436" s="40" t="s">
        <v>83</v>
      </c>
      <c r="AJ436" s="40" t="s">
        <v>116</v>
      </c>
      <c r="AK436" s="47" t="s">
        <v>119</v>
      </c>
      <c r="AL436" s="40"/>
      <c r="AM436" s="48">
        <f t="shared" si="257"/>
        <v>0</v>
      </c>
      <c r="AN436" s="48">
        <f t="shared" si="258"/>
        <v>13.5</v>
      </c>
      <c r="AO436" s="48">
        <f t="shared" si="259"/>
        <v>0</v>
      </c>
      <c r="AP436" s="48">
        <f t="shared" si="260"/>
        <v>5.94</v>
      </c>
      <c r="AQ436" s="48">
        <f t="shared" si="261"/>
        <v>9</v>
      </c>
      <c r="AR436" s="48">
        <f t="shared" si="262"/>
        <v>0.75</v>
      </c>
      <c r="AS436" s="48">
        <f t="shared" si="263"/>
        <v>0</v>
      </c>
      <c r="AT436" s="48">
        <f t="shared" si="264"/>
        <v>0</v>
      </c>
      <c r="AU436" s="48">
        <f t="shared" si="265"/>
        <v>0</v>
      </c>
      <c r="AV436" s="48">
        <f t="shared" si="266"/>
        <v>0</v>
      </c>
      <c r="AW436" s="48">
        <f>IF(N436="ПП",РПП*AB436*(V436/1.5),IF(N436="ВП",ВПр*AB436*(V436/1.5),IF(N436="РПА",РПА*AB436*(V436/1.5),IF(N436="КПА",кпа*AB436*(V436/1.5),0))))</f>
        <v>0</v>
      </c>
      <c r="AX436" s="48">
        <f t="shared" si="267"/>
        <v>0</v>
      </c>
      <c r="AY436" s="48">
        <f t="shared" si="268"/>
        <v>0</v>
      </c>
      <c r="AZ436" s="48">
        <f t="shared" si="269"/>
        <v>0</v>
      </c>
      <c r="BA436" s="48">
        <f t="shared" si="270"/>
        <v>0</v>
      </c>
      <c r="BB436" s="48">
        <f t="shared" si="271"/>
        <v>0</v>
      </c>
      <c r="BC436" s="48">
        <f t="shared" si="272"/>
        <v>0</v>
      </c>
      <c r="BD436" s="48">
        <f t="shared" si="273"/>
        <v>0</v>
      </c>
      <c r="BE436" s="48">
        <f t="shared" si="274"/>
        <v>0</v>
      </c>
      <c r="BF436" s="49">
        <f t="shared" si="275"/>
        <v>29.19</v>
      </c>
      <c r="BG436" s="50"/>
      <c r="BH436" s="51">
        <f t="shared" si="276"/>
        <v>13.5</v>
      </c>
      <c r="BI436" s="51">
        <f t="shared" si="277"/>
        <v>0.5</v>
      </c>
      <c r="BJ436" s="51">
        <f t="shared" si="278"/>
        <v>15.690000000000001</v>
      </c>
      <c r="BK436" s="52">
        <f t="shared" si="279"/>
        <v>0</v>
      </c>
      <c r="BL436" s="52">
        <f t="shared" si="280"/>
        <v>0</v>
      </c>
      <c r="BM436" s="52">
        <f t="shared" si="281"/>
        <v>0</v>
      </c>
    </row>
    <row r="437" spans="1:65" ht="30" customHeight="1" x14ac:dyDescent="0.25">
      <c r="A437" s="31" t="str">
        <f t="shared" si="247"/>
        <v>Д</v>
      </c>
      <c r="B437" s="31" t="str">
        <f t="shared" si="248"/>
        <v>М</v>
      </c>
      <c r="C437" s="32" t="s">
        <v>241</v>
      </c>
      <c r="D437" s="33" t="str">
        <f t="shared" si="249"/>
        <v>Факультет физико-математических и естественных наук</v>
      </c>
      <c r="E437" s="34" t="str">
        <f t="shared" si="250"/>
        <v>'09.04.03</v>
      </c>
      <c r="F437" s="35" t="str">
        <f t="shared" si="251"/>
        <v>Искусственный интеллект и анализ данных</v>
      </c>
      <c r="G437" s="36" t="s">
        <v>76</v>
      </c>
      <c r="H437" s="36" t="s">
        <v>77</v>
      </c>
      <c r="I437" s="37"/>
      <c r="J437" s="37"/>
      <c r="K437" s="38" t="s">
        <v>242</v>
      </c>
      <c r="L437" s="39">
        <v>1</v>
      </c>
      <c r="M437" s="39">
        <v>18</v>
      </c>
      <c r="N437" s="40" t="s">
        <v>79</v>
      </c>
      <c r="O437" s="39">
        <v>1</v>
      </c>
      <c r="P437" s="39"/>
      <c r="Q437" s="39"/>
      <c r="R437" s="40" t="s">
        <v>80</v>
      </c>
      <c r="S437" s="41"/>
      <c r="T437" s="41"/>
      <c r="U437" s="41"/>
      <c r="V437" s="41"/>
      <c r="W437" s="41"/>
      <c r="X437" s="42" t="str">
        <f t="shared" si="252"/>
        <v>НПИмд</v>
      </c>
      <c r="Y437" s="43" t="s">
        <v>87</v>
      </c>
      <c r="Z437" s="39">
        <v>2</v>
      </c>
      <c r="AA437" s="39">
        <v>1</v>
      </c>
      <c r="AB437" s="42">
        <f t="shared" si="253"/>
        <v>25</v>
      </c>
      <c r="AC437" s="39">
        <v>19</v>
      </c>
      <c r="AD437" s="39">
        <v>6</v>
      </c>
      <c r="AE437" s="44">
        <f t="shared" si="254"/>
        <v>25</v>
      </c>
      <c r="AF437" s="45">
        <f t="shared" si="255"/>
        <v>1</v>
      </c>
      <c r="AG437" s="45">
        <f t="shared" si="256"/>
        <v>1</v>
      </c>
      <c r="AH437" s="46" t="s">
        <v>82</v>
      </c>
      <c r="AI437" s="40" t="s">
        <v>112</v>
      </c>
      <c r="AJ437" s="40" t="s">
        <v>84</v>
      </c>
      <c r="AK437" s="47" t="s">
        <v>243</v>
      </c>
      <c r="AL437" s="40"/>
      <c r="AM437" s="48">
        <f t="shared" si="257"/>
        <v>18</v>
      </c>
      <c r="AN437" s="48">
        <f t="shared" si="258"/>
        <v>0</v>
      </c>
      <c r="AO437" s="48">
        <f t="shared" si="259"/>
        <v>0</v>
      </c>
      <c r="AP437" s="48">
        <f t="shared" si="260"/>
        <v>8.25</v>
      </c>
      <c r="AQ437" s="48">
        <f t="shared" si="261"/>
        <v>12.5</v>
      </c>
      <c r="AR437" s="48">
        <f t="shared" si="262"/>
        <v>1</v>
      </c>
      <c r="AS437" s="48">
        <f t="shared" si="263"/>
        <v>0.9</v>
      </c>
      <c r="AT437" s="48">
        <f t="shared" si="264"/>
        <v>0</v>
      </c>
      <c r="AU437" s="48">
        <f t="shared" si="265"/>
        <v>0</v>
      </c>
      <c r="AV437" s="48">
        <f t="shared" si="266"/>
        <v>0</v>
      </c>
      <c r="AW437" s="48">
        <f>IF(N437="ПП",РПП*AB437*(V437/1.5),IF(N437="ВП",ВПр*AB437*(V437/1.5),IF(N437="РПА",РПА*AB437*(V437/1.5),IF(N437="КПА",кпа*AB437*(V437/1.5),0))))</f>
        <v>0</v>
      </c>
      <c r="AX437" s="48">
        <f t="shared" si="267"/>
        <v>0</v>
      </c>
      <c r="AY437" s="48">
        <f t="shared" si="268"/>
        <v>0</v>
      </c>
      <c r="AZ437" s="48">
        <f t="shared" si="269"/>
        <v>0</v>
      </c>
      <c r="BA437" s="48">
        <f t="shared" si="270"/>
        <v>0</v>
      </c>
      <c r="BB437" s="48">
        <f t="shared" si="271"/>
        <v>0</v>
      </c>
      <c r="BC437" s="48">
        <f t="shared" si="272"/>
        <v>0</v>
      </c>
      <c r="BD437" s="48">
        <f t="shared" si="273"/>
        <v>0</v>
      </c>
      <c r="BE437" s="48">
        <f t="shared" si="274"/>
        <v>0</v>
      </c>
      <c r="BF437" s="49">
        <f t="shared" si="275"/>
        <v>40.65</v>
      </c>
      <c r="BG437" s="50"/>
      <c r="BH437" s="51">
        <f t="shared" si="276"/>
        <v>18</v>
      </c>
      <c r="BI437" s="51">
        <f t="shared" si="277"/>
        <v>0.5</v>
      </c>
      <c r="BJ437" s="51">
        <f t="shared" si="278"/>
        <v>22.65</v>
      </c>
      <c r="BK437" s="52">
        <f t="shared" si="279"/>
        <v>0</v>
      </c>
      <c r="BL437" s="52">
        <f t="shared" si="280"/>
        <v>0</v>
      </c>
      <c r="BM437" s="52">
        <f t="shared" si="281"/>
        <v>0</v>
      </c>
    </row>
    <row r="438" spans="1:65" ht="30" customHeight="1" x14ac:dyDescent="0.25">
      <c r="A438" s="31" t="str">
        <f t="shared" si="247"/>
        <v>Д</v>
      </c>
      <c r="B438" s="31" t="str">
        <f t="shared" si="248"/>
        <v>М</v>
      </c>
      <c r="C438" s="32" t="s">
        <v>241</v>
      </c>
      <c r="D438" s="33" t="str">
        <f t="shared" si="249"/>
        <v>Факультет физико-математических и естественных наук</v>
      </c>
      <c r="E438" s="34" t="str">
        <f t="shared" si="250"/>
        <v>'09.04.03</v>
      </c>
      <c r="F438" s="35" t="str">
        <f t="shared" si="251"/>
        <v>Искусственный интеллект и анализ данных</v>
      </c>
      <c r="G438" s="36" t="s">
        <v>76</v>
      </c>
      <c r="H438" s="36" t="s">
        <v>77</v>
      </c>
      <c r="I438" s="37"/>
      <c r="J438" s="37"/>
      <c r="K438" s="38" t="s">
        <v>242</v>
      </c>
      <c r="L438" s="39">
        <v>1</v>
      </c>
      <c r="M438" s="39">
        <v>18</v>
      </c>
      <c r="N438" s="40" t="s">
        <v>94</v>
      </c>
      <c r="O438" s="39"/>
      <c r="P438" s="39">
        <v>2</v>
      </c>
      <c r="Q438" s="39"/>
      <c r="R438" s="40"/>
      <c r="S438" s="41"/>
      <c r="T438" s="41"/>
      <c r="U438" s="41"/>
      <c r="V438" s="41"/>
      <c r="W438" s="41"/>
      <c r="X438" s="42" t="str">
        <f t="shared" si="252"/>
        <v>НПИмд</v>
      </c>
      <c r="Y438" s="43" t="s">
        <v>87</v>
      </c>
      <c r="Z438" s="39">
        <v>1</v>
      </c>
      <c r="AA438" s="39">
        <v>1</v>
      </c>
      <c r="AB438" s="42">
        <f t="shared" si="253"/>
        <v>25</v>
      </c>
      <c r="AC438" s="39">
        <v>19</v>
      </c>
      <c r="AD438" s="39">
        <v>6</v>
      </c>
      <c r="AE438" s="44">
        <f t="shared" si="254"/>
        <v>12</v>
      </c>
      <c r="AF438" s="45">
        <f t="shared" si="255"/>
        <v>1</v>
      </c>
      <c r="AG438" s="45">
        <f t="shared" si="256"/>
        <v>2.0833333333333335</v>
      </c>
      <c r="AH438" s="46" t="s">
        <v>82</v>
      </c>
      <c r="AI438" s="40" t="s">
        <v>112</v>
      </c>
      <c r="AJ438" s="40" t="s">
        <v>84</v>
      </c>
      <c r="AK438" s="47" t="s">
        <v>243</v>
      </c>
      <c r="AL438" s="40"/>
      <c r="AM438" s="48">
        <f t="shared" si="257"/>
        <v>0</v>
      </c>
      <c r="AN438" s="48">
        <f t="shared" si="258"/>
        <v>0</v>
      </c>
      <c r="AO438" s="48">
        <f t="shared" si="259"/>
        <v>36</v>
      </c>
      <c r="AP438" s="48">
        <f t="shared" si="260"/>
        <v>0</v>
      </c>
      <c r="AQ438" s="48">
        <f t="shared" si="261"/>
        <v>0</v>
      </c>
      <c r="AR438" s="48">
        <f t="shared" si="262"/>
        <v>0</v>
      </c>
      <c r="AS438" s="48">
        <f t="shared" si="263"/>
        <v>0</v>
      </c>
      <c r="AT438" s="48">
        <f t="shared" si="264"/>
        <v>0</v>
      </c>
      <c r="AU438" s="48">
        <f t="shared" si="265"/>
        <v>0</v>
      </c>
      <c r="AV438" s="48">
        <f t="shared" si="266"/>
        <v>0</v>
      </c>
      <c r="AW438" s="48">
        <f>IF(N438="ПП",РПП*AB438*(V438/1.5),IF(N438="ВП",ВПр*AB438*(V438/1.5),IF(N438="РПА",РПА*AB438*(V438/1.5),IF(N438="КПА",кпа*AB438*(V438/1.5),0))))</f>
        <v>0</v>
      </c>
      <c r="AX438" s="48">
        <f t="shared" si="267"/>
        <v>0</v>
      </c>
      <c r="AY438" s="48">
        <f t="shared" si="268"/>
        <v>0</v>
      </c>
      <c r="AZ438" s="48">
        <f t="shared" si="269"/>
        <v>0</v>
      </c>
      <c r="BA438" s="48">
        <f t="shared" si="270"/>
        <v>0</v>
      </c>
      <c r="BB438" s="48">
        <f t="shared" si="271"/>
        <v>0</v>
      </c>
      <c r="BC438" s="48">
        <f t="shared" si="272"/>
        <v>0</v>
      </c>
      <c r="BD438" s="48">
        <f t="shared" si="273"/>
        <v>0</v>
      </c>
      <c r="BE438" s="48">
        <f t="shared" si="274"/>
        <v>0</v>
      </c>
      <c r="BF438" s="49">
        <f t="shared" si="275"/>
        <v>36</v>
      </c>
      <c r="BG438" s="50"/>
      <c r="BH438" s="51">
        <f t="shared" si="276"/>
        <v>36</v>
      </c>
      <c r="BI438" s="51">
        <f t="shared" si="277"/>
        <v>1</v>
      </c>
      <c r="BJ438" s="51">
        <f t="shared" si="278"/>
        <v>0</v>
      </c>
      <c r="BK438" s="52">
        <f t="shared" si="279"/>
        <v>0</v>
      </c>
      <c r="BL438" s="52">
        <f t="shared" si="280"/>
        <v>0</v>
      </c>
      <c r="BM438" s="52">
        <f t="shared" si="281"/>
        <v>0</v>
      </c>
    </row>
    <row r="439" spans="1:65" ht="30" customHeight="1" x14ac:dyDescent="0.25">
      <c r="A439" s="31" t="str">
        <f t="shared" si="247"/>
        <v>Д</v>
      </c>
      <c r="B439" s="31" t="str">
        <f t="shared" si="248"/>
        <v>М</v>
      </c>
      <c r="C439" s="32" t="s">
        <v>241</v>
      </c>
      <c r="D439" s="33" t="str">
        <f t="shared" si="249"/>
        <v>Факультет физико-математических и естественных наук</v>
      </c>
      <c r="E439" s="34" t="str">
        <f t="shared" si="250"/>
        <v>'09.04.03</v>
      </c>
      <c r="F439" s="35" t="str">
        <f t="shared" si="251"/>
        <v>Искусственный интеллект и анализ данных</v>
      </c>
      <c r="G439" s="36" t="s">
        <v>76</v>
      </c>
      <c r="H439" s="36" t="s">
        <v>77</v>
      </c>
      <c r="I439" s="37"/>
      <c r="J439" s="37"/>
      <c r="K439" s="38" t="s">
        <v>242</v>
      </c>
      <c r="L439" s="39">
        <v>1</v>
      </c>
      <c r="M439" s="39">
        <v>18</v>
      </c>
      <c r="N439" s="40" t="s">
        <v>94</v>
      </c>
      <c r="O439" s="39"/>
      <c r="P439" s="39">
        <v>2</v>
      </c>
      <c r="Q439" s="39"/>
      <c r="R439" s="40"/>
      <c r="S439" s="41"/>
      <c r="T439" s="41"/>
      <c r="U439" s="41"/>
      <c r="V439" s="41"/>
      <c r="W439" s="41"/>
      <c r="X439" s="42" t="str">
        <f t="shared" si="252"/>
        <v>НПИмд</v>
      </c>
      <c r="Y439" s="43" t="s">
        <v>87</v>
      </c>
      <c r="Z439" s="39">
        <v>1</v>
      </c>
      <c r="AA439" s="39">
        <v>1</v>
      </c>
      <c r="AB439" s="42">
        <f t="shared" si="253"/>
        <v>0</v>
      </c>
      <c r="AC439" s="39"/>
      <c r="AD439" s="39"/>
      <c r="AE439" s="44">
        <f t="shared" si="254"/>
        <v>12</v>
      </c>
      <c r="AF439" s="45">
        <f t="shared" si="255"/>
        <v>0</v>
      </c>
      <c r="AG439" s="45">
        <f t="shared" si="256"/>
        <v>0</v>
      </c>
      <c r="AH439" s="46" t="s">
        <v>82</v>
      </c>
      <c r="AI439" s="40" t="s">
        <v>112</v>
      </c>
      <c r="AJ439" s="40" t="s">
        <v>84</v>
      </c>
      <c r="AK439" s="47" t="s">
        <v>243</v>
      </c>
      <c r="AL439" s="40"/>
      <c r="AM439" s="48">
        <f t="shared" si="257"/>
        <v>0</v>
      </c>
      <c r="AN439" s="48">
        <f t="shared" si="258"/>
        <v>0</v>
      </c>
      <c r="AO439" s="48">
        <f t="shared" si="259"/>
        <v>0</v>
      </c>
      <c r="AP439" s="48">
        <f t="shared" si="260"/>
        <v>0</v>
      </c>
      <c r="AQ439" s="48">
        <f t="shared" si="261"/>
        <v>0</v>
      </c>
      <c r="AR439" s="48">
        <f t="shared" si="262"/>
        <v>0</v>
      </c>
      <c r="AS439" s="48">
        <f t="shared" si="263"/>
        <v>0</v>
      </c>
      <c r="AT439" s="48">
        <f t="shared" si="264"/>
        <v>0</v>
      </c>
      <c r="AU439" s="48">
        <f t="shared" si="265"/>
        <v>0</v>
      </c>
      <c r="AV439" s="48">
        <f t="shared" si="266"/>
        <v>0</v>
      </c>
      <c r="AW439" s="48">
        <f>IF(N439="ПП",РПП*AB439*(V439/1.5),IF(N439="ВП",ВПр*AB439*(V439/1.5),IF(N439="РПА",РПА*AB439*(V439/1.5),IF(N439="КПА",кпа*AB439*(V439/1.5),0))))</f>
        <v>0</v>
      </c>
      <c r="AX439" s="48">
        <f t="shared" si="267"/>
        <v>0</v>
      </c>
      <c r="AY439" s="48">
        <f t="shared" si="268"/>
        <v>0</v>
      </c>
      <c r="AZ439" s="48">
        <f t="shared" si="269"/>
        <v>0</v>
      </c>
      <c r="BA439" s="48">
        <f t="shared" si="270"/>
        <v>0</v>
      </c>
      <c r="BB439" s="48">
        <f t="shared" si="271"/>
        <v>0</v>
      </c>
      <c r="BC439" s="48">
        <f t="shared" si="272"/>
        <v>0</v>
      </c>
      <c r="BD439" s="48">
        <f t="shared" si="273"/>
        <v>0</v>
      </c>
      <c r="BE439" s="48">
        <f t="shared" si="274"/>
        <v>0</v>
      </c>
      <c r="BF439" s="49">
        <f t="shared" si="275"/>
        <v>0</v>
      </c>
      <c r="BG439" s="50"/>
      <c r="BH439" s="51">
        <f t="shared" si="276"/>
        <v>0</v>
      </c>
      <c r="BI439" s="51">
        <f t="shared" si="277"/>
        <v>0</v>
      </c>
      <c r="BJ439" s="51">
        <f t="shared" si="278"/>
        <v>0</v>
      </c>
      <c r="BK439" s="52">
        <f t="shared" si="279"/>
        <v>0</v>
      </c>
      <c r="BL439" s="52">
        <f t="shared" si="280"/>
        <v>0</v>
      </c>
      <c r="BM439" s="52">
        <f t="shared" si="281"/>
        <v>0</v>
      </c>
    </row>
    <row r="440" spans="1:65" ht="30" customHeight="1" x14ac:dyDescent="0.25">
      <c r="A440" s="31" t="str">
        <f t="shared" si="247"/>
        <v>Д</v>
      </c>
      <c r="B440" s="31" t="str">
        <f t="shared" si="248"/>
        <v>М</v>
      </c>
      <c r="C440" s="32" t="s">
        <v>241</v>
      </c>
      <c r="D440" s="33" t="str">
        <f t="shared" si="249"/>
        <v>Факультет физико-математических и естественных наук</v>
      </c>
      <c r="E440" s="34" t="str">
        <f t="shared" si="250"/>
        <v>'09.04.03</v>
      </c>
      <c r="F440" s="35" t="str">
        <f t="shared" si="251"/>
        <v>Искусственный интеллект и анализ данных</v>
      </c>
      <c r="G440" s="36" t="s">
        <v>76</v>
      </c>
      <c r="H440" s="36" t="s">
        <v>183</v>
      </c>
      <c r="I440" s="37"/>
      <c r="J440" s="37"/>
      <c r="K440" s="38" t="s">
        <v>151</v>
      </c>
      <c r="L440" s="39">
        <v>1</v>
      </c>
      <c r="M440" s="39">
        <v>18</v>
      </c>
      <c r="N440" s="40" t="s">
        <v>79</v>
      </c>
      <c r="O440" s="39">
        <v>1</v>
      </c>
      <c r="P440" s="39"/>
      <c r="Q440" s="39"/>
      <c r="R440" s="40" t="s">
        <v>80</v>
      </c>
      <c r="S440" s="41"/>
      <c r="T440" s="41"/>
      <c r="U440" s="41"/>
      <c r="V440" s="41"/>
      <c r="W440" s="41"/>
      <c r="X440" s="42" t="str">
        <f t="shared" si="252"/>
        <v>НПИмд</v>
      </c>
      <c r="Y440" s="43" t="s">
        <v>87</v>
      </c>
      <c r="Z440" s="39">
        <v>2</v>
      </c>
      <c r="AA440" s="39">
        <v>1</v>
      </c>
      <c r="AB440" s="42">
        <f t="shared" si="253"/>
        <v>25</v>
      </c>
      <c r="AC440" s="39">
        <v>19</v>
      </c>
      <c r="AD440" s="39">
        <v>6</v>
      </c>
      <c r="AE440" s="44">
        <f t="shared" si="254"/>
        <v>25</v>
      </c>
      <c r="AF440" s="45">
        <f t="shared" si="255"/>
        <v>1</v>
      </c>
      <c r="AG440" s="45">
        <f t="shared" si="256"/>
        <v>1</v>
      </c>
      <c r="AH440" s="46" t="s">
        <v>82</v>
      </c>
      <c r="AI440" s="40" t="s">
        <v>83</v>
      </c>
      <c r="AJ440" s="40" t="s">
        <v>116</v>
      </c>
      <c r="AK440" s="47" t="s">
        <v>119</v>
      </c>
      <c r="AL440" s="40"/>
      <c r="AM440" s="48">
        <f t="shared" si="257"/>
        <v>18</v>
      </c>
      <c r="AN440" s="48">
        <f t="shared" si="258"/>
        <v>0</v>
      </c>
      <c r="AO440" s="48">
        <f t="shared" si="259"/>
        <v>0</v>
      </c>
      <c r="AP440" s="48">
        <f t="shared" si="260"/>
        <v>8.25</v>
      </c>
      <c r="AQ440" s="48">
        <f t="shared" si="261"/>
        <v>12.5</v>
      </c>
      <c r="AR440" s="48">
        <f t="shared" si="262"/>
        <v>1</v>
      </c>
      <c r="AS440" s="48">
        <f t="shared" si="263"/>
        <v>0.9</v>
      </c>
      <c r="AT440" s="48">
        <f t="shared" si="264"/>
        <v>0</v>
      </c>
      <c r="AU440" s="48">
        <f t="shared" si="265"/>
        <v>0</v>
      </c>
      <c r="AV440" s="48">
        <f t="shared" si="266"/>
        <v>0</v>
      </c>
      <c r="AW440" s="48">
        <f>IF(N440="ПП",РПП*AB440*(V440/1.5),IF(N440="ВП",ВПр*AB440*(V440/1.5),IF(N440="РПА",РПА*AB440*(V440/1.5),IF(N440="КПА",кпа*AB440*(V440/1.5),0))))</f>
        <v>0</v>
      </c>
      <c r="AX440" s="48">
        <f t="shared" si="267"/>
        <v>0</v>
      </c>
      <c r="AY440" s="48">
        <f t="shared" si="268"/>
        <v>0</v>
      </c>
      <c r="AZ440" s="48">
        <f t="shared" si="269"/>
        <v>0</v>
      </c>
      <c r="BA440" s="48">
        <f t="shared" si="270"/>
        <v>0</v>
      </c>
      <c r="BB440" s="48">
        <f t="shared" si="271"/>
        <v>0</v>
      </c>
      <c r="BC440" s="48">
        <f t="shared" si="272"/>
        <v>0</v>
      </c>
      <c r="BD440" s="48">
        <f t="shared" si="273"/>
        <v>0</v>
      </c>
      <c r="BE440" s="48">
        <f t="shared" si="274"/>
        <v>0</v>
      </c>
      <c r="BF440" s="49">
        <f t="shared" si="275"/>
        <v>40.65</v>
      </c>
      <c r="BG440" s="50"/>
      <c r="BH440" s="51">
        <f t="shared" si="276"/>
        <v>18</v>
      </c>
      <c r="BI440" s="51">
        <f t="shared" si="277"/>
        <v>0.5</v>
      </c>
      <c r="BJ440" s="51">
        <f t="shared" si="278"/>
        <v>22.65</v>
      </c>
      <c r="BK440" s="52">
        <f t="shared" si="279"/>
        <v>0</v>
      </c>
      <c r="BL440" s="52">
        <f t="shared" si="280"/>
        <v>0</v>
      </c>
      <c r="BM440" s="52">
        <f t="shared" si="281"/>
        <v>0</v>
      </c>
    </row>
    <row r="441" spans="1:65" ht="30" customHeight="1" x14ac:dyDescent="0.25">
      <c r="A441" s="31" t="str">
        <f t="shared" si="247"/>
        <v>Д</v>
      </c>
      <c r="B441" s="31" t="str">
        <f t="shared" si="248"/>
        <v>М</v>
      </c>
      <c r="C441" s="32" t="s">
        <v>241</v>
      </c>
      <c r="D441" s="33" t="str">
        <f t="shared" si="249"/>
        <v>Факультет физико-математических и естественных наук</v>
      </c>
      <c r="E441" s="34" t="str">
        <f t="shared" si="250"/>
        <v>'09.04.03</v>
      </c>
      <c r="F441" s="35" t="str">
        <f t="shared" si="251"/>
        <v>Искусственный интеллект и анализ данных</v>
      </c>
      <c r="G441" s="36" t="s">
        <v>76</v>
      </c>
      <c r="H441" s="36" t="s">
        <v>183</v>
      </c>
      <c r="I441" s="37"/>
      <c r="J441" s="37"/>
      <c r="K441" s="38" t="s">
        <v>151</v>
      </c>
      <c r="L441" s="39">
        <v>1</v>
      </c>
      <c r="M441" s="39">
        <v>18</v>
      </c>
      <c r="N441" s="40" t="s">
        <v>86</v>
      </c>
      <c r="O441" s="39"/>
      <c r="P441" s="39"/>
      <c r="Q441" s="39">
        <v>2</v>
      </c>
      <c r="R441" s="40"/>
      <c r="S441" s="41"/>
      <c r="T441" s="41"/>
      <c r="U441" s="41"/>
      <c r="V441" s="41"/>
      <c r="W441" s="41"/>
      <c r="X441" s="42" t="str">
        <f t="shared" si="252"/>
        <v>НПИмд</v>
      </c>
      <c r="Y441" s="43" t="s">
        <v>87</v>
      </c>
      <c r="Z441" s="39">
        <v>2</v>
      </c>
      <c r="AA441" s="39">
        <v>1</v>
      </c>
      <c r="AB441" s="42">
        <f t="shared" si="253"/>
        <v>25</v>
      </c>
      <c r="AC441" s="39">
        <v>19</v>
      </c>
      <c r="AD441" s="39">
        <v>6</v>
      </c>
      <c r="AE441" s="44">
        <f t="shared" si="254"/>
        <v>12</v>
      </c>
      <c r="AF441" s="45">
        <f t="shared" si="255"/>
        <v>1</v>
      </c>
      <c r="AG441" s="45">
        <f t="shared" si="256"/>
        <v>2.0833333333333335</v>
      </c>
      <c r="AH441" s="46" t="s">
        <v>82</v>
      </c>
      <c r="AI441" s="40" t="s">
        <v>83</v>
      </c>
      <c r="AJ441" s="40" t="s">
        <v>116</v>
      </c>
      <c r="AK441" s="47" t="s">
        <v>119</v>
      </c>
      <c r="AL441" s="40"/>
      <c r="AM441" s="48">
        <f t="shared" si="257"/>
        <v>0</v>
      </c>
      <c r="AN441" s="48">
        <f t="shared" si="258"/>
        <v>36</v>
      </c>
      <c r="AO441" s="48">
        <f t="shared" si="259"/>
        <v>0</v>
      </c>
      <c r="AP441" s="48">
        <f t="shared" si="260"/>
        <v>0</v>
      </c>
      <c r="AQ441" s="48">
        <f t="shared" si="261"/>
        <v>0</v>
      </c>
      <c r="AR441" s="48">
        <f t="shared" si="262"/>
        <v>0</v>
      </c>
      <c r="AS441" s="48">
        <f t="shared" si="263"/>
        <v>0</v>
      </c>
      <c r="AT441" s="48">
        <f t="shared" si="264"/>
        <v>0</v>
      </c>
      <c r="AU441" s="48">
        <f t="shared" si="265"/>
        <v>0</v>
      </c>
      <c r="AV441" s="48">
        <f t="shared" si="266"/>
        <v>0</v>
      </c>
      <c r="AW441" s="48">
        <f>IF(N441="ПП",РПП*AB441*(V441/1.5),IF(N441="ВП",ВПр*AB441*(V441/1.5),IF(N441="РПА",РПА*AB441*(V441/1.5),IF(N441="КПА",кпа*AB441*(V441/1.5),0))))</f>
        <v>0</v>
      </c>
      <c r="AX441" s="48">
        <f t="shared" si="267"/>
        <v>0</v>
      </c>
      <c r="AY441" s="48">
        <f t="shared" si="268"/>
        <v>0</v>
      </c>
      <c r="AZ441" s="48">
        <f t="shared" si="269"/>
        <v>0</v>
      </c>
      <c r="BA441" s="48">
        <f t="shared" si="270"/>
        <v>0</v>
      </c>
      <c r="BB441" s="48">
        <f t="shared" si="271"/>
        <v>0</v>
      </c>
      <c r="BC441" s="48">
        <f t="shared" si="272"/>
        <v>0</v>
      </c>
      <c r="BD441" s="48">
        <f t="shared" si="273"/>
        <v>0</v>
      </c>
      <c r="BE441" s="48">
        <f t="shared" si="274"/>
        <v>0</v>
      </c>
      <c r="BF441" s="49">
        <f t="shared" si="275"/>
        <v>36</v>
      </c>
      <c r="BG441" s="50"/>
      <c r="BH441" s="51">
        <f t="shared" si="276"/>
        <v>36</v>
      </c>
      <c r="BI441" s="51">
        <f t="shared" si="277"/>
        <v>1</v>
      </c>
      <c r="BJ441" s="51">
        <f t="shared" si="278"/>
        <v>0</v>
      </c>
      <c r="BK441" s="52">
        <f t="shared" si="279"/>
        <v>0</v>
      </c>
      <c r="BL441" s="52">
        <f t="shared" si="280"/>
        <v>0</v>
      </c>
      <c r="BM441" s="52">
        <f t="shared" si="281"/>
        <v>0</v>
      </c>
    </row>
    <row r="442" spans="1:65" ht="30" customHeight="1" x14ac:dyDescent="0.25">
      <c r="A442" s="31" t="str">
        <f t="shared" si="247"/>
        <v>Д</v>
      </c>
      <c r="B442" s="31" t="str">
        <f t="shared" si="248"/>
        <v>М</v>
      </c>
      <c r="C442" s="32" t="s">
        <v>241</v>
      </c>
      <c r="D442" s="33" t="str">
        <f t="shared" si="249"/>
        <v>Факультет физико-математических и естественных наук</v>
      </c>
      <c r="E442" s="34" t="str">
        <f t="shared" si="250"/>
        <v>'09.04.03</v>
      </c>
      <c r="F442" s="35" t="str">
        <f t="shared" si="251"/>
        <v>Искусственный интеллект и анализ данных</v>
      </c>
      <c r="G442" s="36" t="s">
        <v>76</v>
      </c>
      <c r="H442" s="36" t="s">
        <v>183</v>
      </c>
      <c r="I442" s="37"/>
      <c r="J442" s="37"/>
      <c r="K442" s="38" t="s">
        <v>244</v>
      </c>
      <c r="L442" s="39">
        <v>1</v>
      </c>
      <c r="M442" s="39">
        <v>18</v>
      </c>
      <c r="N442" s="40" t="s">
        <v>79</v>
      </c>
      <c r="O442" s="39">
        <v>1</v>
      </c>
      <c r="P442" s="39"/>
      <c r="Q442" s="39"/>
      <c r="R442" s="40" t="s">
        <v>80</v>
      </c>
      <c r="S442" s="41"/>
      <c r="T442" s="41"/>
      <c r="U442" s="41"/>
      <c r="V442" s="41"/>
      <c r="W442" s="41"/>
      <c r="X442" s="42" t="str">
        <f t="shared" si="252"/>
        <v>НПИмд</v>
      </c>
      <c r="Y442" s="43" t="s">
        <v>87</v>
      </c>
      <c r="Z442" s="39">
        <v>2</v>
      </c>
      <c r="AA442" s="39">
        <v>1</v>
      </c>
      <c r="AB442" s="42">
        <f t="shared" si="253"/>
        <v>25</v>
      </c>
      <c r="AC442" s="39">
        <v>19</v>
      </c>
      <c r="AD442" s="39">
        <v>6</v>
      </c>
      <c r="AE442" s="44">
        <f t="shared" si="254"/>
        <v>25</v>
      </c>
      <c r="AF442" s="45">
        <f t="shared" si="255"/>
        <v>1</v>
      </c>
      <c r="AG442" s="45">
        <f t="shared" si="256"/>
        <v>1</v>
      </c>
      <c r="AH442" s="46" t="s">
        <v>82</v>
      </c>
      <c r="AI442" s="40" t="s">
        <v>112</v>
      </c>
      <c r="AJ442" s="40" t="s">
        <v>84</v>
      </c>
      <c r="AK442" s="47" t="s">
        <v>243</v>
      </c>
      <c r="AL442" s="40"/>
      <c r="AM442" s="48">
        <f t="shared" si="257"/>
        <v>18</v>
      </c>
      <c r="AN442" s="48">
        <f t="shared" si="258"/>
        <v>0</v>
      </c>
      <c r="AO442" s="48">
        <f t="shared" si="259"/>
        <v>0</v>
      </c>
      <c r="AP442" s="48">
        <f t="shared" si="260"/>
        <v>8.25</v>
      </c>
      <c r="AQ442" s="48">
        <f t="shared" si="261"/>
        <v>12.5</v>
      </c>
      <c r="AR442" s="48">
        <f t="shared" si="262"/>
        <v>1</v>
      </c>
      <c r="AS442" s="48">
        <f t="shared" si="263"/>
        <v>0.9</v>
      </c>
      <c r="AT442" s="48">
        <f t="shared" si="264"/>
        <v>0</v>
      </c>
      <c r="AU442" s="48">
        <f t="shared" si="265"/>
        <v>0</v>
      </c>
      <c r="AV442" s="48">
        <f t="shared" si="266"/>
        <v>0</v>
      </c>
      <c r="AW442" s="48">
        <f>IF(N442="ПП",РПП*AB442*(V442/1.5),IF(N442="ВП",ВПр*AB442*(V442/1.5),IF(N442="РПА",РПА*AB442*(V442/1.5),IF(N442="КПА",кпа*AB442*(V442/1.5),0))))</f>
        <v>0</v>
      </c>
      <c r="AX442" s="48">
        <f t="shared" si="267"/>
        <v>0</v>
      </c>
      <c r="AY442" s="48">
        <f t="shared" si="268"/>
        <v>0</v>
      </c>
      <c r="AZ442" s="48">
        <f t="shared" si="269"/>
        <v>0</v>
      </c>
      <c r="BA442" s="48">
        <f t="shared" si="270"/>
        <v>0</v>
      </c>
      <c r="BB442" s="48">
        <f t="shared" si="271"/>
        <v>0</v>
      </c>
      <c r="BC442" s="48">
        <f t="shared" si="272"/>
        <v>0</v>
      </c>
      <c r="BD442" s="48">
        <f t="shared" si="273"/>
        <v>0</v>
      </c>
      <c r="BE442" s="48">
        <f t="shared" si="274"/>
        <v>0</v>
      </c>
      <c r="BF442" s="49">
        <f t="shared" si="275"/>
        <v>40.65</v>
      </c>
      <c r="BG442" s="50"/>
      <c r="BH442" s="51">
        <f t="shared" si="276"/>
        <v>18</v>
      </c>
      <c r="BI442" s="51">
        <f t="shared" si="277"/>
        <v>0.5</v>
      </c>
      <c r="BJ442" s="51">
        <f t="shared" si="278"/>
        <v>22.65</v>
      </c>
      <c r="BK442" s="52">
        <f t="shared" si="279"/>
        <v>0</v>
      </c>
      <c r="BL442" s="52">
        <f t="shared" si="280"/>
        <v>0</v>
      </c>
      <c r="BM442" s="52">
        <f t="shared" si="281"/>
        <v>0</v>
      </c>
    </row>
    <row r="443" spans="1:65" ht="30" customHeight="1" x14ac:dyDescent="0.25">
      <c r="A443" s="31" t="str">
        <f t="shared" si="247"/>
        <v>Д</v>
      </c>
      <c r="B443" s="31" t="str">
        <f t="shared" si="248"/>
        <v>М</v>
      </c>
      <c r="C443" s="32" t="s">
        <v>241</v>
      </c>
      <c r="D443" s="33" t="str">
        <f t="shared" si="249"/>
        <v>Факультет физико-математических и естественных наук</v>
      </c>
      <c r="E443" s="34" t="str">
        <f t="shared" si="250"/>
        <v>'09.04.03</v>
      </c>
      <c r="F443" s="35" t="str">
        <f t="shared" si="251"/>
        <v>Искусственный интеллект и анализ данных</v>
      </c>
      <c r="G443" s="36" t="s">
        <v>76</v>
      </c>
      <c r="H443" s="36" t="s">
        <v>183</v>
      </c>
      <c r="I443" s="37"/>
      <c r="J443" s="37"/>
      <c r="K443" s="38" t="s">
        <v>244</v>
      </c>
      <c r="L443" s="39">
        <v>1</v>
      </c>
      <c r="M443" s="39">
        <v>18</v>
      </c>
      <c r="N443" s="40" t="s">
        <v>86</v>
      </c>
      <c r="O443" s="39"/>
      <c r="P443" s="39"/>
      <c r="Q443" s="39">
        <v>2</v>
      </c>
      <c r="R443" s="40"/>
      <c r="S443" s="41"/>
      <c r="T443" s="41"/>
      <c r="U443" s="41"/>
      <c r="V443" s="41"/>
      <c r="W443" s="41"/>
      <c r="X443" s="42" t="str">
        <f t="shared" si="252"/>
        <v>НПИмд</v>
      </c>
      <c r="Y443" s="43" t="s">
        <v>87</v>
      </c>
      <c r="Z443" s="39">
        <v>2</v>
      </c>
      <c r="AA443" s="39">
        <v>1</v>
      </c>
      <c r="AB443" s="42">
        <f t="shared" si="253"/>
        <v>25</v>
      </c>
      <c r="AC443" s="39">
        <v>19</v>
      </c>
      <c r="AD443" s="39">
        <v>6</v>
      </c>
      <c r="AE443" s="44">
        <f t="shared" si="254"/>
        <v>12</v>
      </c>
      <c r="AF443" s="45">
        <f t="shared" si="255"/>
        <v>1</v>
      </c>
      <c r="AG443" s="45">
        <f t="shared" si="256"/>
        <v>2.0833333333333335</v>
      </c>
      <c r="AH443" s="46" t="s">
        <v>82</v>
      </c>
      <c r="AI443" s="40" t="s">
        <v>112</v>
      </c>
      <c r="AJ443" s="40" t="s">
        <v>84</v>
      </c>
      <c r="AK443" s="47" t="s">
        <v>243</v>
      </c>
      <c r="AL443" s="40"/>
      <c r="AM443" s="48">
        <f t="shared" si="257"/>
        <v>0</v>
      </c>
      <c r="AN443" s="48">
        <f t="shared" si="258"/>
        <v>36</v>
      </c>
      <c r="AO443" s="48">
        <f t="shared" si="259"/>
        <v>0</v>
      </c>
      <c r="AP443" s="48">
        <f t="shared" si="260"/>
        <v>0</v>
      </c>
      <c r="AQ443" s="48">
        <f t="shared" si="261"/>
        <v>0</v>
      </c>
      <c r="AR443" s="48">
        <f t="shared" si="262"/>
        <v>0</v>
      </c>
      <c r="AS443" s="48">
        <f t="shared" si="263"/>
        <v>0</v>
      </c>
      <c r="AT443" s="48">
        <f t="shared" si="264"/>
        <v>0</v>
      </c>
      <c r="AU443" s="48">
        <f t="shared" si="265"/>
        <v>0</v>
      </c>
      <c r="AV443" s="48">
        <f t="shared" si="266"/>
        <v>0</v>
      </c>
      <c r="AW443" s="48">
        <f>IF(N443="ПП",РПП*AB443*(V443/1.5),IF(N443="ВП",ВПр*AB443*(V443/1.5),IF(N443="РПА",РПА*AB443*(V443/1.5),IF(N443="КПА",кпа*AB443*(V443/1.5),0))))</f>
        <v>0</v>
      </c>
      <c r="AX443" s="48">
        <f t="shared" si="267"/>
        <v>0</v>
      </c>
      <c r="AY443" s="48">
        <f t="shared" si="268"/>
        <v>0</v>
      </c>
      <c r="AZ443" s="48">
        <f t="shared" si="269"/>
        <v>0</v>
      </c>
      <c r="BA443" s="48">
        <f t="shared" si="270"/>
        <v>0</v>
      </c>
      <c r="BB443" s="48">
        <f t="shared" si="271"/>
        <v>0</v>
      </c>
      <c r="BC443" s="48">
        <f t="shared" si="272"/>
        <v>0</v>
      </c>
      <c r="BD443" s="48">
        <f t="shared" si="273"/>
        <v>0</v>
      </c>
      <c r="BE443" s="48">
        <f t="shared" si="274"/>
        <v>0</v>
      </c>
      <c r="BF443" s="49">
        <f t="shared" si="275"/>
        <v>36</v>
      </c>
      <c r="BG443" s="50"/>
      <c r="BH443" s="51">
        <f t="shared" si="276"/>
        <v>36</v>
      </c>
      <c r="BI443" s="51">
        <f t="shared" si="277"/>
        <v>1</v>
      </c>
      <c r="BJ443" s="51">
        <f t="shared" si="278"/>
        <v>0</v>
      </c>
      <c r="BK443" s="52">
        <f t="shared" si="279"/>
        <v>0</v>
      </c>
      <c r="BL443" s="52">
        <f t="shared" si="280"/>
        <v>0</v>
      </c>
      <c r="BM443" s="52">
        <f t="shared" si="281"/>
        <v>0</v>
      </c>
    </row>
    <row r="444" spans="1:65" ht="30" customHeight="1" x14ac:dyDescent="0.25">
      <c r="A444" s="31" t="str">
        <f t="shared" si="247"/>
        <v>Д</v>
      </c>
      <c r="B444" s="31" t="str">
        <f t="shared" si="248"/>
        <v>М</v>
      </c>
      <c r="C444" s="32" t="s">
        <v>241</v>
      </c>
      <c r="D444" s="33" t="str">
        <f t="shared" si="249"/>
        <v>Факультет физико-математических и естественных наук</v>
      </c>
      <c r="E444" s="34" t="str">
        <f t="shared" si="250"/>
        <v>'09.04.03</v>
      </c>
      <c r="F444" s="35" t="str">
        <f t="shared" si="251"/>
        <v>Искусственный интеллект и анализ данных</v>
      </c>
      <c r="G444" s="36" t="s">
        <v>76</v>
      </c>
      <c r="H444" s="36" t="s">
        <v>135</v>
      </c>
      <c r="I444" s="37"/>
      <c r="J444" s="37" t="s">
        <v>154</v>
      </c>
      <c r="K444" s="38" t="s">
        <v>245</v>
      </c>
      <c r="L444" s="39">
        <v>1</v>
      </c>
      <c r="M444" s="39">
        <v>18</v>
      </c>
      <c r="N444" s="40" t="s">
        <v>79</v>
      </c>
      <c r="O444" s="39">
        <v>1</v>
      </c>
      <c r="P444" s="39"/>
      <c r="Q444" s="39"/>
      <c r="R444" s="40" t="s">
        <v>80</v>
      </c>
      <c r="S444" s="41"/>
      <c r="T444" s="41"/>
      <c r="U444" s="41"/>
      <c r="V444" s="41"/>
      <c r="W444" s="41"/>
      <c r="X444" s="42" t="str">
        <f t="shared" si="252"/>
        <v>НПИмд</v>
      </c>
      <c r="Y444" s="43" t="s">
        <v>87</v>
      </c>
      <c r="Z444" s="39">
        <v>2</v>
      </c>
      <c r="AA444" s="39">
        <v>1</v>
      </c>
      <c r="AB444" s="42">
        <f t="shared" si="253"/>
        <v>25</v>
      </c>
      <c r="AC444" s="39">
        <v>19</v>
      </c>
      <c r="AD444" s="39">
        <v>6</v>
      </c>
      <c r="AE444" s="44">
        <f t="shared" si="254"/>
        <v>25</v>
      </c>
      <c r="AF444" s="45">
        <f t="shared" si="255"/>
        <v>1</v>
      </c>
      <c r="AG444" s="45">
        <f t="shared" si="256"/>
        <v>1</v>
      </c>
      <c r="AH444" s="46" t="s">
        <v>82</v>
      </c>
      <c r="AI444" s="40" t="s">
        <v>83</v>
      </c>
      <c r="AJ444" s="40" t="s">
        <v>84</v>
      </c>
      <c r="AK444" s="47" t="s">
        <v>144</v>
      </c>
      <c r="AL444" s="40"/>
      <c r="AM444" s="48">
        <f t="shared" si="257"/>
        <v>18</v>
      </c>
      <c r="AN444" s="48">
        <f t="shared" si="258"/>
        <v>0</v>
      </c>
      <c r="AO444" s="48">
        <f t="shared" si="259"/>
        <v>0</v>
      </c>
      <c r="AP444" s="48">
        <f t="shared" si="260"/>
        <v>8.25</v>
      </c>
      <c r="AQ444" s="48">
        <f t="shared" si="261"/>
        <v>12.5</v>
      </c>
      <c r="AR444" s="48">
        <f t="shared" si="262"/>
        <v>1</v>
      </c>
      <c r="AS444" s="48">
        <f t="shared" si="263"/>
        <v>0.9</v>
      </c>
      <c r="AT444" s="48">
        <f t="shared" si="264"/>
        <v>0</v>
      </c>
      <c r="AU444" s="48">
        <f t="shared" si="265"/>
        <v>0</v>
      </c>
      <c r="AV444" s="48">
        <f t="shared" si="266"/>
        <v>0</v>
      </c>
      <c r="AW444" s="48">
        <f>IF(N444="ПП",РПП*AB444*(V444/1.5),IF(N444="ВП",ВПр*AB444*(V444/1.5),IF(N444="РПА",РПА*AB444*(V444/1.5),IF(N444="КПА",кпа*AB444*(V444/1.5),0))))</f>
        <v>0</v>
      </c>
      <c r="AX444" s="48">
        <f t="shared" si="267"/>
        <v>0</v>
      </c>
      <c r="AY444" s="48">
        <f t="shared" si="268"/>
        <v>0</v>
      </c>
      <c r="AZ444" s="48">
        <f t="shared" si="269"/>
        <v>0</v>
      </c>
      <c r="BA444" s="48">
        <f t="shared" si="270"/>
        <v>0</v>
      </c>
      <c r="BB444" s="48">
        <f t="shared" si="271"/>
        <v>0</v>
      </c>
      <c r="BC444" s="48">
        <f t="shared" si="272"/>
        <v>0</v>
      </c>
      <c r="BD444" s="48">
        <f t="shared" si="273"/>
        <v>0</v>
      </c>
      <c r="BE444" s="48">
        <f t="shared" si="274"/>
        <v>0</v>
      </c>
      <c r="BF444" s="49">
        <f t="shared" si="275"/>
        <v>40.65</v>
      </c>
      <c r="BG444" s="50"/>
      <c r="BH444" s="51">
        <f t="shared" si="276"/>
        <v>18</v>
      </c>
      <c r="BI444" s="51">
        <f t="shared" si="277"/>
        <v>0.5</v>
      </c>
      <c r="BJ444" s="51">
        <f t="shared" si="278"/>
        <v>22.65</v>
      </c>
      <c r="BK444" s="52">
        <f t="shared" si="279"/>
        <v>0</v>
      </c>
      <c r="BL444" s="52">
        <f t="shared" si="280"/>
        <v>0</v>
      </c>
      <c r="BM444" s="52">
        <f t="shared" si="281"/>
        <v>0</v>
      </c>
    </row>
    <row r="445" spans="1:65" ht="30" customHeight="1" x14ac:dyDescent="0.25">
      <c r="A445" s="31" t="str">
        <f t="shared" si="247"/>
        <v>Д</v>
      </c>
      <c r="B445" s="31" t="str">
        <f t="shared" si="248"/>
        <v>М</v>
      </c>
      <c r="C445" s="32" t="s">
        <v>241</v>
      </c>
      <c r="D445" s="33" t="str">
        <f t="shared" si="249"/>
        <v>Факультет физико-математических и естественных наук</v>
      </c>
      <c r="E445" s="34" t="str">
        <f t="shared" si="250"/>
        <v>'09.04.03</v>
      </c>
      <c r="F445" s="35" t="str">
        <f t="shared" si="251"/>
        <v>Искусственный интеллект и анализ данных</v>
      </c>
      <c r="G445" s="36" t="s">
        <v>76</v>
      </c>
      <c r="H445" s="36" t="s">
        <v>135</v>
      </c>
      <c r="I445" s="37"/>
      <c r="J445" s="37" t="s">
        <v>154</v>
      </c>
      <c r="K445" s="38" t="s">
        <v>245</v>
      </c>
      <c r="L445" s="39">
        <v>1</v>
      </c>
      <c r="M445" s="39">
        <v>18</v>
      </c>
      <c r="N445" s="40" t="s">
        <v>86</v>
      </c>
      <c r="O445" s="39"/>
      <c r="P445" s="39"/>
      <c r="Q445" s="39">
        <v>1</v>
      </c>
      <c r="R445" s="40"/>
      <c r="S445" s="41"/>
      <c r="T445" s="41"/>
      <c r="U445" s="41"/>
      <c r="V445" s="41"/>
      <c r="W445" s="41"/>
      <c r="X445" s="42" t="str">
        <f t="shared" si="252"/>
        <v>НПИмд</v>
      </c>
      <c r="Y445" s="43" t="s">
        <v>87</v>
      </c>
      <c r="Z445" s="39">
        <v>2</v>
      </c>
      <c r="AA445" s="39">
        <v>1</v>
      </c>
      <c r="AB445" s="42">
        <f t="shared" si="253"/>
        <v>25</v>
      </c>
      <c r="AC445" s="39">
        <v>19</v>
      </c>
      <c r="AD445" s="39">
        <v>6</v>
      </c>
      <c r="AE445" s="44">
        <f t="shared" si="254"/>
        <v>12</v>
      </c>
      <c r="AF445" s="45">
        <f t="shared" si="255"/>
        <v>1</v>
      </c>
      <c r="AG445" s="45">
        <f t="shared" si="256"/>
        <v>2.0833333333333335</v>
      </c>
      <c r="AH445" s="46" t="s">
        <v>82</v>
      </c>
      <c r="AI445" s="40" t="s">
        <v>83</v>
      </c>
      <c r="AJ445" s="40" t="s">
        <v>84</v>
      </c>
      <c r="AK445" s="47" t="s">
        <v>144</v>
      </c>
      <c r="AL445" s="40"/>
      <c r="AM445" s="48">
        <f t="shared" si="257"/>
        <v>0</v>
      </c>
      <c r="AN445" s="48">
        <f t="shared" si="258"/>
        <v>18</v>
      </c>
      <c r="AO445" s="48">
        <f t="shared" si="259"/>
        <v>0</v>
      </c>
      <c r="AP445" s="48">
        <f t="shared" si="260"/>
        <v>0</v>
      </c>
      <c r="AQ445" s="48">
        <f t="shared" si="261"/>
        <v>0</v>
      </c>
      <c r="AR445" s="48">
        <f t="shared" si="262"/>
        <v>0</v>
      </c>
      <c r="AS445" s="48">
        <f t="shared" si="263"/>
        <v>0</v>
      </c>
      <c r="AT445" s="48">
        <f t="shared" si="264"/>
        <v>0</v>
      </c>
      <c r="AU445" s="48">
        <f t="shared" si="265"/>
        <v>0</v>
      </c>
      <c r="AV445" s="48">
        <f t="shared" si="266"/>
        <v>0</v>
      </c>
      <c r="AW445" s="48">
        <f>IF(N445="ПП",РПП*AB445*(V445/1.5),IF(N445="ВП",ВПр*AB445*(V445/1.5),IF(N445="РПА",РПА*AB445*(V445/1.5),IF(N445="КПА",кпа*AB445*(V445/1.5),0))))</f>
        <v>0</v>
      </c>
      <c r="AX445" s="48">
        <f t="shared" si="267"/>
        <v>0</v>
      </c>
      <c r="AY445" s="48">
        <f t="shared" si="268"/>
        <v>0</v>
      </c>
      <c r="AZ445" s="48">
        <f t="shared" si="269"/>
        <v>0</v>
      </c>
      <c r="BA445" s="48">
        <f t="shared" si="270"/>
        <v>0</v>
      </c>
      <c r="BB445" s="48">
        <f t="shared" si="271"/>
        <v>0</v>
      </c>
      <c r="BC445" s="48">
        <f t="shared" si="272"/>
        <v>0</v>
      </c>
      <c r="BD445" s="48">
        <f t="shared" si="273"/>
        <v>0</v>
      </c>
      <c r="BE445" s="48">
        <f t="shared" si="274"/>
        <v>0</v>
      </c>
      <c r="BF445" s="49">
        <f t="shared" si="275"/>
        <v>18</v>
      </c>
      <c r="BG445" s="50"/>
      <c r="BH445" s="51">
        <f t="shared" si="276"/>
        <v>18</v>
      </c>
      <c r="BI445" s="51">
        <f t="shared" si="277"/>
        <v>0.5</v>
      </c>
      <c r="BJ445" s="51">
        <f t="shared" si="278"/>
        <v>0</v>
      </c>
      <c r="BK445" s="52">
        <f t="shared" si="279"/>
        <v>0</v>
      </c>
      <c r="BL445" s="52">
        <f t="shared" si="280"/>
        <v>0</v>
      </c>
      <c r="BM445" s="52">
        <f t="shared" si="281"/>
        <v>0</v>
      </c>
    </row>
    <row r="446" spans="1:65" ht="30" customHeight="1" x14ac:dyDescent="0.25">
      <c r="A446" s="31" t="str">
        <f t="shared" si="247"/>
        <v>Д</v>
      </c>
      <c r="B446" s="31" t="str">
        <f t="shared" si="248"/>
        <v>М</v>
      </c>
      <c r="C446" s="32" t="s">
        <v>241</v>
      </c>
      <c r="D446" s="33" t="str">
        <f t="shared" si="249"/>
        <v>Факультет физико-математических и естественных наук</v>
      </c>
      <c r="E446" s="34" t="str">
        <f t="shared" si="250"/>
        <v>'09.04.03</v>
      </c>
      <c r="F446" s="35" t="str">
        <f t="shared" si="251"/>
        <v>Искусственный интеллект и анализ данных</v>
      </c>
      <c r="G446" s="36" t="s">
        <v>76</v>
      </c>
      <c r="H446" s="36" t="s">
        <v>135</v>
      </c>
      <c r="I446" s="37"/>
      <c r="J446" s="37" t="s">
        <v>154</v>
      </c>
      <c r="K446" s="38" t="s">
        <v>246</v>
      </c>
      <c r="L446" s="39">
        <v>1</v>
      </c>
      <c r="M446" s="39">
        <v>18</v>
      </c>
      <c r="N446" s="40" t="s">
        <v>79</v>
      </c>
      <c r="O446" s="39">
        <v>1</v>
      </c>
      <c r="P446" s="39"/>
      <c r="Q446" s="39"/>
      <c r="R446" s="40" t="s">
        <v>80</v>
      </c>
      <c r="S446" s="41"/>
      <c r="T446" s="41"/>
      <c r="U446" s="41"/>
      <c r="V446" s="41"/>
      <c r="W446" s="41"/>
      <c r="X446" s="42" t="str">
        <f t="shared" si="252"/>
        <v>НПИмд</v>
      </c>
      <c r="Y446" s="43" t="s">
        <v>87</v>
      </c>
      <c r="Z446" s="39">
        <v>2</v>
      </c>
      <c r="AA446" s="39">
        <v>1</v>
      </c>
      <c r="AB446" s="42">
        <f t="shared" si="253"/>
        <v>25</v>
      </c>
      <c r="AC446" s="39">
        <v>19</v>
      </c>
      <c r="AD446" s="39">
        <v>6</v>
      </c>
      <c r="AE446" s="44">
        <f t="shared" si="254"/>
        <v>25</v>
      </c>
      <c r="AF446" s="45">
        <f t="shared" si="255"/>
        <v>1</v>
      </c>
      <c r="AG446" s="45">
        <f t="shared" si="256"/>
        <v>1</v>
      </c>
      <c r="AH446" s="46" t="s">
        <v>82</v>
      </c>
      <c r="AI446" s="40" t="s">
        <v>83</v>
      </c>
      <c r="AJ446" s="40" t="s">
        <v>84</v>
      </c>
      <c r="AK446" s="59" t="s">
        <v>144</v>
      </c>
      <c r="AL446" s="40"/>
      <c r="AM446" s="48">
        <f t="shared" si="257"/>
        <v>18</v>
      </c>
      <c r="AN446" s="48">
        <f t="shared" si="258"/>
        <v>0</v>
      </c>
      <c r="AO446" s="48">
        <f t="shared" si="259"/>
        <v>0</v>
      </c>
      <c r="AP446" s="48">
        <f t="shared" si="260"/>
        <v>8.25</v>
      </c>
      <c r="AQ446" s="48">
        <f t="shared" si="261"/>
        <v>12.5</v>
      </c>
      <c r="AR446" s="48">
        <f t="shared" si="262"/>
        <v>1</v>
      </c>
      <c r="AS446" s="48">
        <f t="shared" si="263"/>
        <v>0.9</v>
      </c>
      <c r="AT446" s="48">
        <f t="shared" si="264"/>
        <v>0</v>
      </c>
      <c r="AU446" s="48">
        <f t="shared" si="265"/>
        <v>0</v>
      </c>
      <c r="AV446" s="48">
        <f t="shared" si="266"/>
        <v>0</v>
      </c>
      <c r="AW446" s="48">
        <f>IF(N446="ПП",РПП*AB446*(V446/1.5),IF(N446="ВП",ВПр*AB446*(V446/1.5),IF(N446="РПА",РПА*AB446*(V446/1.5),IF(N446="КПА",кпа*AB446*(V446/1.5),0))))</f>
        <v>0</v>
      </c>
      <c r="AX446" s="48">
        <f t="shared" si="267"/>
        <v>0</v>
      </c>
      <c r="AY446" s="48">
        <f t="shared" si="268"/>
        <v>0</v>
      </c>
      <c r="AZ446" s="48">
        <f t="shared" si="269"/>
        <v>0</v>
      </c>
      <c r="BA446" s="48">
        <f t="shared" si="270"/>
        <v>0</v>
      </c>
      <c r="BB446" s="48">
        <f t="shared" si="271"/>
        <v>0</v>
      </c>
      <c r="BC446" s="48">
        <f t="shared" si="272"/>
        <v>0</v>
      </c>
      <c r="BD446" s="48">
        <f t="shared" si="273"/>
        <v>0</v>
      </c>
      <c r="BE446" s="48">
        <f t="shared" si="274"/>
        <v>0</v>
      </c>
      <c r="BF446" s="49">
        <f t="shared" si="275"/>
        <v>40.65</v>
      </c>
      <c r="BG446" s="50"/>
      <c r="BH446" s="51">
        <f t="shared" si="276"/>
        <v>18</v>
      </c>
      <c r="BI446" s="51">
        <f t="shared" si="277"/>
        <v>0.5</v>
      </c>
      <c r="BJ446" s="51">
        <f t="shared" si="278"/>
        <v>22.65</v>
      </c>
      <c r="BK446" s="52">
        <f t="shared" si="279"/>
        <v>0</v>
      </c>
      <c r="BL446" s="52">
        <f t="shared" si="280"/>
        <v>0</v>
      </c>
      <c r="BM446" s="52">
        <f t="shared" si="281"/>
        <v>0</v>
      </c>
    </row>
    <row r="447" spans="1:65" ht="30" customHeight="1" x14ac:dyDescent="0.25">
      <c r="A447" s="31" t="str">
        <f t="shared" si="247"/>
        <v>Д</v>
      </c>
      <c r="B447" s="31" t="str">
        <f t="shared" si="248"/>
        <v>М</v>
      </c>
      <c r="C447" s="32" t="s">
        <v>241</v>
      </c>
      <c r="D447" s="33" t="str">
        <f t="shared" si="249"/>
        <v>Факультет физико-математических и естественных наук</v>
      </c>
      <c r="E447" s="34" t="str">
        <f t="shared" si="250"/>
        <v>'09.04.03</v>
      </c>
      <c r="F447" s="35" t="str">
        <f t="shared" si="251"/>
        <v>Искусственный интеллект и анализ данных</v>
      </c>
      <c r="G447" s="36" t="s">
        <v>76</v>
      </c>
      <c r="H447" s="36" t="s">
        <v>135</v>
      </c>
      <c r="I447" s="37"/>
      <c r="J447" s="37" t="s">
        <v>154</v>
      </c>
      <c r="K447" s="38" t="s">
        <v>246</v>
      </c>
      <c r="L447" s="39">
        <v>1</v>
      </c>
      <c r="M447" s="39">
        <v>18</v>
      </c>
      <c r="N447" s="40" t="s">
        <v>86</v>
      </c>
      <c r="O447" s="39"/>
      <c r="P447" s="39"/>
      <c r="Q447" s="39">
        <v>1</v>
      </c>
      <c r="R447" s="40"/>
      <c r="S447" s="41"/>
      <c r="T447" s="41"/>
      <c r="U447" s="41"/>
      <c r="V447" s="41"/>
      <c r="W447" s="41"/>
      <c r="X447" s="42" t="str">
        <f t="shared" si="252"/>
        <v>НПИмд</v>
      </c>
      <c r="Y447" s="43" t="s">
        <v>87</v>
      </c>
      <c r="Z447" s="39">
        <v>2</v>
      </c>
      <c r="AA447" s="39">
        <v>1</v>
      </c>
      <c r="AB447" s="42">
        <f t="shared" si="253"/>
        <v>25</v>
      </c>
      <c r="AC447" s="39">
        <v>19</v>
      </c>
      <c r="AD447" s="39">
        <v>6</v>
      </c>
      <c r="AE447" s="44">
        <f t="shared" si="254"/>
        <v>12</v>
      </c>
      <c r="AF447" s="45">
        <f t="shared" si="255"/>
        <v>1</v>
      </c>
      <c r="AG447" s="45">
        <f t="shared" si="256"/>
        <v>2.0833333333333335</v>
      </c>
      <c r="AH447" s="46" t="s">
        <v>82</v>
      </c>
      <c r="AI447" s="40" t="s">
        <v>83</v>
      </c>
      <c r="AJ447" s="40" t="s">
        <v>84</v>
      </c>
      <c r="AK447" s="59" t="s">
        <v>144</v>
      </c>
      <c r="AL447" s="40"/>
      <c r="AM447" s="48">
        <f t="shared" si="257"/>
        <v>0</v>
      </c>
      <c r="AN447" s="48">
        <f t="shared" si="258"/>
        <v>18</v>
      </c>
      <c r="AO447" s="48">
        <f t="shared" si="259"/>
        <v>0</v>
      </c>
      <c r="AP447" s="48">
        <f t="shared" si="260"/>
        <v>0</v>
      </c>
      <c r="AQ447" s="48">
        <f t="shared" si="261"/>
        <v>0</v>
      </c>
      <c r="AR447" s="48">
        <f t="shared" si="262"/>
        <v>0</v>
      </c>
      <c r="AS447" s="48">
        <f t="shared" si="263"/>
        <v>0</v>
      </c>
      <c r="AT447" s="48">
        <f t="shared" si="264"/>
        <v>0</v>
      </c>
      <c r="AU447" s="48">
        <f t="shared" si="265"/>
        <v>0</v>
      </c>
      <c r="AV447" s="48">
        <f t="shared" si="266"/>
        <v>0</v>
      </c>
      <c r="AW447" s="48">
        <f>IF(N447="ПП",РПП*AB447*(V447/1.5),IF(N447="ВП",ВПр*AB447*(V447/1.5),IF(N447="РПА",РПА*AB447*(V447/1.5),IF(N447="КПА",кпа*AB447*(V447/1.5),0))))</f>
        <v>0</v>
      </c>
      <c r="AX447" s="48">
        <f t="shared" si="267"/>
        <v>0</v>
      </c>
      <c r="AY447" s="48">
        <f t="shared" si="268"/>
        <v>0</v>
      </c>
      <c r="AZ447" s="48">
        <f t="shared" si="269"/>
        <v>0</v>
      </c>
      <c r="BA447" s="48">
        <f t="shared" si="270"/>
        <v>0</v>
      </c>
      <c r="BB447" s="48">
        <f t="shared" si="271"/>
        <v>0</v>
      </c>
      <c r="BC447" s="48">
        <f t="shared" si="272"/>
        <v>0</v>
      </c>
      <c r="BD447" s="48">
        <f t="shared" si="273"/>
        <v>0</v>
      </c>
      <c r="BE447" s="48">
        <f t="shared" si="274"/>
        <v>0</v>
      </c>
      <c r="BF447" s="49">
        <f t="shared" si="275"/>
        <v>18</v>
      </c>
      <c r="BG447" s="50"/>
      <c r="BH447" s="51">
        <f t="shared" si="276"/>
        <v>18</v>
      </c>
      <c r="BI447" s="51">
        <f t="shared" si="277"/>
        <v>0.5</v>
      </c>
      <c r="BJ447" s="51">
        <f t="shared" si="278"/>
        <v>0</v>
      </c>
      <c r="BK447" s="52">
        <f t="shared" si="279"/>
        <v>0</v>
      </c>
      <c r="BL447" s="52">
        <f t="shared" si="280"/>
        <v>0</v>
      </c>
      <c r="BM447" s="52">
        <f t="shared" si="281"/>
        <v>0</v>
      </c>
    </row>
    <row r="448" spans="1:65" ht="30" customHeight="1" x14ac:dyDescent="0.25">
      <c r="A448" s="31" t="str">
        <f t="shared" si="247"/>
        <v>Д</v>
      </c>
      <c r="B448" s="31" t="str">
        <f t="shared" si="248"/>
        <v>М</v>
      </c>
      <c r="C448" s="32" t="s">
        <v>241</v>
      </c>
      <c r="D448" s="33" t="str">
        <f t="shared" si="249"/>
        <v>Факультет физико-математических и естественных наук</v>
      </c>
      <c r="E448" s="34" t="str">
        <f t="shared" si="250"/>
        <v>'09.04.03</v>
      </c>
      <c r="F448" s="35" t="str">
        <f t="shared" si="251"/>
        <v>Искусственный интеллект и анализ данных</v>
      </c>
      <c r="G448" s="36" t="s">
        <v>76</v>
      </c>
      <c r="H448" s="36" t="s">
        <v>135</v>
      </c>
      <c r="I448" s="37"/>
      <c r="J448" s="37" t="s">
        <v>154</v>
      </c>
      <c r="K448" s="38" t="s">
        <v>247</v>
      </c>
      <c r="L448" s="39">
        <v>1</v>
      </c>
      <c r="M448" s="39">
        <v>18</v>
      </c>
      <c r="N448" s="40" t="s">
        <v>79</v>
      </c>
      <c r="O448" s="39">
        <v>1</v>
      </c>
      <c r="P448" s="39"/>
      <c r="Q448" s="39"/>
      <c r="R448" s="40" t="s">
        <v>80</v>
      </c>
      <c r="S448" s="41"/>
      <c r="T448" s="41"/>
      <c r="U448" s="41"/>
      <c r="V448" s="41"/>
      <c r="W448" s="41"/>
      <c r="X448" s="42" t="str">
        <f t="shared" si="252"/>
        <v>НПИмд</v>
      </c>
      <c r="Y448" s="43" t="s">
        <v>87</v>
      </c>
      <c r="Z448" s="39">
        <v>2</v>
      </c>
      <c r="AA448" s="39">
        <v>1</v>
      </c>
      <c r="AB448" s="42">
        <f t="shared" si="253"/>
        <v>0</v>
      </c>
      <c r="AC448" s="39"/>
      <c r="AD448" s="39"/>
      <c r="AE448" s="44">
        <f t="shared" si="254"/>
        <v>0</v>
      </c>
      <c r="AF448" s="45" t="e">
        <f t="shared" si="255"/>
        <v>#DIV/0!</v>
      </c>
      <c r="AG448" s="45" t="e">
        <f t="shared" si="256"/>
        <v>#DIV/0!</v>
      </c>
      <c r="AH448" s="46" t="s">
        <v>82</v>
      </c>
      <c r="AI448" s="40" t="s">
        <v>115</v>
      </c>
      <c r="AJ448" s="40" t="s">
        <v>116</v>
      </c>
      <c r="AK448" s="47" t="s">
        <v>209</v>
      </c>
      <c r="AL448" s="40"/>
      <c r="AM448" s="48">
        <f t="shared" si="257"/>
        <v>0</v>
      </c>
      <c r="AN448" s="48">
        <f t="shared" si="258"/>
        <v>0</v>
      </c>
      <c r="AO448" s="48">
        <f t="shared" si="259"/>
        <v>0</v>
      </c>
      <c r="AP448" s="48">
        <f t="shared" si="260"/>
        <v>0</v>
      </c>
      <c r="AQ448" s="48">
        <f t="shared" si="261"/>
        <v>0</v>
      </c>
      <c r="AR448" s="48">
        <f t="shared" si="262"/>
        <v>0</v>
      </c>
      <c r="AS448" s="48">
        <f t="shared" si="263"/>
        <v>0</v>
      </c>
      <c r="AT448" s="48">
        <f t="shared" si="264"/>
        <v>0</v>
      </c>
      <c r="AU448" s="48">
        <f t="shared" si="265"/>
        <v>0</v>
      </c>
      <c r="AV448" s="48">
        <f t="shared" si="266"/>
        <v>0</v>
      </c>
      <c r="AW448" s="48">
        <f>IF(N448="ПП",РПП*AB448*(V448/1.5),IF(N448="ВП",ВПр*AB448*(V448/1.5),IF(N448="РПА",РПА*AB448*(V448/1.5),IF(N448="КПА",кпа*AB448*(V448/1.5),0))))</f>
        <v>0</v>
      </c>
      <c r="AX448" s="48">
        <f t="shared" si="267"/>
        <v>0</v>
      </c>
      <c r="AY448" s="48">
        <f t="shared" si="268"/>
        <v>0</v>
      </c>
      <c r="AZ448" s="48">
        <f t="shared" si="269"/>
        <v>0</v>
      </c>
      <c r="BA448" s="48">
        <f t="shared" si="270"/>
        <v>0</v>
      </c>
      <c r="BB448" s="48">
        <f t="shared" si="271"/>
        <v>0</v>
      </c>
      <c r="BC448" s="48">
        <f t="shared" si="272"/>
        <v>0</v>
      </c>
      <c r="BD448" s="48">
        <f t="shared" si="273"/>
        <v>0</v>
      </c>
      <c r="BE448" s="48">
        <f t="shared" si="274"/>
        <v>0</v>
      </c>
      <c r="BF448" s="49">
        <f t="shared" si="275"/>
        <v>0</v>
      </c>
      <c r="BG448" s="50"/>
      <c r="BH448" s="51">
        <f t="shared" si="276"/>
        <v>0</v>
      </c>
      <c r="BI448" s="51">
        <f t="shared" si="277"/>
        <v>0</v>
      </c>
      <c r="BJ448" s="51">
        <f t="shared" si="278"/>
        <v>0</v>
      </c>
      <c r="BK448" s="52">
        <f t="shared" si="279"/>
        <v>0</v>
      </c>
      <c r="BL448" s="52">
        <f t="shared" si="280"/>
        <v>0</v>
      </c>
      <c r="BM448" s="52">
        <f t="shared" si="281"/>
        <v>0</v>
      </c>
    </row>
    <row r="449" spans="1:65" ht="30" customHeight="1" x14ac:dyDescent="0.25">
      <c r="A449" s="31" t="str">
        <f t="shared" si="247"/>
        <v>Д</v>
      </c>
      <c r="B449" s="31" t="str">
        <f t="shared" si="248"/>
        <v>М</v>
      </c>
      <c r="C449" s="32" t="s">
        <v>241</v>
      </c>
      <c r="D449" s="33" t="str">
        <f t="shared" si="249"/>
        <v>Факультет физико-математических и естественных наук</v>
      </c>
      <c r="E449" s="34" t="str">
        <f t="shared" si="250"/>
        <v>'09.04.03</v>
      </c>
      <c r="F449" s="35" t="str">
        <f t="shared" si="251"/>
        <v>Искусственный интеллект и анализ данных</v>
      </c>
      <c r="G449" s="36" t="s">
        <v>76</v>
      </c>
      <c r="H449" s="36" t="s">
        <v>135</v>
      </c>
      <c r="I449" s="37"/>
      <c r="J449" s="37" t="s">
        <v>154</v>
      </c>
      <c r="K449" s="38" t="s">
        <v>247</v>
      </c>
      <c r="L449" s="39">
        <v>1</v>
      </c>
      <c r="M449" s="39">
        <v>18</v>
      </c>
      <c r="N449" s="40" t="s">
        <v>86</v>
      </c>
      <c r="O449" s="39"/>
      <c r="P449" s="39"/>
      <c r="Q449" s="39">
        <v>1</v>
      </c>
      <c r="R449" s="40"/>
      <c r="S449" s="41"/>
      <c r="T449" s="41"/>
      <c r="U449" s="41"/>
      <c r="V449" s="41"/>
      <c r="W449" s="41"/>
      <c r="X449" s="42" t="str">
        <f t="shared" si="252"/>
        <v>НПИмд</v>
      </c>
      <c r="Y449" s="43" t="s">
        <v>87</v>
      </c>
      <c r="Z449" s="39">
        <v>2</v>
      </c>
      <c r="AA449" s="39">
        <v>1</v>
      </c>
      <c r="AB449" s="42">
        <f t="shared" si="253"/>
        <v>0</v>
      </c>
      <c r="AC449" s="39"/>
      <c r="AD449" s="39"/>
      <c r="AE449" s="44">
        <f t="shared" si="254"/>
        <v>12</v>
      </c>
      <c r="AF449" s="45">
        <f t="shared" si="255"/>
        <v>0</v>
      </c>
      <c r="AG449" s="45">
        <f t="shared" si="256"/>
        <v>0</v>
      </c>
      <c r="AH449" s="46" t="s">
        <v>82</v>
      </c>
      <c r="AI449" s="40" t="s">
        <v>115</v>
      </c>
      <c r="AJ449" s="40" t="s">
        <v>116</v>
      </c>
      <c r="AK449" s="47" t="s">
        <v>209</v>
      </c>
      <c r="AL449" s="40"/>
      <c r="AM449" s="48">
        <f t="shared" si="257"/>
        <v>0</v>
      </c>
      <c r="AN449" s="48">
        <f t="shared" si="258"/>
        <v>0</v>
      </c>
      <c r="AO449" s="48">
        <f t="shared" si="259"/>
        <v>0</v>
      </c>
      <c r="AP449" s="48">
        <f t="shared" si="260"/>
        <v>0</v>
      </c>
      <c r="AQ449" s="48">
        <f t="shared" si="261"/>
        <v>0</v>
      </c>
      <c r="AR449" s="48">
        <f t="shared" si="262"/>
        <v>0</v>
      </c>
      <c r="AS449" s="48">
        <f t="shared" si="263"/>
        <v>0</v>
      </c>
      <c r="AT449" s="48">
        <f t="shared" si="264"/>
        <v>0</v>
      </c>
      <c r="AU449" s="48">
        <f t="shared" si="265"/>
        <v>0</v>
      </c>
      <c r="AV449" s="48">
        <f t="shared" si="266"/>
        <v>0</v>
      </c>
      <c r="AW449" s="48">
        <f>IF(N449="ПП",РПП*AB449*(V449/1.5),IF(N449="ВП",ВПр*AB449*(V449/1.5),IF(N449="РПА",РПА*AB449*(V449/1.5),IF(N449="КПА",кпа*AB449*(V449/1.5),0))))</f>
        <v>0</v>
      </c>
      <c r="AX449" s="48">
        <f t="shared" si="267"/>
        <v>0</v>
      </c>
      <c r="AY449" s="48">
        <f t="shared" si="268"/>
        <v>0</v>
      </c>
      <c r="AZ449" s="48">
        <f t="shared" si="269"/>
        <v>0</v>
      </c>
      <c r="BA449" s="48">
        <f t="shared" si="270"/>
        <v>0</v>
      </c>
      <c r="BB449" s="48">
        <f t="shared" si="271"/>
        <v>0</v>
      </c>
      <c r="BC449" s="48">
        <f t="shared" si="272"/>
        <v>0</v>
      </c>
      <c r="BD449" s="48">
        <f t="shared" si="273"/>
        <v>0</v>
      </c>
      <c r="BE449" s="48">
        <f t="shared" si="274"/>
        <v>0</v>
      </c>
      <c r="BF449" s="49">
        <f t="shared" si="275"/>
        <v>0</v>
      </c>
      <c r="BG449" s="50"/>
      <c r="BH449" s="51">
        <f t="shared" si="276"/>
        <v>0</v>
      </c>
      <c r="BI449" s="51">
        <f t="shared" si="277"/>
        <v>0</v>
      </c>
      <c r="BJ449" s="51">
        <f t="shared" si="278"/>
        <v>0</v>
      </c>
      <c r="BK449" s="52">
        <f t="shared" si="279"/>
        <v>0</v>
      </c>
      <c r="BL449" s="52">
        <f t="shared" si="280"/>
        <v>0</v>
      </c>
      <c r="BM449" s="52">
        <f t="shared" si="281"/>
        <v>0</v>
      </c>
    </row>
    <row r="450" spans="1:65" ht="30" customHeight="1" x14ac:dyDescent="0.25">
      <c r="A450" s="31" t="str">
        <f t="shared" si="247"/>
        <v>Д</v>
      </c>
      <c r="B450" s="31" t="str">
        <f t="shared" si="248"/>
        <v>М</v>
      </c>
      <c r="C450" s="32" t="s">
        <v>241</v>
      </c>
      <c r="D450" s="33" t="str">
        <f t="shared" si="249"/>
        <v>Факультет физико-математических и естественных наук</v>
      </c>
      <c r="E450" s="34" t="str">
        <f t="shared" si="250"/>
        <v>'09.04.03</v>
      </c>
      <c r="F450" s="35" t="str">
        <f t="shared" si="251"/>
        <v>Искусственный интеллект и анализ данных</v>
      </c>
      <c r="G450" s="36" t="s">
        <v>76</v>
      </c>
      <c r="H450" s="36" t="s">
        <v>135</v>
      </c>
      <c r="I450" s="37"/>
      <c r="J450" s="37" t="s">
        <v>154</v>
      </c>
      <c r="K450" s="38" t="s">
        <v>248</v>
      </c>
      <c r="L450" s="39">
        <v>1</v>
      </c>
      <c r="M450" s="39">
        <v>18</v>
      </c>
      <c r="N450" s="40" t="s">
        <v>79</v>
      </c>
      <c r="O450" s="39">
        <v>1</v>
      </c>
      <c r="P450" s="39"/>
      <c r="Q450" s="39"/>
      <c r="R450" s="40" t="s">
        <v>80</v>
      </c>
      <c r="S450" s="41"/>
      <c r="T450" s="41"/>
      <c r="U450" s="41"/>
      <c r="V450" s="41"/>
      <c r="W450" s="41"/>
      <c r="X450" s="42" t="str">
        <f t="shared" si="252"/>
        <v>НПИмд</v>
      </c>
      <c r="Y450" s="43" t="s">
        <v>87</v>
      </c>
      <c r="Z450" s="39">
        <v>2</v>
      </c>
      <c r="AA450" s="39">
        <v>1</v>
      </c>
      <c r="AB450" s="42">
        <f t="shared" si="253"/>
        <v>0</v>
      </c>
      <c r="AC450" s="39"/>
      <c r="AD450" s="39"/>
      <c r="AE450" s="44">
        <f t="shared" si="254"/>
        <v>0</v>
      </c>
      <c r="AF450" s="45" t="e">
        <f t="shared" si="255"/>
        <v>#DIV/0!</v>
      </c>
      <c r="AG450" s="45" t="e">
        <f t="shared" si="256"/>
        <v>#DIV/0!</v>
      </c>
      <c r="AH450" s="46" t="s">
        <v>82</v>
      </c>
      <c r="AI450" s="40" t="s">
        <v>83</v>
      </c>
      <c r="AJ450" s="40" t="s">
        <v>84</v>
      </c>
      <c r="AK450" s="47" t="s">
        <v>204</v>
      </c>
      <c r="AL450" s="40"/>
      <c r="AM450" s="48">
        <f t="shared" si="257"/>
        <v>0</v>
      </c>
      <c r="AN450" s="48">
        <f t="shared" si="258"/>
        <v>0</v>
      </c>
      <c r="AO450" s="48">
        <f t="shared" si="259"/>
        <v>0</v>
      </c>
      <c r="AP450" s="48">
        <f t="shared" si="260"/>
        <v>0</v>
      </c>
      <c r="AQ450" s="48">
        <f t="shared" si="261"/>
        <v>0</v>
      </c>
      <c r="AR450" s="48">
        <f t="shared" si="262"/>
        <v>0</v>
      </c>
      <c r="AS450" s="48">
        <f t="shared" si="263"/>
        <v>0</v>
      </c>
      <c r="AT450" s="48">
        <f t="shared" si="264"/>
        <v>0</v>
      </c>
      <c r="AU450" s="48">
        <f t="shared" si="265"/>
        <v>0</v>
      </c>
      <c r="AV450" s="48">
        <f t="shared" si="266"/>
        <v>0</v>
      </c>
      <c r="AW450" s="48">
        <f>IF(N450="ПП",РПП*AB450*(V450/1.5),IF(N450="ВП",ВПр*AB450*(V450/1.5),IF(N450="РПА",РПА*AB450*(V450/1.5),IF(N450="КПА",кпа*AB450*(V450/1.5),0))))</f>
        <v>0</v>
      </c>
      <c r="AX450" s="48">
        <f t="shared" si="267"/>
        <v>0</v>
      </c>
      <c r="AY450" s="48">
        <f t="shared" si="268"/>
        <v>0</v>
      </c>
      <c r="AZ450" s="48">
        <f t="shared" si="269"/>
        <v>0</v>
      </c>
      <c r="BA450" s="48">
        <f t="shared" si="270"/>
        <v>0</v>
      </c>
      <c r="BB450" s="48">
        <f t="shared" si="271"/>
        <v>0</v>
      </c>
      <c r="BC450" s="48">
        <f t="shared" si="272"/>
        <v>0</v>
      </c>
      <c r="BD450" s="48">
        <f t="shared" si="273"/>
        <v>0</v>
      </c>
      <c r="BE450" s="48">
        <f t="shared" si="274"/>
        <v>0</v>
      </c>
      <c r="BF450" s="49">
        <f t="shared" si="275"/>
        <v>0</v>
      </c>
      <c r="BG450" s="50"/>
      <c r="BH450" s="51">
        <f t="shared" si="276"/>
        <v>0</v>
      </c>
      <c r="BI450" s="51">
        <f t="shared" si="277"/>
        <v>0</v>
      </c>
      <c r="BJ450" s="51">
        <f t="shared" si="278"/>
        <v>0</v>
      </c>
      <c r="BK450" s="52">
        <f t="shared" si="279"/>
        <v>0</v>
      </c>
      <c r="BL450" s="52">
        <f t="shared" si="280"/>
        <v>0</v>
      </c>
      <c r="BM450" s="52">
        <f t="shared" si="281"/>
        <v>0</v>
      </c>
    </row>
    <row r="451" spans="1:65" ht="30" customHeight="1" x14ac:dyDescent="0.25">
      <c r="A451" s="31" t="str">
        <f t="shared" si="247"/>
        <v>Д</v>
      </c>
      <c r="B451" s="31" t="str">
        <f t="shared" si="248"/>
        <v>М</v>
      </c>
      <c r="C451" s="32" t="s">
        <v>241</v>
      </c>
      <c r="D451" s="33" t="str">
        <f t="shared" si="249"/>
        <v>Факультет физико-математических и естественных наук</v>
      </c>
      <c r="E451" s="34" t="str">
        <f t="shared" si="250"/>
        <v>'09.04.03</v>
      </c>
      <c r="F451" s="35" t="str">
        <f t="shared" si="251"/>
        <v>Искусственный интеллект и анализ данных</v>
      </c>
      <c r="G451" s="36" t="s">
        <v>76</v>
      </c>
      <c r="H451" s="36" t="s">
        <v>135</v>
      </c>
      <c r="I451" s="37"/>
      <c r="J451" s="37" t="s">
        <v>154</v>
      </c>
      <c r="K451" s="38" t="s">
        <v>248</v>
      </c>
      <c r="L451" s="39">
        <v>1</v>
      </c>
      <c r="M451" s="39">
        <v>18</v>
      </c>
      <c r="N451" s="40" t="s">
        <v>86</v>
      </c>
      <c r="O451" s="39"/>
      <c r="P451" s="39"/>
      <c r="Q451" s="39">
        <v>1</v>
      </c>
      <c r="R451" s="40"/>
      <c r="S451" s="41"/>
      <c r="T451" s="41"/>
      <c r="U451" s="41"/>
      <c r="V451" s="41"/>
      <c r="W451" s="41"/>
      <c r="X451" s="42" t="str">
        <f t="shared" si="252"/>
        <v>НПИмд</v>
      </c>
      <c r="Y451" s="43" t="s">
        <v>87</v>
      </c>
      <c r="Z451" s="39">
        <v>2</v>
      </c>
      <c r="AA451" s="39">
        <v>1</v>
      </c>
      <c r="AB451" s="42">
        <f t="shared" si="253"/>
        <v>0</v>
      </c>
      <c r="AC451" s="39"/>
      <c r="AD451" s="39"/>
      <c r="AE451" s="44">
        <f t="shared" si="254"/>
        <v>12</v>
      </c>
      <c r="AF451" s="45">
        <f t="shared" si="255"/>
        <v>0</v>
      </c>
      <c r="AG451" s="45">
        <f t="shared" si="256"/>
        <v>0</v>
      </c>
      <c r="AH451" s="46" t="s">
        <v>82</v>
      </c>
      <c r="AI451" s="40" t="s">
        <v>83</v>
      </c>
      <c r="AJ451" s="40" t="s">
        <v>84</v>
      </c>
      <c r="AK451" s="47" t="s">
        <v>204</v>
      </c>
      <c r="AL451" s="40"/>
      <c r="AM451" s="48">
        <f t="shared" si="257"/>
        <v>0</v>
      </c>
      <c r="AN451" s="48">
        <f t="shared" si="258"/>
        <v>0</v>
      </c>
      <c r="AO451" s="48">
        <f t="shared" si="259"/>
        <v>0</v>
      </c>
      <c r="AP451" s="48">
        <f t="shared" si="260"/>
        <v>0</v>
      </c>
      <c r="AQ451" s="48">
        <f t="shared" si="261"/>
        <v>0</v>
      </c>
      <c r="AR451" s="48">
        <f t="shared" si="262"/>
        <v>0</v>
      </c>
      <c r="AS451" s="48">
        <f t="shared" si="263"/>
        <v>0</v>
      </c>
      <c r="AT451" s="48">
        <f t="shared" si="264"/>
        <v>0</v>
      </c>
      <c r="AU451" s="48">
        <f t="shared" si="265"/>
        <v>0</v>
      </c>
      <c r="AV451" s="48">
        <f t="shared" si="266"/>
        <v>0</v>
      </c>
      <c r="AW451" s="48">
        <f>IF(N451="ПП",РПП*AB451*(V451/1.5),IF(N451="ВП",ВПр*AB451*(V451/1.5),IF(N451="РПА",РПА*AB451*(V451/1.5),IF(N451="КПА",кпа*AB451*(V451/1.5),0))))</f>
        <v>0</v>
      </c>
      <c r="AX451" s="48">
        <f t="shared" si="267"/>
        <v>0</v>
      </c>
      <c r="AY451" s="48">
        <f t="shared" si="268"/>
        <v>0</v>
      </c>
      <c r="AZ451" s="48">
        <f t="shared" si="269"/>
        <v>0</v>
      </c>
      <c r="BA451" s="48">
        <f t="shared" si="270"/>
        <v>0</v>
      </c>
      <c r="BB451" s="48">
        <f t="shared" si="271"/>
        <v>0</v>
      </c>
      <c r="BC451" s="48">
        <f t="shared" si="272"/>
        <v>0</v>
      </c>
      <c r="BD451" s="48">
        <f t="shared" si="273"/>
        <v>0</v>
      </c>
      <c r="BE451" s="48">
        <f t="shared" si="274"/>
        <v>0</v>
      </c>
      <c r="BF451" s="49">
        <f t="shared" si="275"/>
        <v>0</v>
      </c>
      <c r="BG451" s="50"/>
      <c r="BH451" s="51">
        <f t="shared" si="276"/>
        <v>0</v>
      </c>
      <c r="BI451" s="51">
        <f t="shared" si="277"/>
        <v>0</v>
      </c>
      <c r="BJ451" s="51">
        <f t="shared" si="278"/>
        <v>0</v>
      </c>
      <c r="BK451" s="52">
        <f t="shared" si="279"/>
        <v>0</v>
      </c>
      <c r="BL451" s="52">
        <f t="shared" si="280"/>
        <v>0</v>
      </c>
      <c r="BM451" s="52">
        <f t="shared" si="281"/>
        <v>0</v>
      </c>
    </row>
    <row r="452" spans="1:65" ht="30" customHeight="1" x14ac:dyDescent="0.25">
      <c r="A452" s="31" t="str">
        <f t="shared" si="247"/>
        <v>Д</v>
      </c>
      <c r="B452" s="31" t="str">
        <f t="shared" si="248"/>
        <v>М</v>
      </c>
      <c r="C452" s="32" t="s">
        <v>241</v>
      </c>
      <c r="D452" s="33" t="str">
        <f t="shared" si="249"/>
        <v>Факультет физико-математических и естественных наук</v>
      </c>
      <c r="E452" s="34" t="str">
        <f t="shared" si="250"/>
        <v>'09.04.03</v>
      </c>
      <c r="F452" s="35" t="str">
        <f t="shared" si="251"/>
        <v>Искусственный интеллект и анализ данных</v>
      </c>
      <c r="G452" s="36" t="s">
        <v>76</v>
      </c>
      <c r="H452" s="36" t="s">
        <v>77</v>
      </c>
      <c r="I452" s="37"/>
      <c r="J452" s="37"/>
      <c r="K452" s="38" t="s">
        <v>249</v>
      </c>
      <c r="L452" s="39">
        <v>2</v>
      </c>
      <c r="M452" s="39">
        <v>18</v>
      </c>
      <c r="N452" s="40" t="s">
        <v>79</v>
      </c>
      <c r="O452" s="39">
        <v>2</v>
      </c>
      <c r="P452" s="39"/>
      <c r="Q452" s="39"/>
      <c r="R452" s="40"/>
      <c r="S452" s="41"/>
      <c r="T452" s="41"/>
      <c r="U452" s="41"/>
      <c r="V452" s="41"/>
      <c r="W452" s="41"/>
      <c r="X452" s="42" t="str">
        <f t="shared" si="252"/>
        <v>НПИмд</v>
      </c>
      <c r="Y452" s="43" t="s">
        <v>87</v>
      </c>
      <c r="Z452" s="39">
        <v>2</v>
      </c>
      <c r="AA452" s="39">
        <v>1</v>
      </c>
      <c r="AB452" s="42">
        <f t="shared" si="253"/>
        <v>25</v>
      </c>
      <c r="AC452" s="39">
        <v>19</v>
      </c>
      <c r="AD452" s="39">
        <v>6</v>
      </c>
      <c r="AE452" s="44">
        <f t="shared" si="254"/>
        <v>25</v>
      </c>
      <c r="AF452" s="45">
        <f t="shared" si="255"/>
        <v>1</v>
      </c>
      <c r="AG452" s="45">
        <f t="shared" si="256"/>
        <v>1</v>
      </c>
      <c r="AH452" s="46" t="s">
        <v>82</v>
      </c>
      <c r="AI452" s="40" t="s">
        <v>83</v>
      </c>
      <c r="AJ452" s="40" t="s">
        <v>84</v>
      </c>
      <c r="AK452" s="47" t="s">
        <v>203</v>
      </c>
      <c r="AL452" s="40"/>
      <c r="AM452" s="48">
        <f t="shared" si="257"/>
        <v>36</v>
      </c>
      <c r="AN452" s="48">
        <f t="shared" si="258"/>
        <v>0</v>
      </c>
      <c r="AO452" s="48">
        <f t="shared" si="259"/>
        <v>0</v>
      </c>
      <c r="AP452" s="48">
        <f t="shared" si="260"/>
        <v>0</v>
      </c>
      <c r="AQ452" s="48">
        <f t="shared" si="261"/>
        <v>0</v>
      </c>
      <c r="AR452" s="48">
        <f t="shared" si="262"/>
        <v>0</v>
      </c>
      <c r="AS452" s="48">
        <f t="shared" si="263"/>
        <v>1.8</v>
      </c>
      <c r="AT452" s="48">
        <f t="shared" si="264"/>
        <v>0</v>
      </c>
      <c r="AU452" s="48">
        <f t="shared" si="265"/>
        <v>0</v>
      </c>
      <c r="AV452" s="48">
        <f t="shared" si="266"/>
        <v>0</v>
      </c>
      <c r="AW452" s="48">
        <f>IF(N452="ПП",РПП*AB452*(V452/1.5),IF(N452="ВП",ВПр*AB452*(V452/1.5),IF(N452="РПА",РПА*AB452*(V452/1.5),IF(N452="КПА",кпа*AB452*(V452/1.5),0))))</f>
        <v>0</v>
      </c>
      <c r="AX452" s="48">
        <f t="shared" si="267"/>
        <v>0</v>
      </c>
      <c r="AY452" s="48">
        <f t="shared" si="268"/>
        <v>0</v>
      </c>
      <c r="AZ452" s="48">
        <f t="shared" si="269"/>
        <v>0</v>
      </c>
      <c r="BA452" s="48">
        <f t="shared" si="270"/>
        <v>0</v>
      </c>
      <c r="BB452" s="48">
        <f t="shared" si="271"/>
        <v>0</v>
      </c>
      <c r="BC452" s="48">
        <f t="shared" si="272"/>
        <v>0</v>
      </c>
      <c r="BD452" s="48">
        <f t="shared" si="273"/>
        <v>0</v>
      </c>
      <c r="BE452" s="48">
        <f t="shared" si="274"/>
        <v>0</v>
      </c>
      <c r="BF452" s="49">
        <f t="shared" si="275"/>
        <v>37.799999999999997</v>
      </c>
      <c r="BG452" s="50"/>
      <c r="BH452" s="51">
        <f t="shared" si="276"/>
        <v>0</v>
      </c>
      <c r="BI452" s="51">
        <f t="shared" si="277"/>
        <v>0</v>
      </c>
      <c r="BJ452" s="51">
        <f t="shared" si="278"/>
        <v>0</v>
      </c>
      <c r="BK452" s="52">
        <f t="shared" si="279"/>
        <v>36</v>
      </c>
      <c r="BL452" s="52">
        <f t="shared" si="280"/>
        <v>1</v>
      </c>
      <c r="BM452" s="52">
        <f t="shared" si="281"/>
        <v>1.8</v>
      </c>
    </row>
    <row r="453" spans="1:65" ht="30" customHeight="1" x14ac:dyDescent="0.25">
      <c r="A453" s="31" t="str">
        <f t="shared" si="247"/>
        <v>Д</v>
      </c>
      <c r="B453" s="31" t="str">
        <f t="shared" si="248"/>
        <v>М</v>
      </c>
      <c r="C453" s="32" t="s">
        <v>241</v>
      </c>
      <c r="D453" s="33" t="str">
        <f t="shared" si="249"/>
        <v>Факультет физико-математических и естественных наук</v>
      </c>
      <c r="E453" s="34" t="str">
        <f t="shared" si="250"/>
        <v>'09.04.03</v>
      </c>
      <c r="F453" s="35" t="str">
        <f t="shared" si="251"/>
        <v>Искусственный интеллект и анализ данных</v>
      </c>
      <c r="G453" s="36" t="s">
        <v>76</v>
      </c>
      <c r="H453" s="36" t="s">
        <v>77</v>
      </c>
      <c r="I453" s="37"/>
      <c r="J453" s="37"/>
      <c r="K453" s="38" t="s">
        <v>249</v>
      </c>
      <c r="L453" s="39">
        <v>2</v>
      </c>
      <c r="M453" s="39">
        <v>18</v>
      </c>
      <c r="N453" s="40" t="s">
        <v>86</v>
      </c>
      <c r="O453" s="39"/>
      <c r="P453" s="39"/>
      <c r="Q453" s="39">
        <v>2</v>
      </c>
      <c r="R453" s="40" t="s">
        <v>95</v>
      </c>
      <c r="S453" s="41"/>
      <c r="T453" s="41"/>
      <c r="U453" s="41"/>
      <c r="V453" s="41"/>
      <c r="W453" s="41"/>
      <c r="X453" s="42" t="str">
        <f t="shared" si="252"/>
        <v>НПИмд</v>
      </c>
      <c r="Y453" s="43" t="s">
        <v>87</v>
      </c>
      <c r="Z453" s="39">
        <v>2</v>
      </c>
      <c r="AA453" s="39">
        <v>1</v>
      </c>
      <c r="AB453" s="42">
        <f t="shared" si="253"/>
        <v>25</v>
      </c>
      <c r="AC453" s="39">
        <v>19</v>
      </c>
      <c r="AD453" s="39">
        <v>6</v>
      </c>
      <c r="AE453" s="44">
        <f t="shared" si="254"/>
        <v>12</v>
      </c>
      <c r="AF453" s="45">
        <f t="shared" si="255"/>
        <v>1</v>
      </c>
      <c r="AG453" s="45">
        <f t="shared" si="256"/>
        <v>2.0833333333333335</v>
      </c>
      <c r="AH453" s="46" t="s">
        <v>82</v>
      </c>
      <c r="AI453" s="40" t="s">
        <v>83</v>
      </c>
      <c r="AJ453" s="40" t="s">
        <v>84</v>
      </c>
      <c r="AK453" s="47" t="s">
        <v>203</v>
      </c>
      <c r="AL453" s="40"/>
      <c r="AM453" s="48">
        <f t="shared" si="257"/>
        <v>0</v>
      </c>
      <c r="AN453" s="48">
        <f t="shared" si="258"/>
        <v>36</v>
      </c>
      <c r="AO453" s="48">
        <f t="shared" si="259"/>
        <v>0</v>
      </c>
      <c r="AP453" s="48">
        <f t="shared" si="260"/>
        <v>8.25</v>
      </c>
      <c r="AQ453" s="48">
        <f t="shared" si="261"/>
        <v>12.5</v>
      </c>
      <c r="AR453" s="48">
        <f t="shared" si="262"/>
        <v>1</v>
      </c>
      <c r="AS453" s="48">
        <f t="shared" si="263"/>
        <v>0</v>
      </c>
      <c r="AT453" s="48">
        <f t="shared" si="264"/>
        <v>0</v>
      </c>
      <c r="AU453" s="48">
        <f t="shared" si="265"/>
        <v>0</v>
      </c>
      <c r="AV453" s="48">
        <f t="shared" si="266"/>
        <v>0</v>
      </c>
      <c r="AW453" s="48">
        <f>IF(N453="ПП",РПП*AB453*(V453/1.5),IF(N453="ВП",ВПр*AB453*(V453/1.5),IF(N453="РПА",РПА*AB453*(V453/1.5),IF(N453="КПА",кпа*AB453*(V453/1.5),0))))</f>
        <v>0</v>
      </c>
      <c r="AX453" s="48">
        <f t="shared" si="267"/>
        <v>0</v>
      </c>
      <c r="AY453" s="48">
        <f t="shared" si="268"/>
        <v>0</v>
      </c>
      <c r="AZ453" s="48">
        <f t="shared" si="269"/>
        <v>0</v>
      </c>
      <c r="BA453" s="48">
        <f t="shared" si="270"/>
        <v>0</v>
      </c>
      <c r="BB453" s="48">
        <f t="shared" si="271"/>
        <v>0</v>
      </c>
      <c r="BC453" s="48">
        <f t="shared" si="272"/>
        <v>0</v>
      </c>
      <c r="BD453" s="48">
        <f t="shared" si="273"/>
        <v>0</v>
      </c>
      <c r="BE453" s="48">
        <f t="shared" si="274"/>
        <v>0</v>
      </c>
      <c r="BF453" s="49">
        <f t="shared" si="275"/>
        <v>57.75</v>
      </c>
      <c r="BG453" s="50"/>
      <c r="BH453" s="51">
        <f t="shared" si="276"/>
        <v>0</v>
      </c>
      <c r="BI453" s="51">
        <f t="shared" si="277"/>
        <v>0</v>
      </c>
      <c r="BJ453" s="51">
        <f t="shared" si="278"/>
        <v>0</v>
      </c>
      <c r="BK453" s="52">
        <f t="shared" si="279"/>
        <v>36</v>
      </c>
      <c r="BL453" s="52">
        <f t="shared" si="280"/>
        <v>1</v>
      </c>
      <c r="BM453" s="52">
        <f t="shared" si="281"/>
        <v>21.75</v>
      </c>
    </row>
    <row r="454" spans="1:65" ht="30" customHeight="1" x14ac:dyDescent="0.25">
      <c r="A454" s="31" t="str">
        <f t="shared" si="247"/>
        <v>Д</v>
      </c>
      <c r="B454" s="31" t="str">
        <f t="shared" si="248"/>
        <v>М</v>
      </c>
      <c r="C454" s="32" t="s">
        <v>241</v>
      </c>
      <c r="D454" s="33" t="str">
        <f t="shared" si="249"/>
        <v>Факультет физико-математических и естественных наук</v>
      </c>
      <c r="E454" s="34" t="str">
        <f t="shared" si="250"/>
        <v>'09.04.03</v>
      </c>
      <c r="F454" s="35" t="str">
        <f t="shared" si="251"/>
        <v>Искусственный интеллект и анализ данных</v>
      </c>
      <c r="G454" s="36" t="s">
        <v>76</v>
      </c>
      <c r="H454" s="36" t="s">
        <v>135</v>
      </c>
      <c r="I454" s="37"/>
      <c r="J454" s="37" t="s">
        <v>154</v>
      </c>
      <c r="K454" s="38" t="s">
        <v>250</v>
      </c>
      <c r="L454" s="39">
        <v>2</v>
      </c>
      <c r="M454" s="39">
        <v>18</v>
      </c>
      <c r="N454" s="40" t="s">
        <v>79</v>
      </c>
      <c r="O454" s="39">
        <v>1</v>
      </c>
      <c r="P454" s="39"/>
      <c r="Q454" s="39"/>
      <c r="R454" s="40" t="s">
        <v>80</v>
      </c>
      <c r="S454" s="41"/>
      <c r="T454" s="41"/>
      <c r="U454" s="41"/>
      <c r="V454" s="41"/>
      <c r="W454" s="41"/>
      <c r="X454" s="42" t="str">
        <f t="shared" si="252"/>
        <v>НПИмд</v>
      </c>
      <c r="Y454" s="43" t="s">
        <v>87</v>
      </c>
      <c r="Z454" s="39">
        <v>2</v>
      </c>
      <c r="AA454" s="39">
        <v>1</v>
      </c>
      <c r="AB454" s="42">
        <f t="shared" si="253"/>
        <v>13</v>
      </c>
      <c r="AC454" s="122">
        <v>10</v>
      </c>
      <c r="AD454" s="122">
        <v>3</v>
      </c>
      <c r="AE454" s="44">
        <f t="shared" si="254"/>
        <v>13</v>
      </c>
      <c r="AF454" s="45">
        <f t="shared" si="255"/>
        <v>1</v>
      </c>
      <c r="AG454" s="45">
        <f t="shared" si="256"/>
        <v>1</v>
      </c>
      <c r="AH454" s="46" t="s">
        <v>82</v>
      </c>
      <c r="AI454" s="40" t="s">
        <v>83</v>
      </c>
      <c r="AJ454" s="40" t="s">
        <v>116</v>
      </c>
      <c r="AK454" s="47" t="s">
        <v>122</v>
      </c>
      <c r="AL454" s="40"/>
      <c r="AM454" s="48">
        <f t="shared" si="257"/>
        <v>18</v>
      </c>
      <c r="AN454" s="48">
        <f t="shared" si="258"/>
        <v>0</v>
      </c>
      <c r="AO454" s="48">
        <f t="shared" si="259"/>
        <v>0</v>
      </c>
      <c r="AP454" s="48">
        <f t="shared" si="260"/>
        <v>4.29</v>
      </c>
      <c r="AQ454" s="48">
        <f t="shared" si="261"/>
        <v>6.5</v>
      </c>
      <c r="AR454" s="48">
        <f t="shared" si="262"/>
        <v>1</v>
      </c>
      <c r="AS454" s="48">
        <f t="shared" si="263"/>
        <v>0.9</v>
      </c>
      <c r="AT454" s="48">
        <f t="shared" si="264"/>
        <v>0</v>
      </c>
      <c r="AU454" s="48">
        <f t="shared" si="265"/>
        <v>0</v>
      </c>
      <c r="AV454" s="48">
        <f t="shared" si="266"/>
        <v>0</v>
      </c>
      <c r="AW454" s="48">
        <f>IF(N454="ПП",РПП*AB454*(V454/1.5),IF(N454="ВП",ВПр*AB454*(V454/1.5),IF(N454="РПА",РПА*AB454*(V454/1.5),IF(N454="КПА",кпа*AB454*(V454/1.5),0))))</f>
        <v>0</v>
      </c>
      <c r="AX454" s="48">
        <f t="shared" si="267"/>
        <v>0</v>
      </c>
      <c r="AY454" s="48">
        <f t="shared" si="268"/>
        <v>0</v>
      </c>
      <c r="AZ454" s="48">
        <f t="shared" si="269"/>
        <v>0</v>
      </c>
      <c r="BA454" s="48">
        <f t="shared" si="270"/>
        <v>0</v>
      </c>
      <c r="BB454" s="48">
        <f t="shared" si="271"/>
        <v>0</v>
      </c>
      <c r="BC454" s="48">
        <f t="shared" si="272"/>
        <v>0</v>
      </c>
      <c r="BD454" s="48">
        <f t="shared" si="273"/>
        <v>0</v>
      </c>
      <c r="BE454" s="48">
        <f t="shared" si="274"/>
        <v>0</v>
      </c>
      <c r="BF454" s="49">
        <f t="shared" si="275"/>
        <v>30.689999999999998</v>
      </c>
      <c r="BG454" s="50"/>
      <c r="BH454" s="51">
        <f t="shared" si="276"/>
        <v>0</v>
      </c>
      <c r="BI454" s="51">
        <f t="shared" si="277"/>
        <v>0</v>
      </c>
      <c r="BJ454" s="51">
        <f t="shared" si="278"/>
        <v>0</v>
      </c>
      <c r="BK454" s="52">
        <f t="shared" si="279"/>
        <v>18</v>
      </c>
      <c r="BL454" s="52">
        <f t="shared" si="280"/>
        <v>0.5</v>
      </c>
      <c r="BM454" s="52">
        <f t="shared" si="281"/>
        <v>12.69</v>
      </c>
    </row>
    <row r="455" spans="1:65" ht="30" customHeight="1" x14ac:dyDescent="0.25">
      <c r="A455" s="31" t="str">
        <f t="shared" si="247"/>
        <v>Д</v>
      </c>
      <c r="B455" s="31" t="str">
        <f t="shared" si="248"/>
        <v>М</v>
      </c>
      <c r="C455" s="32" t="s">
        <v>241</v>
      </c>
      <c r="D455" s="33" t="str">
        <f t="shared" si="249"/>
        <v>Факультет физико-математических и естественных наук</v>
      </c>
      <c r="E455" s="34" t="str">
        <f t="shared" si="250"/>
        <v>'09.04.03</v>
      </c>
      <c r="F455" s="35" t="str">
        <f t="shared" si="251"/>
        <v>Искусственный интеллект и анализ данных</v>
      </c>
      <c r="G455" s="36" t="s">
        <v>76</v>
      </c>
      <c r="H455" s="36" t="s">
        <v>135</v>
      </c>
      <c r="I455" s="37"/>
      <c r="J455" s="37" t="s">
        <v>154</v>
      </c>
      <c r="K455" s="38" t="s">
        <v>250</v>
      </c>
      <c r="L455" s="39">
        <v>2</v>
      </c>
      <c r="M455" s="39">
        <v>18</v>
      </c>
      <c r="N455" s="40" t="s">
        <v>86</v>
      </c>
      <c r="O455" s="39"/>
      <c r="P455" s="39"/>
      <c r="Q455" s="39">
        <v>2</v>
      </c>
      <c r="R455" s="40"/>
      <c r="S455" s="41"/>
      <c r="T455" s="41"/>
      <c r="U455" s="41"/>
      <c r="V455" s="41"/>
      <c r="W455" s="41"/>
      <c r="X455" s="42" t="str">
        <f t="shared" si="252"/>
        <v>НПИмд</v>
      </c>
      <c r="Y455" s="43" t="s">
        <v>87</v>
      </c>
      <c r="Z455" s="39">
        <v>2</v>
      </c>
      <c r="AA455" s="39">
        <v>1</v>
      </c>
      <c r="AB455" s="42">
        <f t="shared" si="253"/>
        <v>13</v>
      </c>
      <c r="AC455" s="122">
        <v>10</v>
      </c>
      <c r="AD455" s="122">
        <v>3</v>
      </c>
      <c r="AE455" s="44">
        <f t="shared" si="254"/>
        <v>12</v>
      </c>
      <c r="AF455" s="45">
        <f t="shared" si="255"/>
        <v>1</v>
      </c>
      <c r="AG455" s="45">
        <f t="shared" si="256"/>
        <v>1.0833333333333333</v>
      </c>
      <c r="AH455" s="46" t="s">
        <v>82</v>
      </c>
      <c r="AI455" s="40" t="s">
        <v>83</v>
      </c>
      <c r="AJ455" s="40" t="s">
        <v>116</v>
      </c>
      <c r="AK455" s="47" t="s">
        <v>122</v>
      </c>
      <c r="AL455" s="40"/>
      <c r="AM455" s="48">
        <f t="shared" si="257"/>
        <v>0</v>
      </c>
      <c r="AN455" s="48">
        <f t="shared" si="258"/>
        <v>36</v>
      </c>
      <c r="AO455" s="48">
        <f t="shared" si="259"/>
        <v>0</v>
      </c>
      <c r="AP455" s="48">
        <f t="shared" si="260"/>
        <v>0</v>
      </c>
      <c r="AQ455" s="48">
        <f t="shared" si="261"/>
        <v>0</v>
      </c>
      <c r="AR455" s="48">
        <f t="shared" si="262"/>
        <v>0</v>
      </c>
      <c r="AS455" s="48">
        <f t="shared" si="263"/>
        <v>0</v>
      </c>
      <c r="AT455" s="48">
        <f t="shared" si="264"/>
        <v>0</v>
      </c>
      <c r="AU455" s="48">
        <f t="shared" si="265"/>
        <v>0</v>
      </c>
      <c r="AV455" s="48">
        <f t="shared" si="266"/>
        <v>0</v>
      </c>
      <c r="AW455" s="48">
        <f>IF(N455="ПП",РПП*AB455*(V455/1.5),IF(N455="ВП",ВПр*AB455*(V455/1.5),IF(N455="РПА",РПА*AB455*(V455/1.5),IF(N455="КПА",кпа*AB455*(V455/1.5),0))))</f>
        <v>0</v>
      </c>
      <c r="AX455" s="48">
        <f t="shared" si="267"/>
        <v>0</v>
      </c>
      <c r="AY455" s="48">
        <f t="shared" si="268"/>
        <v>0</v>
      </c>
      <c r="AZ455" s="48">
        <f t="shared" si="269"/>
        <v>0</v>
      </c>
      <c r="BA455" s="48">
        <f t="shared" si="270"/>
        <v>0</v>
      </c>
      <c r="BB455" s="48">
        <f t="shared" si="271"/>
        <v>0</v>
      </c>
      <c r="BC455" s="48">
        <f t="shared" si="272"/>
        <v>0</v>
      </c>
      <c r="BD455" s="48">
        <f t="shared" si="273"/>
        <v>0</v>
      </c>
      <c r="BE455" s="48">
        <f t="shared" si="274"/>
        <v>0</v>
      </c>
      <c r="BF455" s="49">
        <f t="shared" si="275"/>
        <v>36</v>
      </c>
      <c r="BG455" s="50"/>
      <c r="BH455" s="51">
        <f t="shared" si="276"/>
        <v>0</v>
      </c>
      <c r="BI455" s="51">
        <f t="shared" si="277"/>
        <v>0</v>
      </c>
      <c r="BJ455" s="51">
        <f t="shared" si="278"/>
        <v>0</v>
      </c>
      <c r="BK455" s="52">
        <f t="shared" si="279"/>
        <v>36</v>
      </c>
      <c r="BL455" s="52">
        <f t="shared" si="280"/>
        <v>1</v>
      </c>
      <c r="BM455" s="52">
        <f t="shared" si="281"/>
        <v>0</v>
      </c>
    </row>
    <row r="456" spans="1:65" ht="30" customHeight="1" x14ac:dyDescent="0.25">
      <c r="A456" s="31" t="str">
        <f t="shared" si="247"/>
        <v>Д</v>
      </c>
      <c r="B456" s="31" t="str">
        <f t="shared" si="248"/>
        <v>М</v>
      </c>
      <c r="C456" s="32" t="s">
        <v>241</v>
      </c>
      <c r="D456" s="33" t="str">
        <f t="shared" si="249"/>
        <v>Факультет физико-математических и естественных наук</v>
      </c>
      <c r="E456" s="34" t="str">
        <f t="shared" si="250"/>
        <v>'09.04.03</v>
      </c>
      <c r="F456" s="35" t="str">
        <f t="shared" si="251"/>
        <v>Искусственный интеллект и анализ данных</v>
      </c>
      <c r="G456" s="36" t="s">
        <v>76</v>
      </c>
      <c r="H456" s="36" t="s">
        <v>135</v>
      </c>
      <c r="I456" s="37"/>
      <c r="J456" s="37" t="s">
        <v>154</v>
      </c>
      <c r="K456" s="38" t="s">
        <v>251</v>
      </c>
      <c r="L456" s="39">
        <v>2</v>
      </c>
      <c r="M456" s="39">
        <v>18</v>
      </c>
      <c r="N456" s="40" t="s">
        <v>79</v>
      </c>
      <c r="O456" s="39">
        <v>1</v>
      </c>
      <c r="P456" s="39"/>
      <c r="Q456" s="39"/>
      <c r="R456" s="40" t="s">
        <v>80</v>
      </c>
      <c r="S456" s="41"/>
      <c r="T456" s="41"/>
      <c r="U456" s="41"/>
      <c r="V456" s="41"/>
      <c r="W456" s="41"/>
      <c r="X456" s="42" t="str">
        <f t="shared" si="252"/>
        <v>НПИмд</v>
      </c>
      <c r="Y456" s="43" t="s">
        <v>87</v>
      </c>
      <c r="Z456" s="39">
        <v>2</v>
      </c>
      <c r="AA456" s="39">
        <v>1</v>
      </c>
      <c r="AB456" s="42">
        <f t="shared" si="253"/>
        <v>13</v>
      </c>
      <c r="AC456" s="122">
        <v>10</v>
      </c>
      <c r="AD456" s="122">
        <v>3</v>
      </c>
      <c r="AE456" s="44">
        <f t="shared" si="254"/>
        <v>13</v>
      </c>
      <c r="AF456" s="45">
        <f t="shared" si="255"/>
        <v>1</v>
      </c>
      <c r="AG456" s="45">
        <f t="shared" si="256"/>
        <v>1</v>
      </c>
      <c r="AH456" s="46" t="s">
        <v>82</v>
      </c>
      <c r="AI456" s="40" t="s">
        <v>115</v>
      </c>
      <c r="AJ456" s="40" t="s">
        <v>116</v>
      </c>
      <c r="AK456" s="47" t="s">
        <v>117</v>
      </c>
      <c r="AL456" s="40"/>
      <c r="AM456" s="48">
        <f t="shared" si="257"/>
        <v>18</v>
      </c>
      <c r="AN456" s="48">
        <f t="shared" si="258"/>
        <v>0</v>
      </c>
      <c r="AO456" s="48">
        <f t="shared" si="259"/>
        <v>0</v>
      </c>
      <c r="AP456" s="48">
        <f t="shared" si="260"/>
        <v>4.29</v>
      </c>
      <c r="AQ456" s="48">
        <f t="shared" si="261"/>
        <v>6.5</v>
      </c>
      <c r="AR456" s="48">
        <f t="shared" si="262"/>
        <v>1</v>
      </c>
      <c r="AS456" s="48">
        <f t="shared" si="263"/>
        <v>0.9</v>
      </c>
      <c r="AT456" s="48">
        <f t="shared" si="264"/>
        <v>0</v>
      </c>
      <c r="AU456" s="48">
        <f t="shared" si="265"/>
        <v>0</v>
      </c>
      <c r="AV456" s="48">
        <f t="shared" si="266"/>
        <v>0</v>
      </c>
      <c r="AW456" s="48">
        <f>IF(N456="ПП",РПП*AB456*(V456/1.5),IF(N456="ВП",ВПр*AB456*(V456/1.5),IF(N456="РПА",РПА*AB456*(V456/1.5),IF(N456="КПА",кпа*AB456*(V456/1.5),0))))</f>
        <v>0</v>
      </c>
      <c r="AX456" s="48">
        <f t="shared" si="267"/>
        <v>0</v>
      </c>
      <c r="AY456" s="48">
        <f t="shared" si="268"/>
        <v>0</v>
      </c>
      <c r="AZ456" s="48">
        <f t="shared" si="269"/>
        <v>0</v>
      </c>
      <c r="BA456" s="48">
        <f t="shared" si="270"/>
        <v>0</v>
      </c>
      <c r="BB456" s="48">
        <f t="shared" si="271"/>
        <v>0</v>
      </c>
      <c r="BC456" s="48">
        <f t="shared" si="272"/>
        <v>0</v>
      </c>
      <c r="BD456" s="48">
        <f t="shared" si="273"/>
        <v>0</v>
      </c>
      <c r="BE456" s="48">
        <f t="shared" si="274"/>
        <v>0</v>
      </c>
      <c r="BF456" s="49">
        <f t="shared" si="275"/>
        <v>30.689999999999998</v>
      </c>
      <c r="BG456" s="50"/>
      <c r="BH456" s="51">
        <f t="shared" si="276"/>
        <v>0</v>
      </c>
      <c r="BI456" s="51">
        <f t="shared" si="277"/>
        <v>0</v>
      </c>
      <c r="BJ456" s="51">
        <f t="shared" si="278"/>
        <v>0</v>
      </c>
      <c r="BK456" s="52">
        <f t="shared" si="279"/>
        <v>18</v>
      </c>
      <c r="BL456" s="52">
        <f t="shared" si="280"/>
        <v>0.5</v>
      </c>
      <c r="BM456" s="52">
        <f t="shared" si="281"/>
        <v>12.69</v>
      </c>
    </row>
    <row r="457" spans="1:65" ht="30" customHeight="1" x14ac:dyDescent="0.25">
      <c r="A457" s="31" t="str">
        <f t="shared" si="247"/>
        <v>Д</v>
      </c>
      <c r="B457" s="31" t="str">
        <f t="shared" si="248"/>
        <v>М</v>
      </c>
      <c r="C457" s="32" t="s">
        <v>241</v>
      </c>
      <c r="D457" s="33" t="str">
        <f t="shared" si="249"/>
        <v>Факультет физико-математических и естественных наук</v>
      </c>
      <c r="E457" s="34" t="str">
        <f t="shared" si="250"/>
        <v>'09.04.03</v>
      </c>
      <c r="F457" s="35" t="str">
        <f t="shared" si="251"/>
        <v>Искусственный интеллект и анализ данных</v>
      </c>
      <c r="G457" s="36" t="s">
        <v>76</v>
      </c>
      <c r="H457" s="36" t="s">
        <v>135</v>
      </c>
      <c r="I457" s="37"/>
      <c r="J457" s="37" t="s">
        <v>154</v>
      </c>
      <c r="K457" s="38" t="s">
        <v>251</v>
      </c>
      <c r="L457" s="39">
        <v>2</v>
      </c>
      <c r="M457" s="39">
        <v>18</v>
      </c>
      <c r="N457" s="40" t="s">
        <v>86</v>
      </c>
      <c r="O457" s="39"/>
      <c r="P457" s="39"/>
      <c r="Q457" s="39">
        <v>2</v>
      </c>
      <c r="R457" s="40"/>
      <c r="S457" s="41"/>
      <c r="T457" s="41"/>
      <c r="U457" s="41"/>
      <c r="V457" s="41"/>
      <c r="W457" s="41"/>
      <c r="X457" s="42" t="str">
        <f t="shared" si="252"/>
        <v>НПИмд</v>
      </c>
      <c r="Y457" s="43" t="s">
        <v>87</v>
      </c>
      <c r="Z457" s="39">
        <v>2</v>
      </c>
      <c r="AA457" s="39">
        <v>1</v>
      </c>
      <c r="AB457" s="42">
        <f t="shared" si="253"/>
        <v>13</v>
      </c>
      <c r="AC457" s="122">
        <v>10</v>
      </c>
      <c r="AD457" s="122">
        <v>3</v>
      </c>
      <c r="AE457" s="44">
        <f t="shared" si="254"/>
        <v>12</v>
      </c>
      <c r="AF457" s="45">
        <f t="shared" si="255"/>
        <v>1</v>
      </c>
      <c r="AG457" s="45">
        <f t="shared" si="256"/>
        <v>1.0833333333333333</v>
      </c>
      <c r="AH457" s="46" t="s">
        <v>82</v>
      </c>
      <c r="AI457" s="40" t="s">
        <v>115</v>
      </c>
      <c r="AJ457" s="40" t="s">
        <v>116</v>
      </c>
      <c r="AK457" s="47" t="s">
        <v>117</v>
      </c>
      <c r="AL457" s="40"/>
      <c r="AM457" s="48">
        <f t="shared" si="257"/>
        <v>0</v>
      </c>
      <c r="AN457" s="48">
        <f t="shared" si="258"/>
        <v>36</v>
      </c>
      <c r="AO457" s="48">
        <f t="shared" si="259"/>
        <v>0</v>
      </c>
      <c r="AP457" s="48">
        <f t="shared" si="260"/>
        <v>0</v>
      </c>
      <c r="AQ457" s="48">
        <f t="shared" si="261"/>
        <v>0</v>
      </c>
      <c r="AR457" s="48">
        <f t="shared" si="262"/>
        <v>0</v>
      </c>
      <c r="AS457" s="48">
        <f t="shared" si="263"/>
        <v>0</v>
      </c>
      <c r="AT457" s="48">
        <f t="shared" si="264"/>
        <v>0</v>
      </c>
      <c r="AU457" s="48">
        <f t="shared" si="265"/>
        <v>0</v>
      </c>
      <c r="AV457" s="48">
        <f t="shared" si="266"/>
        <v>0</v>
      </c>
      <c r="AW457" s="48">
        <f>IF(N457="ПП",РПП*AB457*(V457/1.5),IF(N457="ВП",ВПр*AB457*(V457/1.5),IF(N457="РПА",РПА*AB457*(V457/1.5),IF(N457="КПА",кпа*AB457*(V457/1.5),0))))</f>
        <v>0</v>
      </c>
      <c r="AX457" s="48">
        <f t="shared" si="267"/>
        <v>0</v>
      </c>
      <c r="AY457" s="48">
        <f t="shared" si="268"/>
        <v>0</v>
      </c>
      <c r="AZ457" s="48">
        <f t="shared" si="269"/>
        <v>0</v>
      </c>
      <c r="BA457" s="48">
        <f t="shared" si="270"/>
        <v>0</v>
      </c>
      <c r="BB457" s="48">
        <f t="shared" si="271"/>
        <v>0</v>
      </c>
      <c r="BC457" s="48">
        <f t="shared" si="272"/>
        <v>0</v>
      </c>
      <c r="BD457" s="48">
        <f t="shared" si="273"/>
        <v>0</v>
      </c>
      <c r="BE457" s="48">
        <f t="shared" si="274"/>
        <v>0</v>
      </c>
      <c r="BF457" s="49">
        <f t="shared" si="275"/>
        <v>36</v>
      </c>
      <c r="BG457" s="50"/>
      <c r="BH457" s="51">
        <f t="shared" si="276"/>
        <v>0</v>
      </c>
      <c r="BI457" s="51">
        <f t="shared" si="277"/>
        <v>0</v>
      </c>
      <c r="BJ457" s="51">
        <f t="shared" si="278"/>
        <v>0</v>
      </c>
      <c r="BK457" s="52">
        <f t="shared" si="279"/>
        <v>36</v>
      </c>
      <c r="BL457" s="52">
        <f t="shared" si="280"/>
        <v>1</v>
      </c>
      <c r="BM457" s="52">
        <f t="shared" si="281"/>
        <v>0</v>
      </c>
    </row>
    <row r="458" spans="1:65" ht="30" customHeight="1" x14ac:dyDescent="0.25">
      <c r="A458" s="31" t="str">
        <f t="shared" si="247"/>
        <v>Д</v>
      </c>
      <c r="B458" s="31" t="str">
        <f t="shared" si="248"/>
        <v>М</v>
      </c>
      <c r="C458" s="32" t="s">
        <v>241</v>
      </c>
      <c r="D458" s="33" t="str">
        <f t="shared" si="249"/>
        <v>Факультет физико-математических и естественных наук</v>
      </c>
      <c r="E458" s="34" t="str">
        <f t="shared" si="250"/>
        <v>'09.04.03</v>
      </c>
      <c r="F458" s="35" t="str">
        <f t="shared" si="251"/>
        <v>Искусственный интеллект и анализ данных</v>
      </c>
      <c r="G458" s="36" t="s">
        <v>76</v>
      </c>
      <c r="H458" s="36" t="s">
        <v>183</v>
      </c>
      <c r="I458" s="37"/>
      <c r="J458" s="37"/>
      <c r="K458" s="38" t="s">
        <v>252</v>
      </c>
      <c r="L458" s="39">
        <v>2</v>
      </c>
      <c r="M458" s="39">
        <v>18</v>
      </c>
      <c r="N458" s="40" t="s">
        <v>79</v>
      </c>
      <c r="O458" s="39">
        <v>1</v>
      </c>
      <c r="P458" s="39"/>
      <c r="Q458" s="39"/>
      <c r="R458" s="40" t="s">
        <v>80</v>
      </c>
      <c r="S458" s="41"/>
      <c r="T458" s="41"/>
      <c r="U458" s="41"/>
      <c r="V458" s="41"/>
      <c r="W458" s="41"/>
      <c r="X458" s="42" t="str">
        <f t="shared" si="252"/>
        <v>НПИмд</v>
      </c>
      <c r="Y458" s="43" t="s">
        <v>87</v>
      </c>
      <c r="Z458" s="39">
        <v>2</v>
      </c>
      <c r="AA458" s="39">
        <v>1</v>
      </c>
      <c r="AB458" s="42">
        <f t="shared" si="253"/>
        <v>25</v>
      </c>
      <c r="AC458" s="39">
        <v>19</v>
      </c>
      <c r="AD458" s="39">
        <v>6</v>
      </c>
      <c r="AE458" s="44">
        <f t="shared" si="254"/>
        <v>25</v>
      </c>
      <c r="AF458" s="45">
        <f t="shared" si="255"/>
        <v>1</v>
      </c>
      <c r="AG458" s="45">
        <f t="shared" si="256"/>
        <v>1</v>
      </c>
      <c r="AH458" s="46" t="s">
        <v>82</v>
      </c>
      <c r="AI458" s="40" t="s">
        <v>83</v>
      </c>
      <c r="AJ458" s="40" t="s">
        <v>84</v>
      </c>
      <c r="AK458" s="47" t="s">
        <v>97</v>
      </c>
      <c r="AL458" s="40"/>
      <c r="AM458" s="48">
        <f t="shared" si="257"/>
        <v>18</v>
      </c>
      <c r="AN458" s="48">
        <f t="shared" si="258"/>
        <v>0</v>
      </c>
      <c r="AO458" s="48">
        <f t="shared" si="259"/>
        <v>0</v>
      </c>
      <c r="AP458" s="48">
        <f t="shared" si="260"/>
        <v>8.25</v>
      </c>
      <c r="AQ458" s="48">
        <f t="shared" si="261"/>
        <v>12.5</v>
      </c>
      <c r="AR458" s="48">
        <f t="shared" si="262"/>
        <v>1</v>
      </c>
      <c r="AS458" s="48">
        <f t="shared" si="263"/>
        <v>0.9</v>
      </c>
      <c r="AT458" s="48">
        <f t="shared" si="264"/>
        <v>0</v>
      </c>
      <c r="AU458" s="48">
        <f t="shared" si="265"/>
        <v>0</v>
      </c>
      <c r="AV458" s="48">
        <f t="shared" si="266"/>
        <v>0</v>
      </c>
      <c r="AW458" s="48">
        <f>IF(N458="ПП",РПП*AB458*(V458/1.5),IF(N458="ВП",ВПр*AB458*(V458/1.5),IF(N458="РПА",РПА*AB458*(V458/1.5),IF(N458="КПА",кпа*AB458*(V458/1.5),0))))</f>
        <v>0</v>
      </c>
      <c r="AX458" s="48">
        <f t="shared" si="267"/>
        <v>0</v>
      </c>
      <c r="AY458" s="48">
        <f t="shared" si="268"/>
        <v>0</v>
      </c>
      <c r="AZ458" s="48">
        <f t="shared" si="269"/>
        <v>0</v>
      </c>
      <c r="BA458" s="48">
        <f t="shared" si="270"/>
        <v>0</v>
      </c>
      <c r="BB458" s="48">
        <f t="shared" si="271"/>
        <v>0</v>
      </c>
      <c r="BC458" s="48">
        <f t="shared" si="272"/>
        <v>0</v>
      </c>
      <c r="BD458" s="48">
        <f t="shared" si="273"/>
        <v>0</v>
      </c>
      <c r="BE458" s="48">
        <f t="shared" si="274"/>
        <v>0</v>
      </c>
      <c r="BF458" s="49">
        <f t="shared" si="275"/>
        <v>40.65</v>
      </c>
      <c r="BG458" s="50"/>
      <c r="BH458" s="51">
        <f t="shared" si="276"/>
        <v>0</v>
      </c>
      <c r="BI458" s="51">
        <f t="shared" si="277"/>
        <v>0</v>
      </c>
      <c r="BJ458" s="51">
        <f t="shared" si="278"/>
        <v>0</v>
      </c>
      <c r="BK458" s="52">
        <f t="shared" si="279"/>
        <v>18</v>
      </c>
      <c r="BL458" s="52">
        <f t="shared" si="280"/>
        <v>0.5</v>
      </c>
      <c r="BM458" s="52">
        <f t="shared" si="281"/>
        <v>22.65</v>
      </c>
    </row>
    <row r="459" spans="1:65" ht="30" customHeight="1" x14ac:dyDescent="0.25">
      <c r="A459" s="31" t="str">
        <f t="shared" si="247"/>
        <v>Д</v>
      </c>
      <c r="B459" s="31" t="str">
        <f t="shared" si="248"/>
        <v>М</v>
      </c>
      <c r="C459" s="32" t="s">
        <v>241</v>
      </c>
      <c r="D459" s="33" t="str">
        <f t="shared" si="249"/>
        <v>Факультет физико-математических и естественных наук</v>
      </c>
      <c r="E459" s="34" t="str">
        <f t="shared" si="250"/>
        <v>'09.04.03</v>
      </c>
      <c r="F459" s="35" t="str">
        <f t="shared" si="251"/>
        <v>Искусственный интеллект и анализ данных</v>
      </c>
      <c r="G459" s="36" t="s">
        <v>76</v>
      </c>
      <c r="H459" s="36" t="s">
        <v>183</v>
      </c>
      <c r="I459" s="37"/>
      <c r="J459" s="37"/>
      <c r="K459" s="38" t="s">
        <v>252</v>
      </c>
      <c r="L459" s="39">
        <v>2</v>
      </c>
      <c r="M459" s="39">
        <v>18</v>
      </c>
      <c r="N459" s="40" t="s">
        <v>86</v>
      </c>
      <c r="O459" s="39"/>
      <c r="P459" s="39"/>
      <c r="Q459" s="39">
        <v>2</v>
      </c>
      <c r="R459" s="40"/>
      <c r="S459" s="41"/>
      <c r="T459" s="41"/>
      <c r="U459" s="41"/>
      <c r="V459" s="41"/>
      <c r="W459" s="41"/>
      <c r="X459" s="42" t="str">
        <f t="shared" si="252"/>
        <v>НПИмд</v>
      </c>
      <c r="Y459" s="43" t="s">
        <v>87</v>
      </c>
      <c r="Z459" s="39">
        <v>2</v>
      </c>
      <c r="AA459" s="39">
        <v>1</v>
      </c>
      <c r="AB459" s="42">
        <f t="shared" si="253"/>
        <v>25</v>
      </c>
      <c r="AC459" s="39">
        <v>19</v>
      </c>
      <c r="AD459" s="39">
        <v>6</v>
      </c>
      <c r="AE459" s="44">
        <f t="shared" si="254"/>
        <v>12</v>
      </c>
      <c r="AF459" s="45">
        <f t="shared" si="255"/>
        <v>1</v>
      </c>
      <c r="AG459" s="45">
        <f t="shared" si="256"/>
        <v>2.0833333333333335</v>
      </c>
      <c r="AH459" s="46" t="s">
        <v>82</v>
      </c>
      <c r="AI459" s="40" t="s">
        <v>83</v>
      </c>
      <c r="AJ459" s="40" t="s">
        <v>84</v>
      </c>
      <c r="AK459" s="47" t="s">
        <v>97</v>
      </c>
      <c r="AL459" s="40"/>
      <c r="AM459" s="48">
        <f t="shared" si="257"/>
        <v>0</v>
      </c>
      <c r="AN459" s="48">
        <f t="shared" si="258"/>
        <v>36</v>
      </c>
      <c r="AO459" s="48">
        <f t="shared" si="259"/>
        <v>0</v>
      </c>
      <c r="AP459" s="48">
        <f t="shared" si="260"/>
        <v>0</v>
      </c>
      <c r="AQ459" s="48">
        <f t="shared" si="261"/>
        <v>0</v>
      </c>
      <c r="AR459" s="48">
        <f t="shared" si="262"/>
        <v>0</v>
      </c>
      <c r="AS459" s="48">
        <f t="shared" si="263"/>
        <v>0</v>
      </c>
      <c r="AT459" s="48">
        <f t="shared" si="264"/>
        <v>0</v>
      </c>
      <c r="AU459" s="48">
        <f t="shared" si="265"/>
        <v>0</v>
      </c>
      <c r="AV459" s="48">
        <f t="shared" si="266"/>
        <v>0</v>
      </c>
      <c r="AW459" s="48">
        <f>IF(N459="ПП",РПП*AB459*(V459/1.5),IF(N459="ВП",ВПр*AB459*(V459/1.5),IF(N459="РПА",РПА*AB459*(V459/1.5),IF(N459="КПА",кпа*AB459*(V459/1.5),0))))</f>
        <v>0</v>
      </c>
      <c r="AX459" s="48">
        <f t="shared" si="267"/>
        <v>0</v>
      </c>
      <c r="AY459" s="48">
        <f t="shared" si="268"/>
        <v>0</v>
      </c>
      <c r="AZ459" s="48">
        <f t="shared" si="269"/>
        <v>0</v>
      </c>
      <c r="BA459" s="48">
        <f t="shared" si="270"/>
        <v>0</v>
      </c>
      <c r="BB459" s="48">
        <f t="shared" si="271"/>
        <v>0</v>
      </c>
      <c r="BC459" s="48">
        <f t="shared" si="272"/>
        <v>0</v>
      </c>
      <c r="BD459" s="48">
        <f t="shared" si="273"/>
        <v>0</v>
      </c>
      <c r="BE459" s="48">
        <f t="shared" si="274"/>
        <v>0</v>
      </c>
      <c r="BF459" s="49">
        <f t="shared" si="275"/>
        <v>36</v>
      </c>
      <c r="BG459" s="50"/>
      <c r="BH459" s="51">
        <f t="shared" si="276"/>
        <v>0</v>
      </c>
      <c r="BI459" s="51">
        <f t="shared" si="277"/>
        <v>0</v>
      </c>
      <c r="BJ459" s="51">
        <f t="shared" si="278"/>
        <v>0</v>
      </c>
      <c r="BK459" s="52">
        <f t="shared" si="279"/>
        <v>36</v>
      </c>
      <c r="BL459" s="52">
        <f t="shared" si="280"/>
        <v>1</v>
      </c>
      <c r="BM459" s="52">
        <f t="shared" si="281"/>
        <v>0</v>
      </c>
    </row>
    <row r="460" spans="1:65" ht="30" customHeight="1" x14ac:dyDescent="0.25">
      <c r="A460" s="31" t="str">
        <f t="shared" si="247"/>
        <v>Д</v>
      </c>
      <c r="B460" s="31" t="str">
        <f t="shared" si="248"/>
        <v>М</v>
      </c>
      <c r="C460" s="32" t="s">
        <v>241</v>
      </c>
      <c r="D460" s="33" t="str">
        <f t="shared" si="249"/>
        <v>Факультет физико-математических и естественных наук</v>
      </c>
      <c r="E460" s="34" t="str">
        <f t="shared" si="250"/>
        <v>'09.04.03</v>
      </c>
      <c r="F460" s="35" t="str">
        <f t="shared" si="251"/>
        <v>Искусственный интеллект и анализ данных</v>
      </c>
      <c r="G460" s="36" t="s">
        <v>76</v>
      </c>
      <c r="H460" s="36" t="s">
        <v>183</v>
      </c>
      <c r="I460" s="37"/>
      <c r="J460" s="37"/>
      <c r="K460" s="38" t="s">
        <v>253</v>
      </c>
      <c r="L460" s="39">
        <v>2</v>
      </c>
      <c r="M460" s="39">
        <v>18</v>
      </c>
      <c r="N460" s="40" t="s">
        <v>79</v>
      </c>
      <c r="O460" s="39">
        <v>1</v>
      </c>
      <c r="P460" s="39"/>
      <c r="Q460" s="39"/>
      <c r="R460" s="40" t="s">
        <v>80</v>
      </c>
      <c r="S460" s="41"/>
      <c r="T460" s="41"/>
      <c r="U460" s="41"/>
      <c r="V460" s="41"/>
      <c r="W460" s="41"/>
      <c r="X460" s="42" t="str">
        <f t="shared" si="252"/>
        <v>НПИмд</v>
      </c>
      <c r="Y460" s="43" t="s">
        <v>87</v>
      </c>
      <c r="Z460" s="39">
        <v>2</v>
      </c>
      <c r="AA460" s="39">
        <v>1</v>
      </c>
      <c r="AB460" s="42">
        <f t="shared" si="253"/>
        <v>25</v>
      </c>
      <c r="AC460" s="39">
        <v>19</v>
      </c>
      <c r="AD460" s="39">
        <v>6</v>
      </c>
      <c r="AE460" s="44">
        <f t="shared" si="254"/>
        <v>25</v>
      </c>
      <c r="AF460" s="45">
        <f t="shared" si="255"/>
        <v>1</v>
      </c>
      <c r="AG460" s="45">
        <f t="shared" si="256"/>
        <v>1</v>
      </c>
      <c r="AH460" s="46" t="s">
        <v>82</v>
      </c>
      <c r="AI460" s="40" t="s">
        <v>112</v>
      </c>
      <c r="AJ460" s="40" t="s">
        <v>84</v>
      </c>
      <c r="AK460" s="47" t="s">
        <v>243</v>
      </c>
      <c r="AL460" s="40"/>
      <c r="AM460" s="48">
        <f t="shared" si="257"/>
        <v>18</v>
      </c>
      <c r="AN460" s="48">
        <f t="shared" si="258"/>
        <v>0</v>
      </c>
      <c r="AO460" s="48">
        <f t="shared" si="259"/>
        <v>0</v>
      </c>
      <c r="AP460" s="48">
        <f t="shared" si="260"/>
        <v>8.25</v>
      </c>
      <c r="AQ460" s="48">
        <f t="shared" si="261"/>
        <v>12.5</v>
      </c>
      <c r="AR460" s="48">
        <f t="shared" si="262"/>
        <v>1</v>
      </c>
      <c r="AS460" s="48">
        <f t="shared" si="263"/>
        <v>0.9</v>
      </c>
      <c r="AT460" s="48">
        <f t="shared" si="264"/>
        <v>0</v>
      </c>
      <c r="AU460" s="48">
        <f t="shared" si="265"/>
        <v>0</v>
      </c>
      <c r="AV460" s="48">
        <f t="shared" si="266"/>
        <v>0</v>
      </c>
      <c r="AW460" s="48">
        <f>IF(N460="ПП",РПП*AB460*(V460/1.5),IF(N460="ВП",ВПр*AB460*(V460/1.5),IF(N460="РПА",РПА*AB460*(V460/1.5),IF(N460="КПА",кпа*AB460*(V460/1.5),0))))</f>
        <v>0</v>
      </c>
      <c r="AX460" s="48">
        <f t="shared" si="267"/>
        <v>0</v>
      </c>
      <c r="AY460" s="48">
        <f t="shared" si="268"/>
        <v>0</v>
      </c>
      <c r="AZ460" s="48">
        <f t="shared" si="269"/>
        <v>0</v>
      </c>
      <c r="BA460" s="48">
        <f t="shared" si="270"/>
        <v>0</v>
      </c>
      <c r="BB460" s="48">
        <f t="shared" si="271"/>
        <v>0</v>
      </c>
      <c r="BC460" s="48">
        <f t="shared" si="272"/>
        <v>0</v>
      </c>
      <c r="BD460" s="48">
        <f t="shared" si="273"/>
        <v>0</v>
      </c>
      <c r="BE460" s="48">
        <f t="shared" si="274"/>
        <v>0</v>
      </c>
      <c r="BF460" s="49">
        <f t="shared" si="275"/>
        <v>40.65</v>
      </c>
      <c r="BG460" s="50"/>
      <c r="BH460" s="51">
        <f t="shared" si="276"/>
        <v>0</v>
      </c>
      <c r="BI460" s="51">
        <f t="shared" si="277"/>
        <v>0</v>
      </c>
      <c r="BJ460" s="51">
        <f t="shared" si="278"/>
        <v>0</v>
      </c>
      <c r="BK460" s="52">
        <f t="shared" si="279"/>
        <v>18</v>
      </c>
      <c r="BL460" s="52">
        <f t="shared" si="280"/>
        <v>0.5</v>
      </c>
      <c r="BM460" s="52">
        <f t="shared" si="281"/>
        <v>22.65</v>
      </c>
    </row>
    <row r="461" spans="1:65" ht="30" customHeight="1" x14ac:dyDescent="0.25">
      <c r="A461" s="31" t="str">
        <f t="shared" si="247"/>
        <v>Д</v>
      </c>
      <c r="B461" s="31" t="str">
        <f t="shared" si="248"/>
        <v>М</v>
      </c>
      <c r="C461" s="32" t="s">
        <v>241</v>
      </c>
      <c r="D461" s="33" t="str">
        <f t="shared" si="249"/>
        <v>Факультет физико-математических и естественных наук</v>
      </c>
      <c r="E461" s="34" t="str">
        <f t="shared" si="250"/>
        <v>'09.04.03</v>
      </c>
      <c r="F461" s="35" t="str">
        <f t="shared" si="251"/>
        <v>Искусственный интеллект и анализ данных</v>
      </c>
      <c r="G461" s="36" t="s">
        <v>76</v>
      </c>
      <c r="H461" s="36" t="s">
        <v>183</v>
      </c>
      <c r="I461" s="37"/>
      <c r="J461" s="37"/>
      <c r="K461" s="38" t="s">
        <v>253</v>
      </c>
      <c r="L461" s="39">
        <v>2</v>
      </c>
      <c r="M461" s="39">
        <v>18</v>
      </c>
      <c r="N461" s="40" t="s">
        <v>86</v>
      </c>
      <c r="O461" s="39"/>
      <c r="P461" s="39"/>
      <c r="Q461" s="39">
        <v>2</v>
      </c>
      <c r="R461" s="40"/>
      <c r="S461" s="41"/>
      <c r="T461" s="41"/>
      <c r="U461" s="41"/>
      <c r="V461" s="41"/>
      <c r="W461" s="41"/>
      <c r="X461" s="42" t="str">
        <f t="shared" si="252"/>
        <v>НПИмд</v>
      </c>
      <c r="Y461" s="43" t="s">
        <v>87</v>
      </c>
      <c r="Z461" s="39">
        <v>2</v>
      </c>
      <c r="AA461" s="39">
        <v>1</v>
      </c>
      <c r="AB461" s="42">
        <f t="shared" si="253"/>
        <v>25</v>
      </c>
      <c r="AC461" s="39">
        <v>19</v>
      </c>
      <c r="AD461" s="39">
        <v>6</v>
      </c>
      <c r="AE461" s="44">
        <f t="shared" si="254"/>
        <v>12</v>
      </c>
      <c r="AF461" s="45">
        <f t="shared" si="255"/>
        <v>1</v>
      </c>
      <c r="AG461" s="45">
        <f t="shared" si="256"/>
        <v>2.0833333333333335</v>
      </c>
      <c r="AH461" s="46" t="s">
        <v>82</v>
      </c>
      <c r="AI461" s="40" t="s">
        <v>112</v>
      </c>
      <c r="AJ461" s="40" t="s">
        <v>84</v>
      </c>
      <c r="AK461" s="47" t="s">
        <v>243</v>
      </c>
      <c r="AL461" s="40"/>
      <c r="AM461" s="48">
        <f t="shared" si="257"/>
        <v>0</v>
      </c>
      <c r="AN461" s="48">
        <f t="shared" si="258"/>
        <v>36</v>
      </c>
      <c r="AO461" s="48">
        <f t="shared" si="259"/>
        <v>0</v>
      </c>
      <c r="AP461" s="48">
        <f t="shared" si="260"/>
        <v>0</v>
      </c>
      <c r="AQ461" s="48">
        <f t="shared" si="261"/>
        <v>0</v>
      </c>
      <c r="AR461" s="48">
        <f t="shared" si="262"/>
        <v>0</v>
      </c>
      <c r="AS461" s="48">
        <f t="shared" si="263"/>
        <v>0</v>
      </c>
      <c r="AT461" s="48">
        <f t="shared" si="264"/>
        <v>0</v>
      </c>
      <c r="AU461" s="48">
        <f t="shared" si="265"/>
        <v>0</v>
      </c>
      <c r="AV461" s="48">
        <f t="shared" si="266"/>
        <v>0</v>
      </c>
      <c r="AW461" s="48">
        <f>IF(N461="ПП",РПП*AB461*(V461/1.5),IF(N461="ВП",ВПр*AB461*(V461/1.5),IF(N461="РПА",РПА*AB461*(V461/1.5),IF(N461="КПА",кпа*AB461*(V461/1.5),0))))</f>
        <v>0</v>
      </c>
      <c r="AX461" s="48">
        <f t="shared" si="267"/>
        <v>0</v>
      </c>
      <c r="AY461" s="48">
        <f t="shared" si="268"/>
        <v>0</v>
      </c>
      <c r="AZ461" s="48">
        <f t="shared" si="269"/>
        <v>0</v>
      </c>
      <c r="BA461" s="48">
        <f t="shared" si="270"/>
        <v>0</v>
      </c>
      <c r="BB461" s="48">
        <f t="shared" si="271"/>
        <v>0</v>
      </c>
      <c r="BC461" s="48">
        <f t="shared" si="272"/>
        <v>0</v>
      </c>
      <c r="BD461" s="48">
        <f t="shared" si="273"/>
        <v>0</v>
      </c>
      <c r="BE461" s="48">
        <f t="shared" si="274"/>
        <v>0</v>
      </c>
      <c r="BF461" s="49">
        <f t="shared" si="275"/>
        <v>36</v>
      </c>
      <c r="BG461" s="50"/>
      <c r="BH461" s="51">
        <f t="shared" si="276"/>
        <v>0</v>
      </c>
      <c r="BI461" s="51">
        <f t="shared" si="277"/>
        <v>0</v>
      </c>
      <c r="BJ461" s="51">
        <f t="shared" si="278"/>
        <v>0</v>
      </c>
      <c r="BK461" s="52">
        <f t="shared" si="279"/>
        <v>36</v>
      </c>
      <c r="BL461" s="52">
        <f t="shared" si="280"/>
        <v>1</v>
      </c>
      <c r="BM461" s="52">
        <f t="shared" si="281"/>
        <v>0</v>
      </c>
    </row>
    <row r="462" spans="1:65" ht="30" customHeight="1" x14ac:dyDescent="0.25">
      <c r="A462" s="31" t="str">
        <f t="shared" si="247"/>
        <v>Д</v>
      </c>
      <c r="B462" s="31" t="str">
        <f t="shared" si="248"/>
        <v>М</v>
      </c>
      <c r="C462" s="32" t="s">
        <v>241</v>
      </c>
      <c r="D462" s="33" t="str">
        <f t="shared" si="249"/>
        <v>Факультет физико-математических и естественных наук</v>
      </c>
      <c r="E462" s="34" t="str">
        <f t="shared" si="250"/>
        <v>'09.04.03</v>
      </c>
      <c r="F462" s="35" t="str">
        <f t="shared" si="251"/>
        <v>Искусственный интеллект и анализ данных</v>
      </c>
      <c r="G462" s="36" t="s">
        <v>76</v>
      </c>
      <c r="H462" s="36" t="s">
        <v>135</v>
      </c>
      <c r="I462" s="37"/>
      <c r="J462" s="37" t="s">
        <v>154</v>
      </c>
      <c r="K462" s="38" t="s">
        <v>254</v>
      </c>
      <c r="L462" s="39">
        <v>2</v>
      </c>
      <c r="M462" s="39">
        <v>18</v>
      </c>
      <c r="N462" s="40" t="s">
        <v>79</v>
      </c>
      <c r="O462" s="39">
        <v>1</v>
      </c>
      <c r="P462" s="39"/>
      <c r="Q462" s="39"/>
      <c r="R462" s="40" t="s">
        <v>80</v>
      </c>
      <c r="S462" s="41"/>
      <c r="T462" s="41"/>
      <c r="U462" s="41"/>
      <c r="V462" s="41"/>
      <c r="W462" s="41"/>
      <c r="X462" s="42" t="str">
        <f t="shared" si="252"/>
        <v>НПИмд</v>
      </c>
      <c r="Y462" s="43" t="s">
        <v>87</v>
      </c>
      <c r="Z462" s="39">
        <v>2</v>
      </c>
      <c r="AA462" s="39">
        <v>1</v>
      </c>
      <c r="AB462" s="42">
        <f t="shared" si="253"/>
        <v>13</v>
      </c>
      <c r="AC462" s="122">
        <v>10</v>
      </c>
      <c r="AD462" s="122">
        <v>3</v>
      </c>
      <c r="AE462" s="44">
        <f t="shared" si="254"/>
        <v>13</v>
      </c>
      <c r="AF462" s="45">
        <f t="shared" si="255"/>
        <v>1</v>
      </c>
      <c r="AG462" s="45">
        <f t="shared" si="256"/>
        <v>1</v>
      </c>
      <c r="AH462" s="46" t="s">
        <v>82</v>
      </c>
      <c r="AI462" s="40" t="s">
        <v>83</v>
      </c>
      <c r="AJ462" s="40" t="s">
        <v>84</v>
      </c>
      <c r="AK462" s="59" t="s">
        <v>204</v>
      </c>
      <c r="AL462" s="40"/>
      <c r="AM462" s="48">
        <f t="shared" si="257"/>
        <v>18</v>
      </c>
      <c r="AN462" s="48">
        <f t="shared" si="258"/>
        <v>0</v>
      </c>
      <c r="AO462" s="48">
        <f t="shared" si="259"/>
        <v>0</v>
      </c>
      <c r="AP462" s="48">
        <f t="shared" si="260"/>
        <v>4.29</v>
      </c>
      <c r="AQ462" s="48">
        <f t="shared" si="261"/>
        <v>6.5</v>
      </c>
      <c r="AR462" s="48">
        <f t="shared" si="262"/>
        <v>1</v>
      </c>
      <c r="AS462" s="48">
        <f t="shared" si="263"/>
        <v>0.9</v>
      </c>
      <c r="AT462" s="48">
        <f t="shared" si="264"/>
        <v>0</v>
      </c>
      <c r="AU462" s="48">
        <f t="shared" si="265"/>
        <v>0</v>
      </c>
      <c r="AV462" s="48">
        <f t="shared" si="266"/>
        <v>0</v>
      </c>
      <c r="AW462" s="48">
        <f>IF(N462="ПП",РПП*AB462*(V462/1.5),IF(N462="ВП",ВПр*AB462*(V462/1.5),IF(N462="РПА",РПА*AB462*(V462/1.5),IF(N462="КПА",кпа*AB462*(V462/1.5),0))))</f>
        <v>0</v>
      </c>
      <c r="AX462" s="48">
        <f t="shared" si="267"/>
        <v>0</v>
      </c>
      <c r="AY462" s="48">
        <f t="shared" si="268"/>
        <v>0</v>
      </c>
      <c r="AZ462" s="48">
        <f t="shared" si="269"/>
        <v>0</v>
      </c>
      <c r="BA462" s="48">
        <f t="shared" si="270"/>
        <v>0</v>
      </c>
      <c r="BB462" s="48">
        <f t="shared" si="271"/>
        <v>0</v>
      </c>
      <c r="BC462" s="48">
        <f t="shared" si="272"/>
        <v>0</v>
      </c>
      <c r="BD462" s="48">
        <f t="shared" si="273"/>
        <v>0</v>
      </c>
      <c r="BE462" s="48">
        <f t="shared" si="274"/>
        <v>0</v>
      </c>
      <c r="BF462" s="49">
        <f t="shared" si="275"/>
        <v>30.689999999999998</v>
      </c>
      <c r="BG462" s="50"/>
      <c r="BH462" s="51">
        <f t="shared" si="276"/>
        <v>0</v>
      </c>
      <c r="BI462" s="51">
        <f t="shared" si="277"/>
        <v>0</v>
      </c>
      <c r="BJ462" s="51">
        <f t="shared" si="278"/>
        <v>0</v>
      </c>
      <c r="BK462" s="52">
        <f t="shared" si="279"/>
        <v>18</v>
      </c>
      <c r="BL462" s="52">
        <f t="shared" si="280"/>
        <v>0.5</v>
      </c>
      <c r="BM462" s="52">
        <f t="shared" si="281"/>
        <v>12.69</v>
      </c>
    </row>
    <row r="463" spans="1:65" ht="30" customHeight="1" x14ac:dyDescent="0.25">
      <c r="A463" s="31" t="str">
        <f t="shared" si="247"/>
        <v>Д</v>
      </c>
      <c r="B463" s="31" t="str">
        <f t="shared" si="248"/>
        <v>М</v>
      </c>
      <c r="C463" s="32" t="s">
        <v>241</v>
      </c>
      <c r="D463" s="33" t="str">
        <f t="shared" si="249"/>
        <v>Факультет физико-математических и естественных наук</v>
      </c>
      <c r="E463" s="34" t="str">
        <f t="shared" si="250"/>
        <v>'09.04.03</v>
      </c>
      <c r="F463" s="35" t="str">
        <f t="shared" si="251"/>
        <v>Искусственный интеллект и анализ данных</v>
      </c>
      <c r="G463" s="36" t="s">
        <v>76</v>
      </c>
      <c r="H463" s="36" t="s">
        <v>135</v>
      </c>
      <c r="I463" s="37"/>
      <c r="J463" s="37" t="s">
        <v>154</v>
      </c>
      <c r="K463" s="38" t="s">
        <v>254</v>
      </c>
      <c r="L463" s="39">
        <v>2</v>
      </c>
      <c r="M463" s="39">
        <v>18</v>
      </c>
      <c r="N463" s="40" t="s">
        <v>86</v>
      </c>
      <c r="O463" s="39"/>
      <c r="P463" s="39"/>
      <c r="Q463" s="39">
        <v>2</v>
      </c>
      <c r="R463" s="40"/>
      <c r="S463" s="41"/>
      <c r="T463" s="41"/>
      <c r="U463" s="41"/>
      <c r="V463" s="41"/>
      <c r="W463" s="41"/>
      <c r="X463" s="42" t="str">
        <f t="shared" si="252"/>
        <v>НПИмд</v>
      </c>
      <c r="Y463" s="43" t="s">
        <v>87</v>
      </c>
      <c r="Z463" s="39">
        <v>2</v>
      </c>
      <c r="AA463" s="39">
        <v>1</v>
      </c>
      <c r="AB463" s="42">
        <f t="shared" si="253"/>
        <v>13</v>
      </c>
      <c r="AC463" s="122">
        <v>10</v>
      </c>
      <c r="AD463" s="122">
        <v>3</v>
      </c>
      <c r="AE463" s="44">
        <f t="shared" si="254"/>
        <v>12</v>
      </c>
      <c r="AF463" s="45">
        <f t="shared" si="255"/>
        <v>1</v>
      </c>
      <c r="AG463" s="45">
        <f t="shared" si="256"/>
        <v>1.0833333333333333</v>
      </c>
      <c r="AH463" s="46" t="s">
        <v>82</v>
      </c>
      <c r="AI463" s="40" t="s">
        <v>83</v>
      </c>
      <c r="AJ463" s="40" t="s">
        <v>84</v>
      </c>
      <c r="AK463" s="59" t="s">
        <v>204</v>
      </c>
      <c r="AL463" s="40"/>
      <c r="AM463" s="48">
        <f t="shared" si="257"/>
        <v>0</v>
      </c>
      <c r="AN463" s="48">
        <f t="shared" si="258"/>
        <v>36</v>
      </c>
      <c r="AO463" s="48">
        <f t="shared" si="259"/>
        <v>0</v>
      </c>
      <c r="AP463" s="48">
        <f t="shared" si="260"/>
        <v>0</v>
      </c>
      <c r="AQ463" s="48">
        <f t="shared" si="261"/>
        <v>0</v>
      </c>
      <c r="AR463" s="48">
        <f t="shared" si="262"/>
        <v>0</v>
      </c>
      <c r="AS463" s="48">
        <f t="shared" si="263"/>
        <v>0</v>
      </c>
      <c r="AT463" s="48">
        <f t="shared" si="264"/>
        <v>0</v>
      </c>
      <c r="AU463" s="48">
        <f t="shared" si="265"/>
        <v>0</v>
      </c>
      <c r="AV463" s="48">
        <f t="shared" si="266"/>
        <v>0</v>
      </c>
      <c r="AW463" s="48">
        <f>IF(N463="ПП",РПП*AB463*(V463/1.5),IF(N463="ВП",ВПр*AB463*(V463/1.5),IF(N463="РПА",РПА*AB463*(V463/1.5),IF(N463="КПА",кпа*AB463*(V463/1.5),0))))</f>
        <v>0</v>
      </c>
      <c r="AX463" s="48">
        <f t="shared" si="267"/>
        <v>0</v>
      </c>
      <c r="AY463" s="48">
        <f t="shared" si="268"/>
        <v>0</v>
      </c>
      <c r="AZ463" s="48">
        <f t="shared" si="269"/>
        <v>0</v>
      </c>
      <c r="BA463" s="48">
        <f t="shared" si="270"/>
        <v>0</v>
      </c>
      <c r="BB463" s="48">
        <f t="shared" si="271"/>
        <v>0</v>
      </c>
      <c r="BC463" s="48">
        <f t="shared" si="272"/>
        <v>0</v>
      </c>
      <c r="BD463" s="48">
        <f t="shared" si="273"/>
        <v>0</v>
      </c>
      <c r="BE463" s="48">
        <f t="shared" si="274"/>
        <v>0</v>
      </c>
      <c r="BF463" s="49">
        <f t="shared" si="275"/>
        <v>36</v>
      </c>
      <c r="BG463" s="50"/>
      <c r="BH463" s="51">
        <f t="shared" si="276"/>
        <v>0</v>
      </c>
      <c r="BI463" s="51">
        <f t="shared" si="277"/>
        <v>0</v>
      </c>
      <c r="BJ463" s="51">
        <f t="shared" si="278"/>
        <v>0</v>
      </c>
      <c r="BK463" s="52">
        <f t="shared" si="279"/>
        <v>36</v>
      </c>
      <c r="BL463" s="52">
        <f t="shared" si="280"/>
        <v>1</v>
      </c>
      <c r="BM463" s="52">
        <f t="shared" si="281"/>
        <v>0</v>
      </c>
    </row>
    <row r="464" spans="1:65" ht="30" customHeight="1" x14ac:dyDescent="0.25">
      <c r="A464" s="31" t="str">
        <f t="shared" si="247"/>
        <v>Д</v>
      </c>
      <c r="B464" s="31" t="str">
        <f t="shared" si="248"/>
        <v>М</v>
      </c>
      <c r="C464" s="32" t="s">
        <v>241</v>
      </c>
      <c r="D464" s="33" t="str">
        <f t="shared" si="249"/>
        <v>Факультет физико-математических и естественных наук</v>
      </c>
      <c r="E464" s="34" t="str">
        <f t="shared" si="250"/>
        <v>'09.04.03</v>
      </c>
      <c r="F464" s="35" t="str">
        <f t="shared" si="251"/>
        <v>Искусственный интеллект и анализ данных</v>
      </c>
      <c r="G464" s="36" t="s">
        <v>76</v>
      </c>
      <c r="H464" s="36" t="s">
        <v>135</v>
      </c>
      <c r="I464" s="37"/>
      <c r="J464" s="37" t="s">
        <v>154</v>
      </c>
      <c r="K464" s="38" t="s">
        <v>255</v>
      </c>
      <c r="L464" s="39">
        <v>2</v>
      </c>
      <c r="M464" s="39">
        <v>18</v>
      </c>
      <c r="N464" s="40" t="s">
        <v>79</v>
      </c>
      <c r="O464" s="39">
        <v>1</v>
      </c>
      <c r="P464" s="39"/>
      <c r="Q464" s="39"/>
      <c r="R464" s="40" t="s">
        <v>80</v>
      </c>
      <c r="S464" s="41"/>
      <c r="T464" s="41"/>
      <c r="U464" s="41"/>
      <c r="V464" s="41"/>
      <c r="W464" s="41"/>
      <c r="X464" s="42" t="str">
        <f t="shared" si="252"/>
        <v>НПИмд</v>
      </c>
      <c r="Y464" s="43" t="s">
        <v>87</v>
      </c>
      <c r="Z464" s="39">
        <v>2</v>
      </c>
      <c r="AA464" s="39">
        <v>1</v>
      </c>
      <c r="AB464" s="42">
        <f t="shared" si="253"/>
        <v>13</v>
      </c>
      <c r="AC464" s="122">
        <v>10</v>
      </c>
      <c r="AD464" s="122">
        <v>3</v>
      </c>
      <c r="AE464" s="44">
        <f t="shared" si="254"/>
        <v>13</v>
      </c>
      <c r="AF464" s="45">
        <f t="shared" si="255"/>
        <v>1</v>
      </c>
      <c r="AG464" s="45">
        <f t="shared" si="256"/>
        <v>1</v>
      </c>
      <c r="AH464" s="46" t="s">
        <v>82</v>
      </c>
      <c r="AI464" s="40" t="s">
        <v>83</v>
      </c>
      <c r="AJ464" s="40" t="s">
        <v>84</v>
      </c>
      <c r="AK464" s="59" t="s">
        <v>122</v>
      </c>
      <c r="AL464" s="40"/>
      <c r="AM464" s="48">
        <f t="shared" si="257"/>
        <v>18</v>
      </c>
      <c r="AN464" s="48">
        <f t="shared" si="258"/>
        <v>0</v>
      </c>
      <c r="AO464" s="48">
        <f t="shared" si="259"/>
        <v>0</v>
      </c>
      <c r="AP464" s="48">
        <f t="shared" si="260"/>
        <v>4.29</v>
      </c>
      <c r="AQ464" s="48">
        <f t="shared" si="261"/>
        <v>6.5</v>
      </c>
      <c r="AR464" s="48">
        <f t="shared" si="262"/>
        <v>1</v>
      </c>
      <c r="AS464" s="48">
        <f t="shared" si="263"/>
        <v>0.9</v>
      </c>
      <c r="AT464" s="48">
        <f t="shared" si="264"/>
        <v>0</v>
      </c>
      <c r="AU464" s="48">
        <f t="shared" si="265"/>
        <v>0</v>
      </c>
      <c r="AV464" s="48">
        <f t="shared" si="266"/>
        <v>0</v>
      </c>
      <c r="AW464" s="48">
        <f>IF(N464="ПП",РПП*AB464*(V464/1.5),IF(N464="ВП",ВПр*AB464*(V464/1.5),IF(N464="РПА",РПА*AB464*(V464/1.5),IF(N464="КПА",кпа*AB464*(V464/1.5),0))))</f>
        <v>0</v>
      </c>
      <c r="AX464" s="48">
        <f t="shared" si="267"/>
        <v>0</v>
      </c>
      <c r="AY464" s="48">
        <f t="shared" si="268"/>
        <v>0</v>
      </c>
      <c r="AZ464" s="48">
        <f t="shared" si="269"/>
        <v>0</v>
      </c>
      <c r="BA464" s="48">
        <f t="shared" si="270"/>
        <v>0</v>
      </c>
      <c r="BB464" s="48">
        <f t="shared" si="271"/>
        <v>0</v>
      </c>
      <c r="BC464" s="48">
        <f t="shared" si="272"/>
        <v>0</v>
      </c>
      <c r="BD464" s="48">
        <f t="shared" si="273"/>
        <v>0</v>
      </c>
      <c r="BE464" s="48">
        <f t="shared" si="274"/>
        <v>0</v>
      </c>
      <c r="BF464" s="49">
        <f t="shared" si="275"/>
        <v>30.689999999999998</v>
      </c>
      <c r="BG464" s="50"/>
      <c r="BH464" s="51">
        <f t="shared" si="276"/>
        <v>0</v>
      </c>
      <c r="BI464" s="51">
        <f t="shared" si="277"/>
        <v>0</v>
      </c>
      <c r="BJ464" s="51">
        <f t="shared" si="278"/>
        <v>0</v>
      </c>
      <c r="BK464" s="52">
        <f t="shared" si="279"/>
        <v>18</v>
      </c>
      <c r="BL464" s="52">
        <f t="shared" si="280"/>
        <v>0.5</v>
      </c>
      <c r="BM464" s="52">
        <f t="shared" si="281"/>
        <v>12.69</v>
      </c>
    </row>
    <row r="465" spans="1:65" ht="30" customHeight="1" x14ac:dyDescent="0.25">
      <c r="A465" s="31" t="str">
        <f t="shared" si="247"/>
        <v>Д</v>
      </c>
      <c r="B465" s="31" t="str">
        <f t="shared" si="248"/>
        <v>М</v>
      </c>
      <c r="C465" s="32" t="s">
        <v>241</v>
      </c>
      <c r="D465" s="33" t="str">
        <f t="shared" si="249"/>
        <v>Факультет физико-математических и естественных наук</v>
      </c>
      <c r="E465" s="34" t="str">
        <f t="shared" si="250"/>
        <v>'09.04.03</v>
      </c>
      <c r="F465" s="35" t="str">
        <f t="shared" si="251"/>
        <v>Искусственный интеллект и анализ данных</v>
      </c>
      <c r="G465" s="36" t="s">
        <v>76</v>
      </c>
      <c r="H465" s="36" t="s">
        <v>135</v>
      </c>
      <c r="I465" s="37"/>
      <c r="J465" s="37" t="s">
        <v>154</v>
      </c>
      <c r="K465" s="38" t="s">
        <v>255</v>
      </c>
      <c r="L465" s="39">
        <v>2</v>
      </c>
      <c r="M465" s="39">
        <v>18</v>
      </c>
      <c r="N465" s="40" t="s">
        <v>86</v>
      </c>
      <c r="O465" s="39"/>
      <c r="P465" s="39"/>
      <c r="Q465" s="39">
        <v>2</v>
      </c>
      <c r="R465" s="40"/>
      <c r="S465" s="41"/>
      <c r="T465" s="41"/>
      <c r="U465" s="41"/>
      <c r="V465" s="41"/>
      <c r="W465" s="41"/>
      <c r="X465" s="42" t="str">
        <f t="shared" si="252"/>
        <v>НПИмд</v>
      </c>
      <c r="Y465" s="43" t="s">
        <v>87</v>
      </c>
      <c r="Z465" s="39">
        <v>2</v>
      </c>
      <c r="AA465" s="39">
        <v>1</v>
      </c>
      <c r="AB465" s="42">
        <f t="shared" si="253"/>
        <v>13</v>
      </c>
      <c r="AC465" s="122">
        <v>10</v>
      </c>
      <c r="AD465" s="122">
        <v>3</v>
      </c>
      <c r="AE465" s="44">
        <f t="shared" si="254"/>
        <v>12</v>
      </c>
      <c r="AF465" s="45">
        <f t="shared" si="255"/>
        <v>1</v>
      </c>
      <c r="AG465" s="45">
        <f t="shared" si="256"/>
        <v>1.0833333333333333</v>
      </c>
      <c r="AH465" s="46" t="s">
        <v>82</v>
      </c>
      <c r="AI465" s="40" t="s">
        <v>83</v>
      </c>
      <c r="AJ465" s="40" t="s">
        <v>84</v>
      </c>
      <c r="AK465" s="59" t="s">
        <v>122</v>
      </c>
      <c r="AL465" s="40"/>
      <c r="AM465" s="48">
        <f t="shared" si="257"/>
        <v>0</v>
      </c>
      <c r="AN465" s="48">
        <f t="shared" si="258"/>
        <v>36</v>
      </c>
      <c r="AO465" s="48">
        <f t="shared" si="259"/>
        <v>0</v>
      </c>
      <c r="AP465" s="48">
        <f t="shared" si="260"/>
        <v>0</v>
      </c>
      <c r="AQ465" s="48">
        <f t="shared" si="261"/>
        <v>0</v>
      </c>
      <c r="AR465" s="48">
        <f t="shared" si="262"/>
        <v>0</v>
      </c>
      <c r="AS465" s="48">
        <f t="shared" si="263"/>
        <v>0</v>
      </c>
      <c r="AT465" s="48">
        <f t="shared" si="264"/>
        <v>0</v>
      </c>
      <c r="AU465" s="48">
        <f t="shared" si="265"/>
        <v>0</v>
      </c>
      <c r="AV465" s="48">
        <f t="shared" si="266"/>
        <v>0</v>
      </c>
      <c r="AW465" s="48">
        <f>IF(N465="ПП",РПП*AB465*(V465/1.5),IF(N465="ВП",ВПр*AB465*(V465/1.5),IF(N465="РПА",РПА*AB465*(V465/1.5),IF(N465="КПА",кпа*AB465*(V465/1.5),0))))</f>
        <v>0</v>
      </c>
      <c r="AX465" s="48">
        <f t="shared" si="267"/>
        <v>0</v>
      </c>
      <c r="AY465" s="48">
        <f t="shared" si="268"/>
        <v>0</v>
      </c>
      <c r="AZ465" s="48">
        <f t="shared" si="269"/>
        <v>0</v>
      </c>
      <c r="BA465" s="48">
        <f t="shared" si="270"/>
        <v>0</v>
      </c>
      <c r="BB465" s="48">
        <f t="shared" si="271"/>
        <v>0</v>
      </c>
      <c r="BC465" s="48">
        <f t="shared" si="272"/>
        <v>0</v>
      </c>
      <c r="BD465" s="48">
        <f t="shared" si="273"/>
        <v>0</v>
      </c>
      <c r="BE465" s="48">
        <f t="shared" si="274"/>
        <v>0</v>
      </c>
      <c r="BF465" s="49">
        <f t="shared" si="275"/>
        <v>36</v>
      </c>
      <c r="BG465" s="50"/>
      <c r="BH465" s="51">
        <f t="shared" si="276"/>
        <v>0</v>
      </c>
      <c r="BI465" s="51">
        <f t="shared" si="277"/>
        <v>0</v>
      </c>
      <c r="BJ465" s="51">
        <f t="shared" si="278"/>
        <v>0</v>
      </c>
      <c r="BK465" s="52">
        <f t="shared" si="279"/>
        <v>36</v>
      </c>
      <c r="BL465" s="52">
        <f t="shared" si="280"/>
        <v>1</v>
      </c>
      <c r="BM465" s="52">
        <f t="shared" si="281"/>
        <v>0</v>
      </c>
    </row>
    <row r="466" spans="1:65" ht="30" customHeight="1" x14ac:dyDescent="0.25">
      <c r="A466" s="31" t="str">
        <f t="shared" si="247"/>
        <v>Д</v>
      </c>
      <c r="B466" s="31" t="str">
        <f t="shared" si="248"/>
        <v>М</v>
      </c>
      <c r="C466" s="32" t="s">
        <v>241</v>
      </c>
      <c r="D466" s="33" t="str">
        <f t="shared" si="249"/>
        <v>Факультет физико-математических и естественных наук</v>
      </c>
      <c r="E466" s="34" t="str">
        <f t="shared" si="250"/>
        <v>'09.04.03</v>
      </c>
      <c r="F466" s="35" t="str">
        <f t="shared" si="251"/>
        <v>Искусственный интеллект и анализ данных</v>
      </c>
      <c r="G466" s="36" t="s">
        <v>153</v>
      </c>
      <c r="H466" s="36" t="s">
        <v>77</v>
      </c>
      <c r="I466" s="37"/>
      <c r="J466" s="37"/>
      <c r="K466" s="38" t="s">
        <v>256</v>
      </c>
      <c r="L466" s="39">
        <v>2</v>
      </c>
      <c r="M466" s="39">
        <v>18</v>
      </c>
      <c r="N466" s="40" t="s">
        <v>156</v>
      </c>
      <c r="O466" s="39"/>
      <c r="P466" s="39"/>
      <c r="Q466" s="39"/>
      <c r="R466" s="40"/>
      <c r="S466" s="41"/>
      <c r="T466" s="41"/>
      <c r="U466" s="41">
        <v>3</v>
      </c>
      <c r="V466" s="41"/>
      <c r="W466" s="41"/>
      <c r="X466" s="42" t="str">
        <f t="shared" si="252"/>
        <v>НПИмд</v>
      </c>
      <c r="Y466" s="43" t="s">
        <v>87</v>
      </c>
      <c r="Z466" s="39">
        <v>1</v>
      </c>
      <c r="AA466" s="39">
        <v>1</v>
      </c>
      <c r="AB466" s="42">
        <f t="shared" si="253"/>
        <v>25</v>
      </c>
      <c r="AC466" s="39">
        <v>19</v>
      </c>
      <c r="AD466" s="39">
        <v>6</v>
      </c>
      <c r="AE466" s="44">
        <f t="shared" si="254"/>
        <v>1</v>
      </c>
      <c r="AF466" s="45">
        <f t="shared" si="255"/>
        <v>1</v>
      </c>
      <c r="AG466" s="45">
        <f t="shared" si="256"/>
        <v>25</v>
      </c>
      <c r="AH466" s="46" t="s">
        <v>82</v>
      </c>
      <c r="AI466" s="40" t="s">
        <v>99</v>
      </c>
      <c r="AJ466" s="40" t="s">
        <v>100</v>
      </c>
      <c r="AK466" s="47" t="s">
        <v>101</v>
      </c>
      <c r="AL466" s="40"/>
      <c r="AM466" s="48">
        <f t="shared" si="257"/>
        <v>0</v>
      </c>
      <c r="AN466" s="48">
        <f t="shared" si="258"/>
        <v>0</v>
      </c>
      <c r="AO466" s="48">
        <f t="shared" si="259"/>
        <v>0</v>
      </c>
      <c r="AP466" s="48">
        <f t="shared" si="260"/>
        <v>0</v>
      </c>
      <c r="AQ466" s="48">
        <f t="shared" si="261"/>
        <v>0</v>
      </c>
      <c r="AR466" s="48">
        <f t="shared" si="262"/>
        <v>0</v>
      </c>
      <c r="AS466" s="48">
        <f t="shared" si="263"/>
        <v>0</v>
      </c>
      <c r="AT466" s="48">
        <f t="shared" si="264"/>
        <v>0</v>
      </c>
      <c r="AU466" s="48">
        <f t="shared" si="265"/>
        <v>0</v>
      </c>
      <c r="AV466" s="48">
        <f t="shared" si="266"/>
        <v>75</v>
      </c>
      <c r="AW466" s="48">
        <f>IF(N466="ПП",РПП*AB466*(V466/1.5),IF(N466="ВП",ВПр*AB466*(V466/1.5),IF(N466="РПА",РПА*AB466*(V466/1.5),IF(N466="КПА",кпа*AB466*(V466/1.5),0))))</f>
        <v>0</v>
      </c>
      <c r="AX466" s="48">
        <f t="shared" si="267"/>
        <v>0</v>
      </c>
      <c r="AY466" s="48">
        <f t="shared" si="268"/>
        <v>0</v>
      </c>
      <c r="AZ466" s="48">
        <f t="shared" si="269"/>
        <v>0</v>
      </c>
      <c r="BA466" s="48">
        <f t="shared" si="270"/>
        <v>0</v>
      </c>
      <c r="BB466" s="48">
        <f t="shared" si="271"/>
        <v>0</v>
      </c>
      <c r="BC466" s="48">
        <f t="shared" si="272"/>
        <v>0</v>
      </c>
      <c r="BD466" s="48">
        <f t="shared" si="273"/>
        <v>0</v>
      </c>
      <c r="BE466" s="48">
        <f t="shared" si="274"/>
        <v>0</v>
      </c>
      <c r="BF466" s="49">
        <f t="shared" si="275"/>
        <v>75</v>
      </c>
      <c r="BG466" s="50"/>
      <c r="BH466" s="51">
        <f t="shared" si="276"/>
        <v>0</v>
      </c>
      <c r="BI466" s="51">
        <f t="shared" si="277"/>
        <v>0</v>
      </c>
      <c r="BJ466" s="51">
        <f t="shared" si="278"/>
        <v>0</v>
      </c>
      <c r="BK466" s="52">
        <f t="shared" si="279"/>
        <v>0</v>
      </c>
      <c r="BL466" s="52">
        <f t="shared" si="280"/>
        <v>0</v>
      </c>
      <c r="BM466" s="52">
        <f t="shared" si="281"/>
        <v>75</v>
      </c>
    </row>
    <row r="467" spans="1:65" ht="30" customHeight="1" x14ac:dyDescent="0.25">
      <c r="A467" s="31" t="str">
        <f t="shared" si="247"/>
        <v>Д</v>
      </c>
      <c r="B467" s="31" t="str">
        <f t="shared" si="248"/>
        <v>М</v>
      </c>
      <c r="C467" s="32" t="s">
        <v>241</v>
      </c>
      <c r="D467" s="33" t="str">
        <f t="shared" si="249"/>
        <v>Факультет физико-математических и естественных наук</v>
      </c>
      <c r="E467" s="34" t="str">
        <f t="shared" si="250"/>
        <v>'09.04.03</v>
      </c>
      <c r="F467" s="35" t="str">
        <f t="shared" si="251"/>
        <v>Искусственный интеллект и анализ данных</v>
      </c>
      <c r="G467" s="36" t="s">
        <v>76</v>
      </c>
      <c r="H467" s="36" t="s">
        <v>183</v>
      </c>
      <c r="I467" s="37"/>
      <c r="J467" s="37"/>
      <c r="K467" s="38" t="s">
        <v>257</v>
      </c>
      <c r="L467" s="39">
        <v>3</v>
      </c>
      <c r="M467" s="39">
        <v>18</v>
      </c>
      <c r="N467" s="40" t="s">
        <v>79</v>
      </c>
      <c r="O467" s="39">
        <v>1</v>
      </c>
      <c r="P467" s="39"/>
      <c r="Q467" s="39"/>
      <c r="R467" s="40"/>
      <c r="S467" s="41"/>
      <c r="T467" s="41"/>
      <c r="U467" s="41"/>
      <c r="V467" s="41"/>
      <c r="W467" s="41"/>
      <c r="X467" s="42" t="str">
        <f t="shared" si="252"/>
        <v>НПИмд</v>
      </c>
      <c r="Y467" s="43" t="s">
        <v>107</v>
      </c>
      <c r="Z467" s="39">
        <v>1</v>
      </c>
      <c r="AA467" s="39">
        <v>1</v>
      </c>
      <c r="AB467" s="42">
        <f t="shared" si="253"/>
        <v>16</v>
      </c>
      <c r="AC467" s="39">
        <v>7</v>
      </c>
      <c r="AD467" s="39">
        <v>9</v>
      </c>
      <c r="AE467" s="44">
        <f t="shared" si="254"/>
        <v>16</v>
      </c>
      <c r="AF467" s="45">
        <f t="shared" si="255"/>
        <v>1</v>
      </c>
      <c r="AG467" s="45">
        <f t="shared" si="256"/>
        <v>1</v>
      </c>
      <c r="AH467" s="46" t="s">
        <v>82</v>
      </c>
      <c r="AI467" s="40" t="s">
        <v>83</v>
      </c>
      <c r="AJ467" s="40" t="s">
        <v>84</v>
      </c>
      <c r="AK467" s="47" t="s">
        <v>200</v>
      </c>
      <c r="AL467" s="40"/>
      <c r="AM467" s="48">
        <f t="shared" si="257"/>
        <v>18</v>
      </c>
      <c r="AN467" s="48">
        <f t="shared" si="258"/>
        <v>0</v>
      </c>
      <c r="AO467" s="48">
        <f t="shared" si="259"/>
        <v>0</v>
      </c>
      <c r="AP467" s="48">
        <f t="shared" si="260"/>
        <v>0</v>
      </c>
      <c r="AQ467" s="48">
        <f t="shared" si="261"/>
        <v>0</v>
      </c>
      <c r="AR467" s="48">
        <f t="shared" si="262"/>
        <v>0</v>
      </c>
      <c r="AS467" s="48">
        <f t="shared" si="263"/>
        <v>0.9</v>
      </c>
      <c r="AT467" s="48">
        <f t="shared" si="264"/>
        <v>0</v>
      </c>
      <c r="AU467" s="48">
        <f t="shared" si="265"/>
        <v>0</v>
      </c>
      <c r="AV467" s="48">
        <f t="shared" si="266"/>
        <v>0</v>
      </c>
      <c r="AW467" s="48">
        <f>IF(N467="ПП",РПП*AB467*(V467/1.5),IF(N467="ВП",ВПр*AB467*(V467/1.5),IF(N467="РПА",РПА*AB467*(V467/1.5),IF(N467="КПА",кпа*AB467*(V467/1.5),0))))</f>
        <v>0</v>
      </c>
      <c r="AX467" s="48">
        <f t="shared" si="267"/>
        <v>0</v>
      </c>
      <c r="AY467" s="48">
        <f t="shared" si="268"/>
        <v>0</v>
      </c>
      <c r="AZ467" s="48">
        <f t="shared" si="269"/>
        <v>0</v>
      </c>
      <c r="BA467" s="48">
        <f t="shared" si="270"/>
        <v>0</v>
      </c>
      <c r="BB467" s="48">
        <f t="shared" si="271"/>
        <v>0</v>
      </c>
      <c r="BC467" s="48">
        <f t="shared" si="272"/>
        <v>0</v>
      </c>
      <c r="BD467" s="48">
        <f t="shared" si="273"/>
        <v>0</v>
      </c>
      <c r="BE467" s="48">
        <f t="shared" si="274"/>
        <v>0</v>
      </c>
      <c r="BF467" s="49">
        <f t="shared" si="275"/>
        <v>18.899999999999999</v>
      </c>
      <c r="BG467" s="50"/>
      <c r="BH467" s="51">
        <f t="shared" si="276"/>
        <v>18</v>
      </c>
      <c r="BI467" s="51">
        <f t="shared" si="277"/>
        <v>0.5</v>
      </c>
      <c r="BJ467" s="51">
        <f t="shared" si="278"/>
        <v>0.9</v>
      </c>
      <c r="BK467" s="52">
        <f t="shared" si="279"/>
        <v>0</v>
      </c>
      <c r="BL467" s="52">
        <f t="shared" si="280"/>
        <v>0</v>
      </c>
      <c r="BM467" s="52">
        <f t="shared" si="281"/>
        <v>0</v>
      </c>
    </row>
    <row r="468" spans="1:65" ht="30" customHeight="1" x14ac:dyDescent="0.25">
      <c r="A468" s="31" t="str">
        <f t="shared" si="247"/>
        <v>Д</v>
      </c>
      <c r="B468" s="31" t="str">
        <f t="shared" si="248"/>
        <v>М</v>
      </c>
      <c r="C468" s="32" t="s">
        <v>241</v>
      </c>
      <c r="D468" s="33" t="str">
        <f t="shared" si="249"/>
        <v>Факультет физико-математических и естественных наук</v>
      </c>
      <c r="E468" s="34" t="str">
        <f t="shared" si="250"/>
        <v>'09.04.03</v>
      </c>
      <c r="F468" s="35" t="str">
        <f t="shared" si="251"/>
        <v>Искусственный интеллект и анализ данных</v>
      </c>
      <c r="G468" s="36" t="s">
        <v>76</v>
      </c>
      <c r="H468" s="36" t="s">
        <v>183</v>
      </c>
      <c r="I468" s="37"/>
      <c r="J468" s="37"/>
      <c r="K468" s="38" t="s">
        <v>257</v>
      </c>
      <c r="L468" s="39">
        <v>3</v>
      </c>
      <c r="M468" s="39">
        <v>18</v>
      </c>
      <c r="N468" s="40" t="s">
        <v>94</v>
      </c>
      <c r="O468" s="39"/>
      <c r="P468" s="39">
        <v>1</v>
      </c>
      <c r="Q468" s="39"/>
      <c r="R468" s="40" t="s">
        <v>95</v>
      </c>
      <c r="S468" s="41"/>
      <c r="T468" s="41"/>
      <c r="U468" s="41"/>
      <c r="V468" s="41"/>
      <c r="W468" s="41"/>
      <c r="X468" s="42" t="str">
        <f t="shared" si="252"/>
        <v>НПИмд</v>
      </c>
      <c r="Y468" s="43" t="s">
        <v>107</v>
      </c>
      <c r="Z468" s="39">
        <v>1</v>
      </c>
      <c r="AA468" s="39">
        <v>1</v>
      </c>
      <c r="AB468" s="42">
        <f t="shared" si="253"/>
        <v>16</v>
      </c>
      <c r="AC468" s="39">
        <v>7</v>
      </c>
      <c r="AD468" s="39">
        <v>9</v>
      </c>
      <c r="AE468" s="44">
        <f t="shared" si="254"/>
        <v>12</v>
      </c>
      <c r="AF468" s="45">
        <f t="shared" si="255"/>
        <v>1</v>
      </c>
      <c r="AG468" s="45">
        <f t="shared" si="256"/>
        <v>1.3333333333333333</v>
      </c>
      <c r="AH468" s="46" t="s">
        <v>82</v>
      </c>
      <c r="AI468" s="40" t="s">
        <v>83</v>
      </c>
      <c r="AJ468" s="40" t="s">
        <v>84</v>
      </c>
      <c r="AK468" s="47" t="s">
        <v>200</v>
      </c>
      <c r="AL468" s="40"/>
      <c r="AM468" s="48">
        <f t="shared" si="257"/>
        <v>0</v>
      </c>
      <c r="AN468" s="48">
        <f t="shared" si="258"/>
        <v>0</v>
      </c>
      <c r="AO468" s="48">
        <f t="shared" si="259"/>
        <v>18</v>
      </c>
      <c r="AP468" s="48">
        <f t="shared" si="260"/>
        <v>5.28</v>
      </c>
      <c r="AQ468" s="48">
        <f t="shared" si="261"/>
        <v>8</v>
      </c>
      <c r="AR468" s="48">
        <f t="shared" si="262"/>
        <v>1</v>
      </c>
      <c r="AS468" s="48">
        <f t="shared" si="263"/>
        <v>0</v>
      </c>
      <c r="AT468" s="48">
        <f t="shared" si="264"/>
        <v>0</v>
      </c>
      <c r="AU468" s="48">
        <f t="shared" si="265"/>
        <v>0</v>
      </c>
      <c r="AV468" s="48">
        <f t="shared" si="266"/>
        <v>0</v>
      </c>
      <c r="AW468" s="48">
        <f>IF(N468="ПП",РПП*AB468*(V468/1.5),IF(N468="ВП",ВПр*AB468*(V468/1.5),IF(N468="РПА",РПА*AB468*(V468/1.5),IF(N468="КПА",кпа*AB468*(V468/1.5),0))))</f>
        <v>0</v>
      </c>
      <c r="AX468" s="48">
        <f t="shared" si="267"/>
        <v>0</v>
      </c>
      <c r="AY468" s="48">
        <f t="shared" si="268"/>
        <v>0</v>
      </c>
      <c r="AZ468" s="48">
        <f t="shared" si="269"/>
        <v>0</v>
      </c>
      <c r="BA468" s="48">
        <f t="shared" si="270"/>
        <v>0</v>
      </c>
      <c r="BB468" s="48">
        <f t="shared" si="271"/>
        <v>0</v>
      </c>
      <c r="BC468" s="48">
        <f t="shared" si="272"/>
        <v>0</v>
      </c>
      <c r="BD468" s="48">
        <f t="shared" si="273"/>
        <v>0</v>
      </c>
      <c r="BE468" s="48">
        <f t="shared" si="274"/>
        <v>0</v>
      </c>
      <c r="BF468" s="49">
        <f t="shared" si="275"/>
        <v>32.28</v>
      </c>
      <c r="BG468" s="50"/>
      <c r="BH468" s="51">
        <f t="shared" si="276"/>
        <v>18</v>
      </c>
      <c r="BI468" s="51">
        <f t="shared" si="277"/>
        <v>0.5</v>
      </c>
      <c r="BJ468" s="51">
        <f t="shared" si="278"/>
        <v>14.280000000000001</v>
      </c>
      <c r="BK468" s="52">
        <f t="shared" si="279"/>
        <v>0</v>
      </c>
      <c r="BL468" s="52">
        <f t="shared" si="280"/>
        <v>0</v>
      </c>
      <c r="BM468" s="52">
        <f t="shared" si="281"/>
        <v>0</v>
      </c>
    </row>
    <row r="469" spans="1:65" ht="30" customHeight="1" x14ac:dyDescent="0.25">
      <c r="A469" s="31" t="str">
        <f t="shared" si="247"/>
        <v>Д</v>
      </c>
      <c r="B469" s="31" t="str">
        <f t="shared" si="248"/>
        <v>М</v>
      </c>
      <c r="C469" s="32" t="s">
        <v>241</v>
      </c>
      <c r="D469" s="33" t="str">
        <f t="shared" si="249"/>
        <v>Факультет физико-математических и естественных наук</v>
      </c>
      <c r="E469" s="34" t="str">
        <f t="shared" si="250"/>
        <v>'09.04.03</v>
      </c>
      <c r="F469" s="35" t="str">
        <f t="shared" si="251"/>
        <v>Искусственный интеллект и анализ данных</v>
      </c>
      <c r="G469" s="36" t="s">
        <v>76</v>
      </c>
      <c r="H469" s="36" t="s">
        <v>183</v>
      </c>
      <c r="I469" s="37"/>
      <c r="J469" s="37"/>
      <c r="K469" s="38" t="s">
        <v>258</v>
      </c>
      <c r="L469" s="39">
        <v>3</v>
      </c>
      <c r="M469" s="39">
        <v>18</v>
      </c>
      <c r="N469" s="40" t="s">
        <v>79</v>
      </c>
      <c r="O469" s="39">
        <v>1</v>
      </c>
      <c r="P469" s="39"/>
      <c r="Q469" s="39"/>
      <c r="R469" s="40" t="s">
        <v>80</v>
      </c>
      <c r="S469" s="41"/>
      <c r="T469" s="41"/>
      <c r="U469" s="41"/>
      <c r="V469" s="41"/>
      <c r="W469" s="41"/>
      <c r="X469" s="42" t="str">
        <f t="shared" si="252"/>
        <v>НПИмд</v>
      </c>
      <c r="Y469" s="43" t="s">
        <v>107</v>
      </c>
      <c r="Z469" s="39">
        <v>1</v>
      </c>
      <c r="AA469" s="39">
        <v>1</v>
      </c>
      <c r="AB469" s="42">
        <f t="shared" si="253"/>
        <v>16</v>
      </c>
      <c r="AC469" s="39">
        <v>7</v>
      </c>
      <c r="AD469" s="39">
        <v>9</v>
      </c>
      <c r="AE469" s="44">
        <f t="shared" si="254"/>
        <v>16</v>
      </c>
      <c r="AF469" s="45">
        <f t="shared" si="255"/>
        <v>1</v>
      </c>
      <c r="AG469" s="45">
        <f t="shared" si="256"/>
        <v>1</v>
      </c>
      <c r="AH469" s="46" t="s">
        <v>82</v>
      </c>
      <c r="AI469" s="40" t="s">
        <v>83</v>
      </c>
      <c r="AJ469" s="40" t="s">
        <v>84</v>
      </c>
      <c r="AK469" s="59" t="s">
        <v>144</v>
      </c>
      <c r="AL469" s="40"/>
      <c r="AM469" s="48">
        <f t="shared" si="257"/>
        <v>18</v>
      </c>
      <c r="AN469" s="48">
        <f t="shared" si="258"/>
        <v>0</v>
      </c>
      <c r="AO469" s="48">
        <f t="shared" si="259"/>
        <v>0</v>
      </c>
      <c r="AP469" s="48">
        <f t="shared" si="260"/>
        <v>5.28</v>
      </c>
      <c r="AQ469" s="48">
        <f t="shared" si="261"/>
        <v>8</v>
      </c>
      <c r="AR469" s="48">
        <f t="shared" si="262"/>
        <v>1</v>
      </c>
      <c r="AS469" s="48">
        <f t="shared" si="263"/>
        <v>0.9</v>
      </c>
      <c r="AT469" s="48">
        <f t="shared" si="264"/>
        <v>0</v>
      </c>
      <c r="AU469" s="48">
        <f t="shared" si="265"/>
        <v>0</v>
      </c>
      <c r="AV469" s="48">
        <f t="shared" si="266"/>
        <v>0</v>
      </c>
      <c r="AW469" s="48">
        <f>IF(N469="ПП",РПП*AB469*(V469/1.5),IF(N469="ВП",ВПр*AB469*(V469/1.5),IF(N469="РПА",РПА*AB469*(V469/1.5),IF(N469="КПА",кпа*AB469*(V469/1.5),0))))</f>
        <v>0</v>
      </c>
      <c r="AX469" s="48">
        <f t="shared" si="267"/>
        <v>0</v>
      </c>
      <c r="AY469" s="48">
        <f t="shared" si="268"/>
        <v>0</v>
      </c>
      <c r="AZ469" s="48">
        <f t="shared" si="269"/>
        <v>0</v>
      </c>
      <c r="BA469" s="48">
        <f t="shared" si="270"/>
        <v>0</v>
      </c>
      <c r="BB469" s="48">
        <f t="shared" si="271"/>
        <v>0</v>
      </c>
      <c r="BC469" s="48">
        <f t="shared" si="272"/>
        <v>0</v>
      </c>
      <c r="BD469" s="48">
        <f t="shared" si="273"/>
        <v>0</v>
      </c>
      <c r="BE469" s="48">
        <f t="shared" si="274"/>
        <v>0</v>
      </c>
      <c r="BF469" s="49">
        <f t="shared" si="275"/>
        <v>33.18</v>
      </c>
      <c r="BG469" s="50"/>
      <c r="BH469" s="51">
        <f t="shared" si="276"/>
        <v>18</v>
      </c>
      <c r="BI469" s="51">
        <f t="shared" si="277"/>
        <v>0.5</v>
      </c>
      <c r="BJ469" s="51">
        <f t="shared" si="278"/>
        <v>15.180000000000001</v>
      </c>
      <c r="BK469" s="52">
        <f t="shared" si="279"/>
        <v>0</v>
      </c>
      <c r="BL469" s="52">
        <f t="shared" si="280"/>
        <v>0</v>
      </c>
      <c r="BM469" s="52">
        <f t="shared" si="281"/>
        <v>0</v>
      </c>
    </row>
    <row r="470" spans="1:65" ht="30" customHeight="1" x14ac:dyDescent="0.25">
      <c r="A470" s="31" t="str">
        <f t="shared" si="247"/>
        <v>Д</v>
      </c>
      <c r="B470" s="31" t="str">
        <f t="shared" si="248"/>
        <v>М</v>
      </c>
      <c r="C470" s="32" t="s">
        <v>241</v>
      </c>
      <c r="D470" s="33" t="str">
        <f t="shared" si="249"/>
        <v>Факультет физико-математических и естественных наук</v>
      </c>
      <c r="E470" s="34" t="str">
        <f t="shared" si="250"/>
        <v>'09.04.03</v>
      </c>
      <c r="F470" s="35" t="str">
        <f t="shared" si="251"/>
        <v>Искусственный интеллект и анализ данных</v>
      </c>
      <c r="G470" s="36" t="s">
        <v>76</v>
      </c>
      <c r="H470" s="36" t="s">
        <v>183</v>
      </c>
      <c r="I470" s="37"/>
      <c r="J470" s="37"/>
      <c r="K470" s="38" t="s">
        <v>258</v>
      </c>
      <c r="L470" s="39">
        <v>3</v>
      </c>
      <c r="M470" s="39">
        <v>18</v>
      </c>
      <c r="N470" s="40" t="s">
        <v>86</v>
      </c>
      <c r="O470" s="39"/>
      <c r="P470" s="39"/>
      <c r="Q470" s="39">
        <v>2</v>
      </c>
      <c r="R470" s="40"/>
      <c r="S470" s="41"/>
      <c r="T470" s="41"/>
      <c r="U470" s="41"/>
      <c r="V470" s="41"/>
      <c r="W470" s="41"/>
      <c r="X470" s="42" t="str">
        <f t="shared" si="252"/>
        <v>НПИмд</v>
      </c>
      <c r="Y470" s="43" t="s">
        <v>107</v>
      </c>
      <c r="Z470" s="39">
        <v>1</v>
      </c>
      <c r="AA470" s="39">
        <v>1</v>
      </c>
      <c r="AB470" s="42">
        <f t="shared" si="253"/>
        <v>16</v>
      </c>
      <c r="AC470" s="39">
        <v>7</v>
      </c>
      <c r="AD470" s="39">
        <v>9</v>
      </c>
      <c r="AE470" s="44">
        <f t="shared" si="254"/>
        <v>12</v>
      </c>
      <c r="AF470" s="45">
        <f t="shared" si="255"/>
        <v>1</v>
      </c>
      <c r="AG470" s="45">
        <f t="shared" si="256"/>
        <v>1.3333333333333333</v>
      </c>
      <c r="AH470" s="46" t="s">
        <v>82</v>
      </c>
      <c r="AI470" s="40" t="s">
        <v>83</v>
      </c>
      <c r="AJ470" s="40" t="s">
        <v>84</v>
      </c>
      <c r="AK470" s="59" t="s">
        <v>144</v>
      </c>
      <c r="AL470" s="40"/>
      <c r="AM470" s="48">
        <f t="shared" si="257"/>
        <v>0</v>
      </c>
      <c r="AN470" s="48">
        <f t="shared" si="258"/>
        <v>36</v>
      </c>
      <c r="AO470" s="48">
        <f t="shared" si="259"/>
        <v>0</v>
      </c>
      <c r="AP470" s="48">
        <f t="shared" si="260"/>
        <v>0</v>
      </c>
      <c r="AQ470" s="48">
        <f t="shared" si="261"/>
        <v>0</v>
      </c>
      <c r="AR470" s="48">
        <f t="shared" si="262"/>
        <v>0</v>
      </c>
      <c r="AS470" s="48">
        <f t="shared" si="263"/>
        <v>0</v>
      </c>
      <c r="AT470" s="48">
        <f t="shared" si="264"/>
        <v>0</v>
      </c>
      <c r="AU470" s="48">
        <f t="shared" si="265"/>
        <v>0</v>
      </c>
      <c r="AV470" s="48">
        <f t="shared" si="266"/>
        <v>0</v>
      </c>
      <c r="AW470" s="48">
        <f>IF(N470="ПП",РПП*AB470*(V470/1.5),IF(N470="ВП",ВПр*AB470*(V470/1.5),IF(N470="РПА",РПА*AB470*(V470/1.5),IF(N470="КПА",кпа*AB470*(V470/1.5),0))))</f>
        <v>0</v>
      </c>
      <c r="AX470" s="48">
        <f t="shared" si="267"/>
        <v>0</v>
      </c>
      <c r="AY470" s="48">
        <f t="shared" si="268"/>
        <v>0</v>
      </c>
      <c r="AZ470" s="48">
        <f t="shared" si="269"/>
        <v>0</v>
      </c>
      <c r="BA470" s="48">
        <f t="shared" si="270"/>
        <v>0</v>
      </c>
      <c r="BB470" s="48">
        <f t="shared" si="271"/>
        <v>0</v>
      </c>
      <c r="BC470" s="48">
        <f t="shared" si="272"/>
        <v>0</v>
      </c>
      <c r="BD470" s="48">
        <f t="shared" si="273"/>
        <v>0</v>
      </c>
      <c r="BE470" s="48">
        <f t="shared" si="274"/>
        <v>0</v>
      </c>
      <c r="BF470" s="49">
        <f t="shared" si="275"/>
        <v>36</v>
      </c>
      <c r="BG470" s="50"/>
      <c r="BH470" s="51">
        <f t="shared" si="276"/>
        <v>36</v>
      </c>
      <c r="BI470" s="51">
        <f t="shared" si="277"/>
        <v>1</v>
      </c>
      <c r="BJ470" s="51">
        <f t="shared" si="278"/>
        <v>0</v>
      </c>
      <c r="BK470" s="52">
        <f t="shared" si="279"/>
        <v>0</v>
      </c>
      <c r="BL470" s="52">
        <f t="shared" si="280"/>
        <v>0</v>
      </c>
      <c r="BM470" s="52">
        <f t="shared" si="281"/>
        <v>0</v>
      </c>
    </row>
    <row r="471" spans="1:65" ht="30" customHeight="1" x14ac:dyDescent="0.25">
      <c r="A471" s="31" t="str">
        <f t="shared" si="247"/>
        <v>Д</v>
      </c>
      <c r="B471" s="31" t="str">
        <f t="shared" si="248"/>
        <v>М</v>
      </c>
      <c r="C471" s="32" t="s">
        <v>241</v>
      </c>
      <c r="D471" s="33" t="str">
        <f t="shared" si="249"/>
        <v>Факультет физико-математических и естественных наук</v>
      </c>
      <c r="E471" s="34" t="str">
        <f t="shared" si="250"/>
        <v>'09.04.03</v>
      </c>
      <c r="F471" s="35" t="str">
        <f t="shared" si="251"/>
        <v>Искусственный интеллект и анализ данных</v>
      </c>
      <c r="G471" s="36" t="s">
        <v>76</v>
      </c>
      <c r="H471" s="36" t="s">
        <v>135</v>
      </c>
      <c r="I471" s="37"/>
      <c r="J471" s="37" t="s">
        <v>154</v>
      </c>
      <c r="K471" s="38" t="s">
        <v>259</v>
      </c>
      <c r="L471" s="39">
        <v>3</v>
      </c>
      <c r="M471" s="39">
        <v>18</v>
      </c>
      <c r="N471" s="40" t="s">
        <v>79</v>
      </c>
      <c r="O471" s="39">
        <v>1</v>
      </c>
      <c r="P471" s="39"/>
      <c r="Q471" s="39"/>
      <c r="R471" s="40" t="s">
        <v>80</v>
      </c>
      <c r="S471" s="41"/>
      <c r="T471" s="41"/>
      <c r="U471" s="41"/>
      <c r="V471" s="41"/>
      <c r="W471" s="41"/>
      <c r="X471" s="42" t="str">
        <f t="shared" si="252"/>
        <v>НПИмд</v>
      </c>
      <c r="Y471" s="43" t="s">
        <v>107</v>
      </c>
      <c r="Z471" s="39">
        <v>1</v>
      </c>
      <c r="AA471" s="124">
        <f>AB471/12</f>
        <v>0.66666666666666663</v>
      </c>
      <c r="AB471" s="123">
        <f t="shared" si="253"/>
        <v>8</v>
      </c>
      <c r="AC471" s="124">
        <v>5</v>
      </c>
      <c r="AD471" s="124">
        <v>3</v>
      </c>
      <c r="AE471" s="44">
        <f t="shared" si="254"/>
        <v>8</v>
      </c>
      <c r="AF471" s="45">
        <f t="shared" si="255"/>
        <v>1</v>
      </c>
      <c r="AG471" s="45">
        <f t="shared" si="256"/>
        <v>1</v>
      </c>
      <c r="AH471" s="46" t="s">
        <v>82</v>
      </c>
      <c r="AI471" s="40" t="s">
        <v>112</v>
      </c>
      <c r="AJ471" s="40" t="s">
        <v>84</v>
      </c>
      <c r="AK471" s="47" t="s">
        <v>243</v>
      </c>
      <c r="AL471" s="40"/>
      <c r="AM471" s="48">
        <f t="shared" si="257"/>
        <v>18</v>
      </c>
      <c r="AN471" s="48">
        <f t="shared" si="258"/>
        <v>0</v>
      </c>
      <c r="AO471" s="48">
        <f t="shared" si="259"/>
        <v>0</v>
      </c>
      <c r="AP471" s="48">
        <f t="shared" si="260"/>
        <v>2.64</v>
      </c>
      <c r="AQ471" s="48">
        <f t="shared" si="261"/>
        <v>4</v>
      </c>
      <c r="AR471" s="48">
        <f t="shared" si="262"/>
        <v>0.66666666666666663</v>
      </c>
      <c r="AS471" s="48">
        <f t="shared" si="263"/>
        <v>0.6</v>
      </c>
      <c r="AT471" s="48">
        <f t="shared" si="264"/>
        <v>0</v>
      </c>
      <c r="AU471" s="48">
        <f t="shared" si="265"/>
        <v>0</v>
      </c>
      <c r="AV471" s="48">
        <f t="shared" si="266"/>
        <v>0</v>
      </c>
      <c r="AW471" s="48">
        <f>IF(N471="ПП",РПП*AB471*(V471/1.5),IF(N471="ВП",ВПр*AB471*(V471/1.5),IF(N471="РПА",РПА*AB471*(V471/1.5),IF(N471="КПА",кпа*AB471*(V471/1.5),0))))</f>
        <v>0</v>
      </c>
      <c r="AX471" s="48">
        <f t="shared" si="267"/>
        <v>0</v>
      </c>
      <c r="AY471" s="48">
        <f t="shared" si="268"/>
        <v>0</v>
      </c>
      <c r="AZ471" s="48">
        <f t="shared" si="269"/>
        <v>0</v>
      </c>
      <c r="BA471" s="48">
        <f t="shared" si="270"/>
        <v>0</v>
      </c>
      <c r="BB471" s="48">
        <f t="shared" si="271"/>
        <v>0</v>
      </c>
      <c r="BC471" s="48">
        <f t="shared" si="272"/>
        <v>0</v>
      </c>
      <c r="BD471" s="48">
        <f t="shared" si="273"/>
        <v>0</v>
      </c>
      <c r="BE471" s="48">
        <f t="shared" si="274"/>
        <v>0</v>
      </c>
      <c r="BF471" s="49">
        <f t="shared" si="275"/>
        <v>25.90666666666667</v>
      </c>
      <c r="BG471" s="50"/>
      <c r="BH471" s="51">
        <f t="shared" si="276"/>
        <v>18</v>
      </c>
      <c r="BI471" s="51">
        <f t="shared" si="277"/>
        <v>0.5</v>
      </c>
      <c r="BJ471" s="51">
        <f t="shared" si="278"/>
        <v>7.9066666666666672</v>
      </c>
      <c r="BK471" s="52">
        <f t="shared" si="279"/>
        <v>0</v>
      </c>
      <c r="BL471" s="52">
        <f t="shared" si="280"/>
        <v>0</v>
      </c>
      <c r="BM471" s="52">
        <f t="shared" si="281"/>
        <v>0</v>
      </c>
    </row>
    <row r="472" spans="1:65" ht="30" customHeight="1" x14ac:dyDescent="0.25">
      <c r="A472" s="31" t="str">
        <f t="shared" si="247"/>
        <v>Д</v>
      </c>
      <c r="B472" s="31" t="str">
        <f t="shared" si="248"/>
        <v>М</v>
      </c>
      <c r="C472" s="32" t="s">
        <v>241</v>
      </c>
      <c r="D472" s="33" t="str">
        <f t="shared" si="249"/>
        <v>Факультет физико-математических и естественных наук</v>
      </c>
      <c r="E472" s="34" t="str">
        <f t="shared" si="250"/>
        <v>'09.04.03</v>
      </c>
      <c r="F472" s="35" t="str">
        <f t="shared" si="251"/>
        <v>Искусственный интеллект и анализ данных</v>
      </c>
      <c r="G472" s="36" t="s">
        <v>76</v>
      </c>
      <c r="H472" s="36" t="s">
        <v>135</v>
      </c>
      <c r="I472" s="37"/>
      <c r="J472" s="37" t="s">
        <v>154</v>
      </c>
      <c r="K472" s="38" t="s">
        <v>259</v>
      </c>
      <c r="L472" s="39">
        <v>3</v>
      </c>
      <c r="M472" s="39">
        <v>18</v>
      </c>
      <c r="N472" s="40" t="s">
        <v>86</v>
      </c>
      <c r="O472" s="39"/>
      <c r="P472" s="39"/>
      <c r="Q472" s="39">
        <v>2</v>
      </c>
      <c r="R472" s="40"/>
      <c r="S472" s="41"/>
      <c r="T472" s="41"/>
      <c r="U472" s="41"/>
      <c r="V472" s="41"/>
      <c r="W472" s="41"/>
      <c r="X472" s="42" t="str">
        <f t="shared" si="252"/>
        <v>НПИмд</v>
      </c>
      <c r="Y472" s="43" t="s">
        <v>107</v>
      </c>
      <c r="Z472" s="39">
        <v>1</v>
      </c>
      <c r="AA472" s="124">
        <f t="shared" ref="AA472:AA473" si="282">AB472/12</f>
        <v>0.66666666666666663</v>
      </c>
      <c r="AB472" s="123">
        <f t="shared" si="253"/>
        <v>8</v>
      </c>
      <c r="AC472" s="124">
        <v>5</v>
      </c>
      <c r="AD472" s="124">
        <v>3</v>
      </c>
      <c r="AE472" s="44">
        <f t="shared" si="254"/>
        <v>12</v>
      </c>
      <c r="AF472" s="45">
        <f t="shared" si="255"/>
        <v>0.66666666666666663</v>
      </c>
      <c r="AG472" s="45">
        <f t="shared" si="256"/>
        <v>0.66666666666666663</v>
      </c>
      <c r="AH472" s="46" t="s">
        <v>82</v>
      </c>
      <c r="AI472" s="40" t="s">
        <v>112</v>
      </c>
      <c r="AJ472" s="40" t="s">
        <v>84</v>
      </c>
      <c r="AK472" s="47" t="s">
        <v>243</v>
      </c>
      <c r="AL472" s="40"/>
      <c r="AM472" s="48">
        <f t="shared" si="257"/>
        <v>0</v>
      </c>
      <c r="AN472" s="48">
        <f t="shared" si="258"/>
        <v>24</v>
      </c>
      <c r="AO472" s="48">
        <f t="shared" si="259"/>
        <v>0</v>
      </c>
      <c r="AP472" s="48">
        <f t="shared" si="260"/>
        <v>0</v>
      </c>
      <c r="AQ472" s="48">
        <f t="shared" si="261"/>
        <v>0</v>
      </c>
      <c r="AR472" s="48">
        <f t="shared" si="262"/>
        <v>0</v>
      </c>
      <c r="AS472" s="48">
        <f t="shared" si="263"/>
        <v>0</v>
      </c>
      <c r="AT472" s="48">
        <f t="shared" si="264"/>
        <v>0</v>
      </c>
      <c r="AU472" s="48">
        <f t="shared" si="265"/>
        <v>0</v>
      </c>
      <c r="AV472" s="48">
        <f t="shared" si="266"/>
        <v>0</v>
      </c>
      <c r="AW472" s="48">
        <f>IF(N472="ПП",РПП*AB472*(V472/1.5),IF(N472="ВП",ВПр*AB472*(V472/1.5),IF(N472="РПА",РПА*AB472*(V472/1.5),IF(N472="КПА",кпа*AB472*(V472/1.5),0))))</f>
        <v>0</v>
      </c>
      <c r="AX472" s="48">
        <f t="shared" si="267"/>
        <v>0</v>
      </c>
      <c r="AY472" s="48">
        <f t="shared" si="268"/>
        <v>0</v>
      </c>
      <c r="AZ472" s="48">
        <f t="shared" si="269"/>
        <v>0</v>
      </c>
      <c r="BA472" s="48">
        <f t="shared" si="270"/>
        <v>0</v>
      </c>
      <c r="BB472" s="48">
        <f t="shared" si="271"/>
        <v>0</v>
      </c>
      <c r="BC472" s="48">
        <f t="shared" si="272"/>
        <v>0</v>
      </c>
      <c r="BD472" s="48">
        <f t="shared" si="273"/>
        <v>0</v>
      </c>
      <c r="BE472" s="48">
        <f t="shared" si="274"/>
        <v>0</v>
      </c>
      <c r="BF472" s="49">
        <f t="shared" si="275"/>
        <v>24</v>
      </c>
      <c r="BG472" s="50"/>
      <c r="BH472" s="51">
        <f t="shared" si="276"/>
        <v>24</v>
      </c>
      <c r="BI472" s="51">
        <f t="shared" si="277"/>
        <v>1</v>
      </c>
      <c r="BJ472" s="51">
        <f t="shared" si="278"/>
        <v>0</v>
      </c>
      <c r="BK472" s="52">
        <f t="shared" si="279"/>
        <v>0</v>
      </c>
      <c r="BL472" s="52">
        <f t="shared" si="280"/>
        <v>0</v>
      </c>
      <c r="BM472" s="52">
        <f t="shared" si="281"/>
        <v>0</v>
      </c>
    </row>
    <row r="473" spans="1:65" ht="30" customHeight="1" x14ac:dyDescent="0.25">
      <c r="A473" s="31" t="str">
        <f t="shared" si="247"/>
        <v>Д</v>
      </c>
      <c r="B473" s="31" t="str">
        <f t="shared" si="248"/>
        <v>М</v>
      </c>
      <c r="C473" s="32" t="s">
        <v>241</v>
      </c>
      <c r="D473" s="33" t="str">
        <f t="shared" si="249"/>
        <v>Факультет физико-математических и естественных наук</v>
      </c>
      <c r="E473" s="34" t="str">
        <f t="shared" si="250"/>
        <v>'09.04.03</v>
      </c>
      <c r="F473" s="35" t="str">
        <f t="shared" si="251"/>
        <v>Искусственный интеллект и анализ данных</v>
      </c>
      <c r="G473" s="36" t="s">
        <v>76</v>
      </c>
      <c r="H473" s="36" t="s">
        <v>135</v>
      </c>
      <c r="I473" s="37"/>
      <c r="J473" s="37" t="s">
        <v>154</v>
      </c>
      <c r="K473" s="38" t="s">
        <v>260</v>
      </c>
      <c r="L473" s="39">
        <v>3</v>
      </c>
      <c r="M473" s="39">
        <v>18</v>
      </c>
      <c r="N473" s="40" t="s">
        <v>94</v>
      </c>
      <c r="O473" s="39"/>
      <c r="P473" s="39">
        <v>2</v>
      </c>
      <c r="Q473" s="39"/>
      <c r="R473" s="40" t="s">
        <v>95</v>
      </c>
      <c r="S473" s="41"/>
      <c r="T473" s="41"/>
      <c r="U473" s="41"/>
      <c r="V473" s="41"/>
      <c r="W473" s="41"/>
      <c r="X473" s="42" t="str">
        <f t="shared" si="252"/>
        <v>НПИмд</v>
      </c>
      <c r="Y473" s="43" t="s">
        <v>107</v>
      </c>
      <c r="Z473" s="39">
        <v>1</v>
      </c>
      <c r="AA473" s="124">
        <f t="shared" si="282"/>
        <v>0.66666666666666663</v>
      </c>
      <c r="AB473" s="123">
        <f t="shared" si="253"/>
        <v>8</v>
      </c>
      <c r="AC473" s="124">
        <v>5</v>
      </c>
      <c r="AD473" s="124">
        <v>3</v>
      </c>
      <c r="AE473" s="44">
        <f t="shared" si="254"/>
        <v>12</v>
      </c>
      <c r="AF473" s="45">
        <f t="shared" si="255"/>
        <v>0.66666666666666663</v>
      </c>
      <c r="AG473" s="45">
        <f t="shared" si="256"/>
        <v>0.66666666666666663</v>
      </c>
      <c r="AH473" s="46" t="s">
        <v>82</v>
      </c>
      <c r="AI473" s="40" t="s">
        <v>83</v>
      </c>
      <c r="AJ473" s="40" t="s">
        <v>84</v>
      </c>
      <c r="AK473" s="47" t="s">
        <v>93</v>
      </c>
      <c r="AL473" s="40"/>
      <c r="AM473" s="48">
        <f t="shared" si="257"/>
        <v>0</v>
      </c>
      <c r="AN473" s="48">
        <f t="shared" si="258"/>
        <v>0</v>
      </c>
      <c r="AO473" s="48">
        <f t="shared" si="259"/>
        <v>24</v>
      </c>
      <c r="AP473" s="48">
        <f t="shared" si="260"/>
        <v>2.64</v>
      </c>
      <c r="AQ473" s="48">
        <f t="shared" si="261"/>
        <v>4</v>
      </c>
      <c r="AR473" s="48">
        <f t="shared" si="262"/>
        <v>0.66666666666666663</v>
      </c>
      <c r="AS473" s="48">
        <f t="shared" si="263"/>
        <v>0</v>
      </c>
      <c r="AT473" s="48">
        <f t="shared" si="264"/>
        <v>0</v>
      </c>
      <c r="AU473" s="48">
        <f t="shared" si="265"/>
        <v>0</v>
      </c>
      <c r="AV473" s="48">
        <f t="shared" si="266"/>
        <v>0</v>
      </c>
      <c r="AW473" s="48">
        <f>IF(N473="ПП",РПП*AB473*(V473/1.5),IF(N473="ВП",ВПр*AB473*(V473/1.5),IF(N473="РПА",РПА*AB473*(V473/1.5),IF(N473="КПА",кпа*AB473*(V473/1.5),0))))</f>
        <v>0</v>
      </c>
      <c r="AX473" s="48">
        <f t="shared" si="267"/>
        <v>0</v>
      </c>
      <c r="AY473" s="48">
        <f t="shared" si="268"/>
        <v>0</v>
      </c>
      <c r="AZ473" s="48">
        <f t="shared" si="269"/>
        <v>0</v>
      </c>
      <c r="BA473" s="48">
        <f t="shared" si="270"/>
        <v>0</v>
      </c>
      <c r="BB473" s="48">
        <f t="shared" si="271"/>
        <v>0</v>
      </c>
      <c r="BC473" s="48">
        <f t="shared" si="272"/>
        <v>0</v>
      </c>
      <c r="BD473" s="48">
        <f t="shared" si="273"/>
        <v>0</v>
      </c>
      <c r="BE473" s="48">
        <f t="shared" si="274"/>
        <v>0</v>
      </c>
      <c r="BF473" s="49">
        <f t="shared" si="275"/>
        <v>31.306666666666668</v>
      </c>
      <c r="BG473" s="50"/>
      <c r="BH473" s="51">
        <f t="shared" si="276"/>
        <v>24</v>
      </c>
      <c r="BI473" s="51">
        <f t="shared" si="277"/>
        <v>1</v>
      </c>
      <c r="BJ473" s="51">
        <f t="shared" si="278"/>
        <v>7.3066666666666675</v>
      </c>
      <c r="BK473" s="52">
        <f t="shared" si="279"/>
        <v>0</v>
      </c>
      <c r="BL473" s="52">
        <f t="shared" si="280"/>
        <v>0</v>
      </c>
      <c r="BM473" s="52">
        <f t="shared" si="281"/>
        <v>0</v>
      </c>
    </row>
    <row r="474" spans="1:65" ht="30" customHeight="1" x14ac:dyDescent="0.25">
      <c r="A474" s="31" t="str">
        <f t="shared" si="247"/>
        <v>Д</v>
      </c>
      <c r="B474" s="31" t="str">
        <f t="shared" si="248"/>
        <v>М</v>
      </c>
      <c r="C474" s="32" t="s">
        <v>241</v>
      </c>
      <c r="D474" s="33" t="str">
        <f t="shared" si="249"/>
        <v>Факультет физико-математических и естественных наук</v>
      </c>
      <c r="E474" s="34" t="str">
        <f t="shared" si="250"/>
        <v>'09.04.03</v>
      </c>
      <c r="F474" s="35" t="str">
        <f t="shared" si="251"/>
        <v>Искусственный интеллект и анализ данных</v>
      </c>
      <c r="G474" s="36" t="s">
        <v>166</v>
      </c>
      <c r="H474" s="36" t="s">
        <v>77</v>
      </c>
      <c r="I474" s="37"/>
      <c r="J474" s="37"/>
      <c r="K474" s="38" t="s">
        <v>169</v>
      </c>
      <c r="L474" s="39">
        <v>3</v>
      </c>
      <c r="M474" s="39"/>
      <c r="N474" s="40" t="s">
        <v>2672</v>
      </c>
      <c r="O474" s="39"/>
      <c r="P474" s="39"/>
      <c r="Q474" s="39"/>
      <c r="R474" s="40"/>
      <c r="S474" s="41"/>
      <c r="T474" s="41"/>
      <c r="U474" s="41"/>
      <c r="V474" s="41">
        <v>6</v>
      </c>
      <c r="W474" s="41"/>
      <c r="X474" s="42" t="str">
        <f t="shared" si="252"/>
        <v>НПИмд</v>
      </c>
      <c r="Y474" s="43" t="s">
        <v>107</v>
      </c>
      <c r="Z474" s="39">
        <v>1</v>
      </c>
      <c r="AA474" s="124">
        <f>AB474/12</f>
        <v>0.66666666666666663</v>
      </c>
      <c r="AB474" s="123">
        <f t="shared" si="253"/>
        <v>8</v>
      </c>
      <c r="AC474" s="124">
        <v>5</v>
      </c>
      <c r="AD474" s="124">
        <v>3</v>
      </c>
      <c r="AE474" s="44">
        <f t="shared" si="254"/>
        <v>1</v>
      </c>
      <c r="AF474" s="45">
        <f t="shared" si="255"/>
        <v>1</v>
      </c>
      <c r="AG474" s="45">
        <f t="shared" si="256"/>
        <v>8</v>
      </c>
      <c r="AH474" s="46" t="s">
        <v>82</v>
      </c>
      <c r="AI474" s="40" t="s">
        <v>83</v>
      </c>
      <c r="AJ474" s="40" t="s">
        <v>84</v>
      </c>
      <c r="AK474" s="47" t="s">
        <v>200</v>
      </c>
      <c r="AL474" s="40"/>
      <c r="AM474" s="48">
        <f t="shared" si="257"/>
        <v>0</v>
      </c>
      <c r="AN474" s="48">
        <f t="shared" si="258"/>
        <v>0</v>
      </c>
      <c r="AO474" s="48">
        <f t="shared" si="259"/>
        <v>0</v>
      </c>
      <c r="AP474" s="48">
        <f t="shared" si="260"/>
        <v>0</v>
      </c>
      <c r="AQ474" s="48">
        <f t="shared" si="261"/>
        <v>0</v>
      </c>
      <c r="AR474" s="48">
        <f t="shared" si="262"/>
        <v>0</v>
      </c>
      <c r="AS474" s="48">
        <f t="shared" si="263"/>
        <v>0</v>
      </c>
      <c r="AT474" s="48">
        <f t="shared" si="264"/>
        <v>0</v>
      </c>
      <c r="AU474" s="48">
        <f t="shared" si="265"/>
        <v>0</v>
      </c>
      <c r="AV474" s="48">
        <f t="shared" si="266"/>
        <v>0</v>
      </c>
      <c r="AW474" s="48">
        <f>IF(N474="ПП",РПП*AB474*(V474/1.5),IF(N474="ВП",ВПр*AB474*(V474/1.5),IF(N474="РПА",РПА*AB474*(V474/1.5),IF(N474="КПА",кпа*AB474*(V474/1.5),0))))</f>
        <v>24</v>
      </c>
      <c r="AX474" s="48">
        <f t="shared" si="267"/>
        <v>0</v>
      </c>
      <c r="AY474" s="48">
        <f t="shared" si="268"/>
        <v>0</v>
      </c>
      <c r="AZ474" s="48">
        <f t="shared" si="269"/>
        <v>0</v>
      </c>
      <c r="BA474" s="48">
        <f t="shared" si="270"/>
        <v>0</v>
      </c>
      <c r="BB474" s="48">
        <f t="shared" si="271"/>
        <v>0</v>
      </c>
      <c r="BC474" s="48">
        <f t="shared" si="272"/>
        <v>0</v>
      </c>
      <c r="BD474" s="48">
        <f t="shared" si="273"/>
        <v>0</v>
      </c>
      <c r="BE474" s="48">
        <f t="shared" si="274"/>
        <v>0</v>
      </c>
      <c r="BF474" s="49">
        <f t="shared" si="275"/>
        <v>24</v>
      </c>
      <c r="BG474" s="50"/>
      <c r="BH474" s="51">
        <f t="shared" si="276"/>
        <v>0</v>
      </c>
      <c r="BI474" s="51">
        <f t="shared" si="277"/>
        <v>0</v>
      </c>
      <c r="BJ474" s="51">
        <f t="shared" si="278"/>
        <v>24</v>
      </c>
      <c r="BK474" s="52">
        <f t="shared" si="279"/>
        <v>0</v>
      </c>
      <c r="BL474" s="52">
        <f t="shared" si="280"/>
        <v>0</v>
      </c>
      <c r="BM474" s="52">
        <f t="shared" si="281"/>
        <v>0</v>
      </c>
    </row>
    <row r="475" spans="1:65" ht="30" customHeight="1" x14ac:dyDescent="0.25">
      <c r="A475" s="31" t="str">
        <f t="shared" ref="A475:A512" si="283">IF(C475&gt;0, VLOOKUP(C475,Код_ООП,11,FALSE()),0)</f>
        <v>Д</v>
      </c>
      <c r="B475" s="31" t="str">
        <f t="shared" ref="B475:B512" si="284">IF(C475&gt;0, VLOOKUP(C475,Код_ООП,12,FALSE()),0)</f>
        <v>М</v>
      </c>
      <c r="C475" s="32" t="s">
        <v>241</v>
      </c>
      <c r="D475" s="33" t="str">
        <f t="shared" ref="D475:D512" si="285">IF(C475&gt;0,VLOOKUP(LEFT(C475,1),ОУП,2,FALSE()),0)</f>
        <v>Факультет физико-математических и естественных наук</v>
      </c>
      <c r="E475" s="34" t="str">
        <f t="shared" ref="E475:E512" si="286">IF(C475&gt;0, VLOOKUP(C475,Код_ООП,2,FALSE()),0)</f>
        <v>'09.04.03</v>
      </c>
      <c r="F475" s="35" t="str">
        <f t="shared" ref="F475:F512" si="287">IF(C475&gt;0, VLOOKUP(C475,Код_ООП,13,FALSE()),0)</f>
        <v>Искусственный интеллект и анализ данных</v>
      </c>
      <c r="G475" s="36" t="s">
        <v>166</v>
      </c>
      <c r="H475" s="36" t="s">
        <v>77</v>
      </c>
      <c r="I475" s="37"/>
      <c r="J475" s="37"/>
      <c r="K475" s="38" t="s">
        <v>167</v>
      </c>
      <c r="L475" s="39">
        <v>4</v>
      </c>
      <c r="M475" s="39"/>
      <c r="N475" s="40" t="s">
        <v>168</v>
      </c>
      <c r="O475" s="39"/>
      <c r="P475" s="39"/>
      <c r="Q475" s="39"/>
      <c r="R475" s="40"/>
      <c r="S475" s="41"/>
      <c r="T475" s="41"/>
      <c r="U475" s="41"/>
      <c r="V475" s="41">
        <v>6</v>
      </c>
      <c r="W475" s="41"/>
      <c r="X475" s="42" t="str">
        <f t="shared" ref="X475:X512" si="288">MID(C475,1,5)</f>
        <v>НПИмд</v>
      </c>
      <c r="Y475" s="43" t="s">
        <v>107</v>
      </c>
      <c r="Z475" s="39">
        <v>1</v>
      </c>
      <c r="AA475" s="124">
        <f t="shared" ref="AA475:AA480" si="289">AB475/12</f>
        <v>0.66666666666666663</v>
      </c>
      <c r="AB475" s="123">
        <f t="shared" ref="AB475:AB512" si="290">AC475+AD475</f>
        <v>8</v>
      </c>
      <c r="AC475" s="124">
        <v>5</v>
      </c>
      <c r="AD475" s="124">
        <v>3</v>
      </c>
      <c r="AE475" s="44">
        <f t="shared" ref="AE475:AE512" si="291">IF(N475="сп",6,IF(N475="клн",8,IF(OR(N475="лаб",N475="ия"),12,IF(OR(N475="пр",N475="ТЕСТ"),IF(OR(B475="Б",B475="С"),24,12),IF(N475="лек",AB475,1)))))</f>
        <v>1</v>
      </c>
      <c r="AF475" s="45">
        <f t="shared" ref="AF475:AF512" si="292">IF(AG475&gt;1,1,AG475)</f>
        <v>1</v>
      </c>
      <c r="AG475" s="45">
        <f t="shared" ref="AG475:AG512" si="293">AB475/AE475</f>
        <v>8</v>
      </c>
      <c r="AH475" s="46" t="s">
        <v>82</v>
      </c>
      <c r="AI475" s="40" t="s">
        <v>99</v>
      </c>
      <c r="AJ475" s="40" t="s">
        <v>100</v>
      </c>
      <c r="AK475" s="47" t="s">
        <v>101</v>
      </c>
      <c r="AL475" s="40"/>
      <c r="AM475" s="48">
        <f t="shared" ref="AM475:AM512" si="294">IF(AB475&gt;0,IF(OR(N475="лек",N475="ТУИС"),O475*M475,0),0)</f>
        <v>0</v>
      </c>
      <c r="AN475" s="48">
        <f t="shared" ref="AN475:AN512" si="295">IF(OR(N475="пр",N475="ия",N475="сп"),Q475*AF475*M475,0)</f>
        <v>0</v>
      </c>
      <c r="AO475" s="48">
        <f t="shared" ref="AO475:AO512" si="296">IF(OR(N475="лаб",N475="клн"),P475*AF475*M475,0)</f>
        <v>0</v>
      </c>
      <c r="AP475" s="48">
        <f t="shared" ref="AP475:AP512" si="297">(IF((AND(OR(L475=1,L475=2,L475=3,L475=4,L475=5,L475=6,L475=7,L475=8,L475=9,L475=10,L475=11,L475=12),OR(R475="Зач",R475="Экз"))),ТКиРА*AB475,0)+IF(SUM(O475:Q475)&lt;&gt;0,IF(R475="ТК",ТКиРА*AB475,0),0))*(IF(G475="ФТД",0,1))</f>
        <v>0</v>
      </c>
      <c r="AQ475" s="48">
        <f t="shared" ref="AQ475:AQ512" si="298">IF(SUM(P475:Q475)&lt;&gt;0,IF(R475="Зач",ПАБРС*AB475,0),0)+IF(O475&lt;&gt;0,IF(R475="Экз",ПАБРС*AB475,0),0)</f>
        <v>0</v>
      </c>
      <c r="AR475" s="48">
        <f t="shared" ref="AR475:AR512" si="299">(IF(AQ475&lt;&gt;0,ОфВед*(IF(OR(N475="лек",N475="лаб"),AA475,AF475)),0))*(IF(G475="ФТД",0,1))</f>
        <v>0</v>
      </c>
      <c r="AS475" s="48">
        <f t="shared" ref="AS475:AS512" si="300">(IF(A475="Д",ТКЛД,IF(A475="В",ТКЛВ,IF(A475="З",ТКЛЗ,0))))*(IF(G475="ФТД",0,IF(B475="ЦМ",O475*M475,AM475)))*AA475</f>
        <v>0</v>
      </c>
      <c r="AT475" s="48">
        <f t="shared" ref="AT475:AT512" si="301">IF(S475="К",AB475*ВПКР,IF(S475="М",AB475*ВПИБ,0))</f>
        <v>0</v>
      </c>
      <c r="AU475" s="48">
        <f t="shared" ref="AU475:AU512" si="302">IF(OR(N475="лаб",N475="пр"),IF(T475="К",AB475*ВПКП,0),0)</f>
        <v>0</v>
      </c>
      <c r="AV475" s="48">
        <f t="shared" ref="AV475:AV512" si="303">IF(N475="УП",U475/1.5*AB475*РУП,IF(N475="УПМ",U475/1.5*AB475*РУПЛеч,0))</f>
        <v>0</v>
      </c>
      <c r="AW475" s="48">
        <f>IF(N475="ПП",РПП*AB475*(V475/1.5),IF(N475="ВП",ВПр*AB475*(V475/1.5),IF(N475="РПА",РПА*AB475*(V475/1.5),IF(N475="КПА",кпа*AB475*(V475/1.5),0))))</f>
        <v>48</v>
      </c>
      <c r="AX475" s="48">
        <f t="shared" ref="AX475:AX512" si="304">IF(N475="НР",(AC475*НИРМ+AD475*НИРМИн)*(W475/1.5),IF(N475="НИ",(AC475*НИРА+AD475*НИРАИ)*(W475/1.5),0))</f>
        <v>0</v>
      </c>
      <c r="AY475" s="48">
        <f t="shared" ref="AY475:AY512" si="305">IF(AND(N475="ЦП",B475="ЦМ"),AB475*ЦП,0)</f>
        <v>0</v>
      </c>
      <c r="AZ475" s="48">
        <f t="shared" ref="AZ475:AZ512" si="306">IF(B475="А",IF(N475="РР",AB475*РефАсп,IF(N475="РРФ",AB475*РефФил,0)),0)</f>
        <v>0</v>
      </c>
      <c r="BA475" s="48">
        <f t="shared" ref="BA475:BA512" si="307">IF(AND(R475="КЭ",N475="ЧК"),AB475*КдЭк,0)</f>
        <v>0</v>
      </c>
      <c r="BB475" s="48">
        <f t="shared" ref="BB475:BB512" si="308">IF(AND(N475="НКД",B475="Д"),AB475*НКД,0)+IF(AND(N475="РПЛ",B475="А"),AB475*РукПЛ,0)+IF(AND(N475="РСтж",B475="А"),AC475*РукСт+AD475*РукИСт,0)+IF(N475="ФГТ",AC475*РукРФа+AD475*РукИна,0)</f>
        <v>0</v>
      </c>
      <c r="BC475" s="48">
        <f t="shared" ref="BC475:BC512" si="309">IF(N475="РК",IF(OR(B475="С",B475="М",B475="ЦМ"),(AC475*РСМ+AD475*РСМИ),0),0)+IF(N475="РК",IF(B475="Б",(AC475*РБ+AD475*РБИ),0),0)+IF(N475="РК",IF(B475="А",(AC475*РНКР+AD475*РНКРИн),0),0)+IF(AND(R475="ПАкр"),AB475*0.3)</f>
        <v>0</v>
      </c>
      <c r="BD475" s="48">
        <f t="shared" ref="BD475:BD512" si="310">IF(N475="РДП",IF(B475="А",AB475*РРА,IF(OR(B475="С",B475="М",B475="ЦМ"),AB475*РРСМ,IF(B475="Б",AB475*РРБ,0))),IF(N475="РДИ",AB475*РДП,0))</f>
        <v>0</v>
      </c>
      <c r="BE475" s="48">
        <f t="shared" ref="BE475:BE512" si="311">IF(N475="ЧГ",AB475*ЧГ,IF(N475="ПГ",AB475*ПГ,IF(N475="ТЕСТ",ТГИЭ*AF475,IF(N475="СГ",AB475*СГ,0))))</f>
        <v>0</v>
      </c>
      <c r="BF475" s="49">
        <f t="shared" ref="BF475:BF512" si="312">SUM(AM475:BE475)</f>
        <v>48</v>
      </c>
      <c r="BG475" s="50"/>
      <c r="BH475" s="51">
        <f t="shared" ref="BH475:BH512" si="313">IF(OR(L475="1;1",L475="1;2",L475=1,L475="3;1",L475="3;2",L475=3,L475="5;1",L475="5;2",L475=5,L475="7;1",L475="7;2",L475=7,L475="9;1",L475="9;2",L475=9,L475=11),SUM(AM475:AO475),0)</f>
        <v>0</v>
      </c>
      <c r="BI475" s="51">
        <f t="shared" ref="BI475:BI512" si="314">IF(BH475&lt;&gt;0,SUM(O475:Q475)/2,0)</f>
        <v>0</v>
      </c>
      <c r="BJ475" s="51">
        <f t="shared" ref="BJ475:BJ512" si="315">IF(OR(L475="1;1",L475="1;2",L475=1,L475="3;1",L475="3;2",L475=3,L475="5;1",L475="5;2",L475=5,L475="7;1",L475="7;2",L475=7,L475="9;1",L475="9;2",L475=9,L475=11),SUM(AP475:BE475),0)</f>
        <v>0</v>
      </c>
      <c r="BK475" s="52">
        <f t="shared" ref="BK475:BK512" si="316">IF(OR(L475="2;3",L475="2;4",L475=2,L475="4;3",L475="4;4",L475=4,L475="6;3",L475="6;4",L475=6,L475="8;3",L475="8;4",L475=8,L475="10;3",L475="10;4",L475=10,L475=12),SUM(AM475:AO475),0)</f>
        <v>0</v>
      </c>
      <c r="BL475" s="52">
        <f t="shared" ref="BL475:BL512" si="317">IF(BK475&lt;&gt;0,SUM(O475:Q475)/2,0)</f>
        <v>0</v>
      </c>
      <c r="BM475" s="52">
        <f t="shared" ref="BM475:BM512" si="318">IF(OR(L475="2;3",L475="2;4",L475=2,L475="4;3",L475="4;4",L475=4,L475="6;3",L475="6;4",L475=6,L475="8;3",L475="8;4",L475=8,L475="10;3",L475="10;4",L475=10,L475=12),SUM(AP475:BE475),0)</f>
        <v>48</v>
      </c>
    </row>
    <row r="476" spans="1:65" ht="30" customHeight="1" x14ac:dyDescent="0.25">
      <c r="A476" s="31" t="str">
        <f t="shared" si="283"/>
        <v>Д</v>
      </c>
      <c r="B476" s="31" t="str">
        <f t="shared" si="284"/>
        <v>М</v>
      </c>
      <c r="C476" s="32" t="s">
        <v>241</v>
      </c>
      <c r="D476" s="33" t="str">
        <f t="shared" si="285"/>
        <v>Факультет физико-математических и естественных наук</v>
      </c>
      <c r="E476" s="34" t="str">
        <f t="shared" si="286"/>
        <v>'09.04.03</v>
      </c>
      <c r="F476" s="35" t="str">
        <f t="shared" si="287"/>
        <v>Искусственный интеллект и анализ данных</v>
      </c>
      <c r="G476" s="36" t="s">
        <v>166</v>
      </c>
      <c r="H476" s="36" t="s">
        <v>77</v>
      </c>
      <c r="I476" s="37"/>
      <c r="J476" s="37"/>
      <c r="K476" s="38" t="s">
        <v>170</v>
      </c>
      <c r="L476" s="39">
        <v>4</v>
      </c>
      <c r="M476" s="39"/>
      <c r="N476" s="40" t="s">
        <v>168</v>
      </c>
      <c r="O476" s="39"/>
      <c r="P476" s="39"/>
      <c r="Q476" s="39"/>
      <c r="R476" s="40"/>
      <c r="S476" s="41"/>
      <c r="T476" s="41"/>
      <c r="U476" s="41"/>
      <c r="V476" s="41">
        <v>15</v>
      </c>
      <c r="W476" s="41"/>
      <c r="X476" s="42" t="str">
        <f t="shared" si="288"/>
        <v>НПИмд</v>
      </c>
      <c r="Y476" s="43" t="s">
        <v>107</v>
      </c>
      <c r="Z476" s="39">
        <v>1</v>
      </c>
      <c r="AA476" s="124">
        <f t="shared" si="289"/>
        <v>0.66666666666666663</v>
      </c>
      <c r="AB476" s="123">
        <f t="shared" si="290"/>
        <v>8</v>
      </c>
      <c r="AC476" s="124">
        <v>5</v>
      </c>
      <c r="AD476" s="124">
        <v>3</v>
      </c>
      <c r="AE476" s="44">
        <f t="shared" si="291"/>
        <v>1</v>
      </c>
      <c r="AF476" s="45">
        <f t="shared" si="292"/>
        <v>1</v>
      </c>
      <c r="AG476" s="45">
        <f t="shared" si="293"/>
        <v>8</v>
      </c>
      <c r="AH476" s="46" t="s">
        <v>82</v>
      </c>
      <c r="AI476" s="40" t="s">
        <v>99</v>
      </c>
      <c r="AJ476" s="40" t="s">
        <v>100</v>
      </c>
      <c r="AK476" s="47" t="s">
        <v>101</v>
      </c>
      <c r="AL476" s="40"/>
      <c r="AM476" s="48">
        <f t="shared" si="294"/>
        <v>0</v>
      </c>
      <c r="AN476" s="48">
        <f t="shared" si="295"/>
        <v>0</v>
      </c>
      <c r="AO476" s="48">
        <f t="shared" si="296"/>
        <v>0</v>
      </c>
      <c r="AP476" s="48">
        <f t="shared" si="297"/>
        <v>0</v>
      </c>
      <c r="AQ476" s="48">
        <f t="shared" si="298"/>
        <v>0</v>
      </c>
      <c r="AR476" s="48">
        <f t="shared" si="299"/>
        <v>0</v>
      </c>
      <c r="AS476" s="48">
        <f t="shared" si="300"/>
        <v>0</v>
      </c>
      <c r="AT476" s="48">
        <f t="shared" si="301"/>
        <v>0</v>
      </c>
      <c r="AU476" s="48">
        <f t="shared" si="302"/>
        <v>0</v>
      </c>
      <c r="AV476" s="48">
        <f t="shared" si="303"/>
        <v>0</v>
      </c>
      <c r="AW476" s="48">
        <f>IF(N476="ПП",РПП*AB476*(V476/1.5),IF(N476="ВП",ВПр*AB476*(V476/1.5),IF(N476="РПА",РПА*AB476*(V476/1.5),IF(N476="КПА",кпа*AB476*(V476/1.5),0))))</f>
        <v>120</v>
      </c>
      <c r="AX476" s="48">
        <f t="shared" si="304"/>
        <v>0</v>
      </c>
      <c r="AY476" s="48">
        <f t="shared" si="305"/>
        <v>0</v>
      </c>
      <c r="AZ476" s="48">
        <f t="shared" si="306"/>
        <v>0</v>
      </c>
      <c r="BA476" s="48">
        <f t="shared" si="307"/>
        <v>0</v>
      </c>
      <c r="BB476" s="48">
        <f t="shared" si="308"/>
        <v>0</v>
      </c>
      <c r="BC476" s="48">
        <f t="shared" si="309"/>
        <v>0</v>
      </c>
      <c r="BD476" s="48">
        <f t="shared" si="310"/>
        <v>0</v>
      </c>
      <c r="BE476" s="48">
        <f t="shared" si="311"/>
        <v>0</v>
      </c>
      <c r="BF476" s="49">
        <f t="shared" si="312"/>
        <v>120</v>
      </c>
      <c r="BG476" s="50"/>
      <c r="BH476" s="51">
        <f t="shared" si="313"/>
        <v>0</v>
      </c>
      <c r="BI476" s="51">
        <f t="shared" si="314"/>
        <v>0</v>
      </c>
      <c r="BJ476" s="51">
        <f t="shared" si="315"/>
        <v>0</v>
      </c>
      <c r="BK476" s="52">
        <f t="shared" si="316"/>
        <v>0</v>
      </c>
      <c r="BL476" s="52">
        <f t="shared" si="317"/>
        <v>0</v>
      </c>
      <c r="BM476" s="52">
        <f t="shared" si="318"/>
        <v>120</v>
      </c>
    </row>
    <row r="477" spans="1:65" ht="30" customHeight="1" x14ac:dyDescent="0.25">
      <c r="A477" s="31" t="str">
        <f t="shared" si="283"/>
        <v>Д</v>
      </c>
      <c r="B477" s="31" t="str">
        <f t="shared" si="284"/>
        <v>М</v>
      </c>
      <c r="C477" s="32" t="s">
        <v>241</v>
      </c>
      <c r="D477" s="33" t="str">
        <f t="shared" si="285"/>
        <v>Факультет физико-математических и естественных наук</v>
      </c>
      <c r="E477" s="34" t="str">
        <f t="shared" si="286"/>
        <v>'09.04.03</v>
      </c>
      <c r="F477" s="35" t="str">
        <f t="shared" si="287"/>
        <v>Искусственный интеллект и анализ данных</v>
      </c>
      <c r="G477" s="36" t="s">
        <v>166</v>
      </c>
      <c r="H477" s="36" t="s">
        <v>77</v>
      </c>
      <c r="I477" s="37"/>
      <c r="J477" s="37"/>
      <c r="K477" s="38" t="s">
        <v>175</v>
      </c>
      <c r="L477" s="39">
        <v>4</v>
      </c>
      <c r="M477" s="39"/>
      <c r="N477" s="40" t="s">
        <v>176</v>
      </c>
      <c r="O477" s="39"/>
      <c r="P477" s="39"/>
      <c r="Q477" s="39"/>
      <c r="R477" s="40"/>
      <c r="S477" s="41"/>
      <c r="T477" s="41"/>
      <c r="U477" s="41"/>
      <c r="V477" s="41"/>
      <c r="W477" s="41"/>
      <c r="X477" s="42" t="str">
        <f t="shared" si="288"/>
        <v>НПИмд</v>
      </c>
      <c r="Y477" s="43" t="s">
        <v>107</v>
      </c>
      <c r="Z477" s="39"/>
      <c r="AA477" s="124">
        <f t="shared" si="289"/>
        <v>0.66666666666666663</v>
      </c>
      <c r="AB477" s="123">
        <f t="shared" si="290"/>
        <v>8</v>
      </c>
      <c r="AC477" s="124">
        <v>5</v>
      </c>
      <c r="AD477" s="124">
        <v>3</v>
      </c>
      <c r="AE477" s="44">
        <f t="shared" si="291"/>
        <v>12</v>
      </c>
      <c r="AF477" s="45">
        <f t="shared" si="292"/>
        <v>0.66666666666666663</v>
      </c>
      <c r="AG477" s="45">
        <f t="shared" si="293"/>
        <v>0.66666666666666663</v>
      </c>
      <c r="AH477" s="46" t="s">
        <v>82</v>
      </c>
      <c r="AI477" s="40" t="s">
        <v>83</v>
      </c>
      <c r="AJ477" s="40" t="s">
        <v>84</v>
      </c>
      <c r="AK477" s="47" t="s">
        <v>93</v>
      </c>
      <c r="AL477" s="40"/>
      <c r="AM477" s="48">
        <f t="shared" si="294"/>
        <v>0</v>
      </c>
      <c r="AN477" s="48">
        <f t="shared" si="295"/>
        <v>0</v>
      </c>
      <c r="AO477" s="48">
        <f t="shared" si="296"/>
        <v>0</v>
      </c>
      <c r="AP477" s="48">
        <f t="shared" si="297"/>
        <v>0</v>
      </c>
      <c r="AQ477" s="48">
        <f t="shared" si="298"/>
        <v>0</v>
      </c>
      <c r="AR477" s="48">
        <f t="shared" si="299"/>
        <v>0</v>
      </c>
      <c r="AS477" s="48">
        <f t="shared" si="300"/>
        <v>0</v>
      </c>
      <c r="AT477" s="48">
        <f t="shared" si="301"/>
        <v>0</v>
      </c>
      <c r="AU477" s="48">
        <f t="shared" si="302"/>
        <v>0</v>
      </c>
      <c r="AV477" s="48">
        <f t="shared" si="303"/>
        <v>0</v>
      </c>
      <c r="AW477" s="48">
        <f>IF(N477="ПП",РПП*AB477*(V477/1.5),IF(N477="ВП",ВПр*AB477*(V477/1.5),IF(N477="РПА",РПА*AB477*(V477/1.5),IF(N477="КПА",кпа*AB477*(V477/1.5),0))))</f>
        <v>0</v>
      </c>
      <c r="AX477" s="48">
        <f t="shared" si="304"/>
        <v>0</v>
      </c>
      <c r="AY477" s="48">
        <f t="shared" si="305"/>
        <v>0</v>
      </c>
      <c r="AZ477" s="48">
        <f t="shared" si="306"/>
        <v>0</v>
      </c>
      <c r="BA477" s="48">
        <f t="shared" si="307"/>
        <v>0</v>
      </c>
      <c r="BB477" s="48">
        <f t="shared" si="308"/>
        <v>0</v>
      </c>
      <c r="BC477" s="48">
        <f t="shared" si="309"/>
        <v>0</v>
      </c>
      <c r="BD477" s="48">
        <f t="shared" si="310"/>
        <v>0</v>
      </c>
      <c r="BE477" s="48">
        <f t="shared" si="311"/>
        <v>1.3333333333333333</v>
      </c>
      <c r="BF477" s="49">
        <f t="shared" si="312"/>
        <v>1.3333333333333333</v>
      </c>
      <c r="BG477" s="50"/>
      <c r="BH477" s="51">
        <f t="shared" si="313"/>
        <v>0</v>
      </c>
      <c r="BI477" s="51">
        <f t="shared" si="314"/>
        <v>0</v>
      </c>
      <c r="BJ477" s="51">
        <f t="shared" si="315"/>
        <v>0</v>
      </c>
      <c r="BK477" s="52">
        <f t="shared" si="316"/>
        <v>0</v>
      </c>
      <c r="BL477" s="52">
        <f t="shared" si="317"/>
        <v>0</v>
      </c>
      <c r="BM477" s="52">
        <f t="shared" si="318"/>
        <v>1.3333333333333333</v>
      </c>
    </row>
    <row r="478" spans="1:65" ht="30" customHeight="1" x14ac:dyDescent="0.25">
      <c r="A478" s="31" t="str">
        <f t="shared" si="283"/>
        <v>Д</v>
      </c>
      <c r="B478" s="31" t="str">
        <f t="shared" si="284"/>
        <v>М</v>
      </c>
      <c r="C478" s="32" t="s">
        <v>241</v>
      </c>
      <c r="D478" s="33" t="str">
        <f t="shared" si="285"/>
        <v>Факультет физико-математических и естественных наук</v>
      </c>
      <c r="E478" s="34" t="str">
        <f t="shared" si="286"/>
        <v>'09.04.03</v>
      </c>
      <c r="F478" s="35" t="str">
        <f t="shared" si="287"/>
        <v>Искусственный интеллект и анализ данных</v>
      </c>
      <c r="G478" s="36" t="s">
        <v>166</v>
      </c>
      <c r="H478" s="36" t="s">
        <v>77</v>
      </c>
      <c r="I478" s="37"/>
      <c r="J478" s="37"/>
      <c r="K478" s="38" t="s">
        <v>177</v>
      </c>
      <c r="L478" s="39">
        <v>4</v>
      </c>
      <c r="M478" s="39"/>
      <c r="N478" s="40" t="s">
        <v>181</v>
      </c>
      <c r="O478" s="39"/>
      <c r="P478" s="39"/>
      <c r="Q478" s="39"/>
      <c r="R478" s="40"/>
      <c r="S478" s="41"/>
      <c r="T478" s="41"/>
      <c r="U478" s="41"/>
      <c r="V478" s="41"/>
      <c r="W478" s="41"/>
      <c r="X478" s="42" t="str">
        <f t="shared" si="288"/>
        <v>НПИмд</v>
      </c>
      <c r="Y478" s="43" t="s">
        <v>107</v>
      </c>
      <c r="Z478" s="39"/>
      <c r="AA478" s="124">
        <f t="shared" si="289"/>
        <v>0.66666666666666663</v>
      </c>
      <c r="AB478" s="123">
        <f t="shared" si="290"/>
        <v>8</v>
      </c>
      <c r="AC478" s="124">
        <v>5</v>
      </c>
      <c r="AD478" s="124">
        <v>3</v>
      </c>
      <c r="AE478" s="44">
        <f t="shared" si="291"/>
        <v>1</v>
      </c>
      <c r="AF478" s="45">
        <f t="shared" si="292"/>
        <v>1</v>
      </c>
      <c r="AG478" s="45">
        <f t="shared" si="293"/>
        <v>8</v>
      </c>
      <c r="AH478" s="46" t="s">
        <v>82</v>
      </c>
      <c r="AI478" s="40" t="s">
        <v>83</v>
      </c>
      <c r="AJ478" s="40" t="s">
        <v>84</v>
      </c>
      <c r="AK478" s="47" t="s">
        <v>93</v>
      </c>
      <c r="AL478" s="40"/>
      <c r="AM478" s="48">
        <f t="shared" si="294"/>
        <v>0</v>
      </c>
      <c r="AN478" s="48">
        <f t="shared" si="295"/>
        <v>0</v>
      </c>
      <c r="AO478" s="48">
        <f t="shared" si="296"/>
        <v>0</v>
      </c>
      <c r="AP478" s="48">
        <f t="shared" si="297"/>
        <v>0</v>
      </c>
      <c r="AQ478" s="48">
        <f t="shared" si="298"/>
        <v>0</v>
      </c>
      <c r="AR478" s="48">
        <f t="shared" si="299"/>
        <v>0</v>
      </c>
      <c r="AS478" s="48">
        <f t="shared" si="300"/>
        <v>0</v>
      </c>
      <c r="AT478" s="48">
        <f t="shared" si="301"/>
        <v>0</v>
      </c>
      <c r="AU478" s="48">
        <f t="shared" si="302"/>
        <v>0</v>
      </c>
      <c r="AV478" s="48">
        <f t="shared" si="303"/>
        <v>0</v>
      </c>
      <c r="AW478" s="48">
        <f>IF(N478="ПП",РПП*AB478*(V478/1.5),IF(N478="ВП",ВПр*AB478*(V478/1.5),IF(N478="РПА",РПА*AB478*(V478/1.5),IF(N478="КПА",кпа*AB478*(V478/1.5),0))))</f>
        <v>0</v>
      </c>
      <c r="AX478" s="48">
        <f t="shared" si="304"/>
        <v>0</v>
      </c>
      <c r="AY478" s="48">
        <f t="shared" si="305"/>
        <v>0</v>
      </c>
      <c r="AZ478" s="48">
        <f t="shared" si="306"/>
        <v>0</v>
      </c>
      <c r="BA478" s="48">
        <f t="shared" si="307"/>
        <v>0</v>
      </c>
      <c r="BB478" s="48">
        <f t="shared" si="308"/>
        <v>0</v>
      </c>
      <c r="BC478" s="48">
        <f t="shared" si="309"/>
        <v>0</v>
      </c>
      <c r="BD478" s="48">
        <f t="shared" si="310"/>
        <v>0</v>
      </c>
      <c r="BE478" s="48">
        <f t="shared" si="311"/>
        <v>4</v>
      </c>
      <c r="BF478" s="49">
        <f t="shared" si="312"/>
        <v>4</v>
      </c>
      <c r="BG478" s="50"/>
      <c r="BH478" s="51">
        <f t="shared" si="313"/>
        <v>0</v>
      </c>
      <c r="BI478" s="51">
        <f t="shared" si="314"/>
        <v>0</v>
      </c>
      <c r="BJ478" s="51">
        <f t="shared" si="315"/>
        <v>0</v>
      </c>
      <c r="BK478" s="52">
        <f t="shared" si="316"/>
        <v>0</v>
      </c>
      <c r="BL478" s="52">
        <f t="shared" si="317"/>
        <v>0</v>
      </c>
      <c r="BM478" s="52">
        <f t="shared" si="318"/>
        <v>4</v>
      </c>
    </row>
    <row r="479" spans="1:65" ht="30" customHeight="1" x14ac:dyDescent="0.25">
      <c r="A479" s="31" t="str">
        <f t="shared" si="283"/>
        <v>Д</v>
      </c>
      <c r="B479" s="31" t="str">
        <f t="shared" si="284"/>
        <v>М</v>
      </c>
      <c r="C479" s="32" t="s">
        <v>241</v>
      </c>
      <c r="D479" s="33" t="str">
        <f t="shared" si="285"/>
        <v>Факультет физико-математических и естественных наук</v>
      </c>
      <c r="E479" s="34" t="str">
        <f t="shared" si="286"/>
        <v>'09.04.03</v>
      </c>
      <c r="F479" s="35" t="str">
        <f t="shared" si="287"/>
        <v>Искусственный интеллект и анализ данных</v>
      </c>
      <c r="G479" s="36" t="s">
        <v>166</v>
      </c>
      <c r="H479" s="36" t="s">
        <v>77</v>
      </c>
      <c r="I479" s="37"/>
      <c r="J479" s="37"/>
      <c r="K479" s="38" t="s">
        <v>171</v>
      </c>
      <c r="L479" s="39">
        <v>4</v>
      </c>
      <c r="M479" s="39"/>
      <c r="N479" s="40" t="s">
        <v>172</v>
      </c>
      <c r="O479" s="39"/>
      <c r="P479" s="39"/>
      <c r="Q479" s="39"/>
      <c r="R479" s="40"/>
      <c r="S479" s="41"/>
      <c r="T479" s="41"/>
      <c r="U479" s="41"/>
      <c r="V479" s="41"/>
      <c r="W479" s="41"/>
      <c r="X479" s="42" t="str">
        <f t="shared" si="288"/>
        <v>НПИмд</v>
      </c>
      <c r="Y479" s="43" t="s">
        <v>107</v>
      </c>
      <c r="Z479" s="39">
        <v>1</v>
      </c>
      <c r="AA479" s="124">
        <f t="shared" si="289"/>
        <v>0.66666666666666663</v>
      </c>
      <c r="AB479" s="123">
        <f t="shared" si="290"/>
        <v>8</v>
      </c>
      <c r="AC479" s="124">
        <v>5</v>
      </c>
      <c r="AD479" s="124">
        <v>3</v>
      </c>
      <c r="AE479" s="44">
        <f t="shared" si="291"/>
        <v>1</v>
      </c>
      <c r="AF479" s="45">
        <f t="shared" si="292"/>
        <v>1</v>
      </c>
      <c r="AG479" s="45">
        <f t="shared" si="293"/>
        <v>8</v>
      </c>
      <c r="AH479" s="46" t="s">
        <v>82</v>
      </c>
      <c r="AI479" s="40" t="s">
        <v>83</v>
      </c>
      <c r="AJ479" s="40" t="s">
        <v>84</v>
      </c>
      <c r="AK479" s="47" t="s">
        <v>97</v>
      </c>
      <c r="AL479" s="40"/>
      <c r="AM479" s="48">
        <f t="shared" si="294"/>
        <v>0</v>
      </c>
      <c r="AN479" s="48">
        <f t="shared" si="295"/>
        <v>0</v>
      </c>
      <c r="AO479" s="48">
        <f t="shared" si="296"/>
        <v>0</v>
      </c>
      <c r="AP479" s="48">
        <f t="shared" si="297"/>
        <v>0</v>
      </c>
      <c r="AQ479" s="48">
        <f t="shared" si="298"/>
        <v>0</v>
      </c>
      <c r="AR479" s="48">
        <f t="shared" si="299"/>
        <v>0</v>
      </c>
      <c r="AS479" s="48">
        <f t="shared" si="300"/>
        <v>0</v>
      </c>
      <c r="AT479" s="48">
        <f t="shared" si="301"/>
        <v>0</v>
      </c>
      <c r="AU479" s="48">
        <f t="shared" si="302"/>
        <v>0</v>
      </c>
      <c r="AV479" s="48">
        <f t="shared" si="303"/>
        <v>0</v>
      </c>
      <c r="AW479" s="48">
        <f>IF(N479="ПП",РПП*AB479*(V479/1.5),IF(N479="ВП",ВПр*AB479*(V479/1.5),IF(N479="РПА",РПА*AB479*(V479/1.5),IF(N479="КПА",кпа*AB479*(V479/1.5),0))))</f>
        <v>0</v>
      </c>
      <c r="AX479" s="48">
        <f t="shared" si="304"/>
        <v>0</v>
      </c>
      <c r="AY479" s="48">
        <f t="shared" si="305"/>
        <v>0</v>
      </c>
      <c r="AZ479" s="48">
        <f t="shared" si="306"/>
        <v>0</v>
      </c>
      <c r="BA479" s="48">
        <f t="shared" si="307"/>
        <v>0</v>
      </c>
      <c r="BB479" s="48">
        <f t="shared" si="308"/>
        <v>0</v>
      </c>
      <c r="BC479" s="48">
        <f t="shared" si="309"/>
        <v>238</v>
      </c>
      <c r="BD479" s="48">
        <f t="shared" si="310"/>
        <v>0</v>
      </c>
      <c r="BE479" s="48">
        <f t="shared" si="311"/>
        <v>0</v>
      </c>
      <c r="BF479" s="49">
        <f t="shared" si="312"/>
        <v>238</v>
      </c>
      <c r="BG479" s="50"/>
      <c r="BH479" s="51">
        <f t="shared" si="313"/>
        <v>0</v>
      </c>
      <c r="BI479" s="51">
        <f t="shared" si="314"/>
        <v>0</v>
      </c>
      <c r="BJ479" s="51">
        <f t="shared" si="315"/>
        <v>0</v>
      </c>
      <c r="BK479" s="52">
        <f t="shared" si="316"/>
        <v>0</v>
      </c>
      <c r="BL479" s="52">
        <f t="shared" si="317"/>
        <v>0</v>
      </c>
      <c r="BM479" s="52">
        <f t="shared" si="318"/>
        <v>238</v>
      </c>
    </row>
    <row r="480" spans="1:65" ht="30" customHeight="1" x14ac:dyDescent="0.25">
      <c r="A480" s="31" t="str">
        <f t="shared" si="283"/>
        <v>Д</v>
      </c>
      <c r="B480" s="31" t="str">
        <f t="shared" si="284"/>
        <v>М</v>
      </c>
      <c r="C480" s="32" t="s">
        <v>241</v>
      </c>
      <c r="D480" s="33" t="str">
        <f t="shared" si="285"/>
        <v>Факультет физико-математических и естественных наук</v>
      </c>
      <c r="E480" s="34" t="str">
        <f t="shared" si="286"/>
        <v>'09.04.03</v>
      </c>
      <c r="F480" s="35" t="str">
        <f t="shared" si="287"/>
        <v>Искусственный интеллект и анализ данных</v>
      </c>
      <c r="G480" s="36" t="s">
        <v>166</v>
      </c>
      <c r="H480" s="36" t="s">
        <v>77</v>
      </c>
      <c r="I480" s="37"/>
      <c r="J480" s="37"/>
      <c r="K480" s="38" t="s">
        <v>47</v>
      </c>
      <c r="L480" s="39">
        <v>4</v>
      </c>
      <c r="M480" s="39"/>
      <c r="N480" s="40" t="s">
        <v>174</v>
      </c>
      <c r="O480" s="39"/>
      <c r="P480" s="39"/>
      <c r="Q480" s="39"/>
      <c r="R480" s="40"/>
      <c r="S480" s="41"/>
      <c r="T480" s="41"/>
      <c r="U480" s="41"/>
      <c r="V480" s="41"/>
      <c r="W480" s="41"/>
      <c r="X480" s="42" t="str">
        <f t="shared" si="288"/>
        <v>НПИмд</v>
      </c>
      <c r="Y480" s="43" t="s">
        <v>107</v>
      </c>
      <c r="Z480" s="39">
        <v>1</v>
      </c>
      <c r="AA480" s="124">
        <f t="shared" si="289"/>
        <v>0.66666666666666663</v>
      </c>
      <c r="AB480" s="123">
        <f t="shared" si="290"/>
        <v>8</v>
      </c>
      <c r="AC480" s="124">
        <v>5</v>
      </c>
      <c r="AD480" s="124">
        <v>3</v>
      </c>
      <c r="AE480" s="44">
        <f t="shared" si="291"/>
        <v>1</v>
      </c>
      <c r="AF480" s="45">
        <f t="shared" si="292"/>
        <v>1</v>
      </c>
      <c r="AG480" s="45">
        <f t="shared" si="293"/>
        <v>8</v>
      </c>
      <c r="AH480" s="46" t="s">
        <v>82</v>
      </c>
      <c r="AI480" s="40" t="s">
        <v>148</v>
      </c>
      <c r="AJ480" s="40"/>
      <c r="AK480" s="47" t="s">
        <v>149</v>
      </c>
      <c r="AL480" s="40"/>
      <c r="AM480" s="48">
        <f t="shared" si="294"/>
        <v>0</v>
      </c>
      <c r="AN480" s="48">
        <f t="shared" si="295"/>
        <v>0</v>
      </c>
      <c r="AO480" s="48">
        <f t="shared" si="296"/>
        <v>0</v>
      </c>
      <c r="AP480" s="48">
        <f t="shared" si="297"/>
        <v>0</v>
      </c>
      <c r="AQ480" s="48">
        <f t="shared" si="298"/>
        <v>0</v>
      </c>
      <c r="AR480" s="48">
        <f t="shared" si="299"/>
        <v>0</v>
      </c>
      <c r="AS480" s="48">
        <f t="shared" si="300"/>
        <v>0</v>
      </c>
      <c r="AT480" s="48">
        <f t="shared" si="301"/>
        <v>0</v>
      </c>
      <c r="AU480" s="48">
        <f t="shared" si="302"/>
        <v>0</v>
      </c>
      <c r="AV480" s="48">
        <f t="shared" si="303"/>
        <v>0</v>
      </c>
      <c r="AW480" s="48">
        <f>IF(N480="ПП",РПП*AB480*(V480/1.5),IF(N480="ВП",ВПр*AB480*(V480/1.5),IF(N480="РПА",РПА*AB480*(V480/1.5),IF(N480="КПА",кпа*AB480*(V480/1.5),0))))</f>
        <v>0</v>
      </c>
      <c r="AX480" s="48">
        <f t="shared" si="304"/>
        <v>0</v>
      </c>
      <c r="AY480" s="48">
        <f t="shared" si="305"/>
        <v>0</v>
      </c>
      <c r="AZ480" s="48">
        <f t="shared" si="306"/>
        <v>0</v>
      </c>
      <c r="BA480" s="48">
        <f t="shared" si="307"/>
        <v>0</v>
      </c>
      <c r="BB480" s="48">
        <f t="shared" si="308"/>
        <v>0</v>
      </c>
      <c r="BC480" s="48">
        <f t="shared" si="309"/>
        <v>0</v>
      </c>
      <c r="BD480" s="48">
        <f t="shared" si="310"/>
        <v>32</v>
      </c>
      <c r="BE480" s="48">
        <f t="shared" si="311"/>
        <v>0</v>
      </c>
      <c r="BF480" s="49">
        <f t="shared" si="312"/>
        <v>32</v>
      </c>
      <c r="BG480" s="50"/>
      <c r="BH480" s="51">
        <f t="shared" si="313"/>
        <v>0</v>
      </c>
      <c r="BI480" s="51">
        <f t="shared" si="314"/>
        <v>0</v>
      </c>
      <c r="BJ480" s="51">
        <f t="shared" si="315"/>
        <v>0</v>
      </c>
      <c r="BK480" s="52">
        <f t="shared" si="316"/>
        <v>0</v>
      </c>
      <c r="BL480" s="52">
        <f t="shared" si="317"/>
        <v>0</v>
      </c>
      <c r="BM480" s="52">
        <f t="shared" si="318"/>
        <v>32</v>
      </c>
    </row>
    <row r="481" spans="1:65" ht="30" customHeight="1" x14ac:dyDescent="0.25">
      <c r="A481" s="31" t="str">
        <f t="shared" si="283"/>
        <v>Д</v>
      </c>
      <c r="B481" s="31" t="str">
        <f t="shared" si="284"/>
        <v>М</v>
      </c>
      <c r="C481" s="32" t="s">
        <v>261</v>
      </c>
      <c r="D481" s="33" t="str">
        <f t="shared" si="285"/>
        <v>Факультет физико-математических и естественных наук</v>
      </c>
      <c r="E481" s="34" t="str">
        <f t="shared" si="286"/>
        <v>'01.04.02</v>
      </c>
      <c r="F481" s="35" t="str">
        <f t="shared" si="287"/>
        <v>Теория вероятностей и математическая статистика</v>
      </c>
      <c r="G481" s="36" t="s">
        <v>153</v>
      </c>
      <c r="H481" s="36" t="s">
        <v>77</v>
      </c>
      <c r="I481" s="37"/>
      <c r="J481" s="37"/>
      <c r="K481" s="38" t="s">
        <v>155</v>
      </c>
      <c r="L481" s="39">
        <v>2</v>
      </c>
      <c r="M481" s="39">
        <v>18</v>
      </c>
      <c r="N481" s="40" t="s">
        <v>156</v>
      </c>
      <c r="O481" s="39"/>
      <c r="P481" s="39"/>
      <c r="Q481" s="39"/>
      <c r="R481" s="40"/>
      <c r="S481" s="41"/>
      <c r="T481" s="41"/>
      <c r="U481" s="41"/>
      <c r="V481" s="41"/>
      <c r="W481" s="41"/>
      <c r="X481" s="42" t="str">
        <f t="shared" si="288"/>
        <v>НПМмд</v>
      </c>
      <c r="Y481" s="43" t="s">
        <v>87</v>
      </c>
      <c r="Z481" s="39">
        <v>1</v>
      </c>
      <c r="AA481" s="39">
        <v>1</v>
      </c>
      <c r="AB481" s="42">
        <f t="shared" si="290"/>
        <v>0</v>
      </c>
      <c r="AC481" s="39"/>
      <c r="AD481" s="39"/>
      <c r="AE481" s="44">
        <f t="shared" si="291"/>
        <v>1</v>
      </c>
      <c r="AF481" s="45">
        <f t="shared" si="292"/>
        <v>0</v>
      </c>
      <c r="AG481" s="45">
        <f t="shared" si="293"/>
        <v>0</v>
      </c>
      <c r="AH481" s="46" t="s">
        <v>82</v>
      </c>
      <c r="AI481" s="40" t="s">
        <v>99</v>
      </c>
      <c r="AJ481" s="40" t="s">
        <v>100</v>
      </c>
      <c r="AK481" s="47" t="s">
        <v>101</v>
      </c>
      <c r="AL481" s="40"/>
      <c r="AM481" s="48">
        <f t="shared" si="294"/>
        <v>0</v>
      </c>
      <c r="AN481" s="48">
        <f t="shared" si="295"/>
        <v>0</v>
      </c>
      <c r="AO481" s="48">
        <f t="shared" si="296"/>
        <v>0</v>
      </c>
      <c r="AP481" s="48">
        <f t="shared" si="297"/>
        <v>0</v>
      </c>
      <c r="AQ481" s="48">
        <f t="shared" si="298"/>
        <v>0</v>
      </c>
      <c r="AR481" s="48">
        <f t="shared" si="299"/>
        <v>0</v>
      </c>
      <c r="AS481" s="48">
        <f t="shared" si="300"/>
        <v>0</v>
      </c>
      <c r="AT481" s="48">
        <f t="shared" si="301"/>
        <v>0</v>
      </c>
      <c r="AU481" s="48">
        <f t="shared" si="302"/>
        <v>0</v>
      </c>
      <c r="AV481" s="48">
        <f t="shared" si="303"/>
        <v>0</v>
      </c>
      <c r="AW481" s="48">
        <f>IF(N481="ПП",РПП*AB481*(V481/1.5),IF(N481="ВП",ВПр*AB481*(V481/1.5),IF(N481="РПА",РПА*AB481*(V481/1.5),IF(N481="КПА",кпа*AB481*(V481/1.5),0))))</f>
        <v>0</v>
      </c>
      <c r="AX481" s="48">
        <f t="shared" si="304"/>
        <v>0</v>
      </c>
      <c r="AY481" s="48">
        <f t="shared" si="305"/>
        <v>0</v>
      </c>
      <c r="AZ481" s="48">
        <f t="shared" si="306"/>
        <v>0</v>
      </c>
      <c r="BA481" s="48">
        <f t="shared" si="307"/>
        <v>0</v>
      </c>
      <c r="BB481" s="48">
        <f t="shared" si="308"/>
        <v>0</v>
      </c>
      <c r="BC481" s="48">
        <f t="shared" si="309"/>
        <v>0</v>
      </c>
      <c r="BD481" s="48">
        <f t="shared" si="310"/>
        <v>0</v>
      </c>
      <c r="BE481" s="48">
        <f t="shared" si="311"/>
        <v>0</v>
      </c>
      <c r="BF481" s="49">
        <f t="shared" si="312"/>
        <v>0</v>
      </c>
      <c r="BG481" s="50"/>
      <c r="BH481" s="51">
        <f t="shared" si="313"/>
        <v>0</v>
      </c>
      <c r="BI481" s="51">
        <f t="shared" si="314"/>
        <v>0</v>
      </c>
      <c r="BJ481" s="51">
        <f t="shared" si="315"/>
        <v>0</v>
      </c>
      <c r="BK481" s="52">
        <f t="shared" si="316"/>
        <v>0</v>
      </c>
      <c r="BL481" s="52">
        <f t="shared" si="317"/>
        <v>0</v>
      </c>
      <c r="BM481" s="52">
        <f t="shared" si="318"/>
        <v>0</v>
      </c>
    </row>
    <row r="482" spans="1:65" ht="30" customHeight="1" x14ac:dyDescent="0.25">
      <c r="A482" s="31" t="str">
        <f t="shared" si="283"/>
        <v>Д</v>
      </c>
      <c r="B482" s="31" t="str">
        <f t="shared" si="284"/>
        <v>М</v>
      </c>
      <c r="C482" s="32" t="s">
        <v>261</v>
      </c>
      <c r="D482" s="33" t="str">
        <f t="shared" si="285"/>
        <v>Факультет физико-математических и естественных наук</v>
      </c>
      <c r="E482" s="34" t="str">
        <f t="shared" si="286"/>
        <v>'01.04.02</v>
      </c>
      <c r="F482" s="35" t="str">
        <f t="shared" si="287"/>
        <v>Теория вероятностей и математическая статистика</v>
      </c>
      <c r="G482" s="36" t="s">
        <v>76</v>
      </c>
      <c r="H482" s="36" t="s">
        <v>183</v>
      </c>
      <c r="I482" s="37"/>
      <c r="J482" s="37"/>
      <c r="K482" s="38" t="s">
        <v>262</v>
      </c>
      <c r="L482" s="39">
        <v>3</v>
      </c>
      <c r="M482" s="39">
        <v>18</v>
      </c>
      <c r="N482" s="40" t="s">
        <v>79</v>
      </c>
      <c r="O482" s="39">
        <v>1</v>
      </c>
      <c r="P482" s="39"/>
      <c r="Q482" s="39"/>
      <c r="R482" s="40" t="s">
        <v>80</v>
      </c>
      <c r="S482" s="41"/>
      <c r="T482" s="41"/>
      <c r="U482" s="41"/>
      <c r="V482" s="41"/>
      <c r="W482" s="41"/>
      <c r="X482" s="42" t="str">
        <f t="shared" si="288"/>
        <v>НПМмд</v>
      </c>
      <c r="Y482" s="43" t="s">
        <v>107</v>
      </c>
      <c r="Z482" s="39">
        <v>1</v>
      </c>
      <c r="AA482" s="39">
        <v>1</v>
      </c>
      <c r="AB482" s="42">
        <f t="shared" si="290"/>
        <v>12</v>
      </c>
      <c r="AC482" s="39">
        <v>10</v>
      </c>
      <c r="AD482" s="39">
        <v>2</v>
      </c>
      <c r="AE482" s="44">
        <f t="shared" si="291"/>
        <v>12</v>
      </c>
      <c r="AF482" s="45">
        <f t="shared" si="292"/>
        <v>1</v>
      </c>
      <c r="AG482" s="45">
        <f t="shared" si="293"/>
        <v>1</v>
      </c>
      <c r="AH482" s="46" t="s">
        <v>82</v>
      </c>
      <c r="AI482" s="40" t="s">
        <v>83</v>
      </c>
      <c r="AJ482" s="40" t="s">
        <v>116</v>
      </c>
      <c r="AK482" s="47" t="s">
        <v>263</v>
      </c>
      <c r="AL482" s="40"/>
      <c r="AM482" s="48">
        <f t="shared" si="294"/>
        <v>18</v>
      </c>
      <c r="AN482" s="48">
        <f t="shared" si="295"/>
        <v>0</v>
      </c>
      <c r="AO482" s="48">
        <f t="shared" si="296"/>
        <v>0</v>
      </c>
      <c r="AP482" s="48">
        <f t="shared" si="297"/>
        <v>3.96</v>
      </c>
      <c r="AQ482" s="48">
        <f t="shared" si="298"/>
        <v>6</v>
      </c>
      <c r="AR482" s="48">
        <f t="shared" si="299"/>
        <v>1</v>
      </c>
      <c r="AS482" s="48">
        <f t="shared" si="300"/>
        <v>0.9</v>
      </c>
      <c r="AT482" s="48">
        <f t="shared" si="301"/>
        <v>0</v>
      </c>
      <c r="AU482" s="48">
        <f t="shared" si="302"/>
        <v>0</v>
      </c>
      <c r="AV482" s="48">
        <f t="shared" si="303"/>
        <v>0</v>
      </c>
      <c r="AW482" s="48">
        <f>IF(N482="ПП",РПП*AB482*(V482/1.5),IF(N482="ВП",ВПр*AB482*(V482/1.5),IF(N482="РПА",РПА*AB482*(V482/1.5),IF(N482="КПА",кпа*AB482*(V482/1.5),0))))</f>
        <v>0</v>
      </c>
      <c r="AX482" s="48">
        <f t="shared" si="304"/>
        <v>0</v>
      </c>
      <c r="AY482" s="48">
        <f t="shared" si="305"/>
        <v>0</v>
      </c>
      <c r="AZ482" s="48">
        <f t="shared" si="306"/>
        <v>0</v>
      </c>
      <c r="BA482" s="48">
        <f t="shared" si="307"/>
        <v>0</v>
      </c>
      <c r="BB482" s="48">
        <f t="shared" si="308"/>
        <v>0</v>
      </c>
      <c r="BC482" s="48">
        <f t="shared" si="309"/>
        <v>0</v>
      </c>
      <c r="BD482" s="48">
        <f t="shared" si="310"/>
        <v>0</v>
      </c>
      <c r="BE482" s="48">
        <f t="shared" si="311"/>
        <v>0</v>
      </c>
      <c r="BF482" s="49">
        <f t="shared" si="312"/>
        <v>29.86</v>
      </c>
      <c r="BG482" s="50"/>
      <c r="BH482" s="51">
        <f t="shared" si="313"/>
        <v>18</v>
      </c>
      <c r="BI482" s="51">
        <f t="shared" si="314"/>
        <v>0.5</v>
      </c>
      <c r="BJ482" s="51">
        <f t="shared" si="315"/>
        <v>11.860000000000001</v>
      </c>
      <c r="BK482" s="52">
        <f t="shared" si="316"/>
        <v>0</v>
      </c>
      <c r="BL482" s="52">
        <f t="shared" si="317"/>
        <v>0</v>
      </c>
      <c r="BM482" s="52">
        <f t="shared" si="318"/>
        <v>0</v>
      </c>
    </row>
    <row r="483" spans="1:65" ht="30" customHeight="1" x14ac:dyDescent="0.25">
      <c r="A483" s="31" t="str">
        <f t="shared" si="283"/>
        <v>Д</v>
      </c>
      <c r="B483" s="31" t="str">
        <f t="shared" si="284"/>
        <v>М</v>
      </c>
      <c r="C483" s="32" t="s">
        <v>261</v>
      </c>
      <c r="D483" s="33" t="str">
        <f t="shared" si="285"/>
        <v>Факультет физико-математических и естественных наук</v>
      </c>
      <c r="E483" s="34" t="str">
        <f t="shared" si="286"/>
        <v>'01.04.02</v>
      </c>
      <c r="F483" s="35" t="str">
        <f t="shared" si="287"/>
        <v>Теория вероятностей и математическая статистика</v>
      </c>
      <c r="G483" s="36" t="s">
        <v>76</v>
      </c>
      <c r="H483" s="36" t="s">
        <v>183</v>
      </c>
      <c r="I483" s="37"/>
      <c r="J483" s="37"/>
      <c r="K483" s="38" t="s">
        <v>262</v>
      </c>
      <c r="L483" s="39">
        <v>3</v>
      </c>
      <c r="M483" s="39">
        <v>18</v>
      </c>
      <c r="N483" s="40" t="s">
        <v>86</v>
      </c>
      <c r="O483" s="39"/>
      <c r="P483" s="39"/>
      <c r="Q483" s="39">
        <v>1</v>
      </c>
      <c r="R483" s="40"/>
      <c r="S483" s="41"/>
      <c r="T483" s="41"/>
      <c r="U483" s="41"/>
      <c r="V483" s="41"/>
      <c r="W483" s="41"/>
      <c r="X483" s="42" t="str">
        <f t="shared" si="288"/>
        <v>НПМмд</v>
      </c>
      <c r="Y483" s="43" t="s">
        <v>107</v>
      </c>
      <c r="Z483" s="39">
        <v>1</v>
      </c>
      <c r="AA483" s="39">
        <v>1</v>
      </c>
      <c r="AB483" s="42">
        <f t="shared" si="290"/>
        <v>12</v>
      </c>
      <c r="AC483" s="39">
        <v>10</v>
      </c>
      <c r="AD483" s="39">
        <v>2</v>
      </c>
      <c r="AE483" s="44">
        <f t="shared" si="291"/>
        <v>12</v>
      </c>
      <c r="AF483" s="45">
        <f t="shared" si="292"/>
        <v>1</v>
      </c>
      <c r="AG483" s="45">
        <f t="shared" si="293"/>
        <v>1</v>
      </c>
      <c r="AH483" s="46" t="s">
        <v>82</v>
      </c>
      <c r="AI483" s="40" t="s">
        <v>83</v>
      </c>
      <c r="AJ483" s="40" t="s">
        <v>116</v>
      </c>
      <c r="AK483" s="47" t="s">
        <v>263</v>
      </c>
      <c r="AL483" s="40"/>
      <c r="AM483" s="48">
        <f t="shared" si="294"/>
        <v>0</v>
      </c>
      <c r="AN483" s="48">
        <f t="shared" si="295"/>
        <v>18</v>
      </c>
      <c r="AO483" s="48">
        <f t="shared" si="296"/>
        <v>0</v>
      </c>
      <c r="AP483" s="48">
        <f t="shared" si="297"/>
        <v>0</v>
      </c>
      <c r="AQ483" s="48">
        <f t="shared" si="298"/>
        <v>0</v>
      </c>
      <c r="AR483" s="48">
        <f t="shared" si="299"/>
        <v>0</v>
      </c>
      <c r="AS483" s="48">
        <f t="shared" si="300"/>
        <v>0</v>
      </c>
      <c r="AT483" s="48">
        <f t="shared" si="301"/>
        <v>0</v>
      </c>
      <c r="AU483" s="48">
        <f t="shared" si="302"/>
        <v>0</v>
      </c>
      <c r="AV483" s="48">
        <f t="shared" si="303"/>
        <v>0</v>
      </c>
      <c r="AW483" s="48">
        <f>IF(N483="ПП",РПП*AB483*(V483/1.5),IF(N483="ВП",ВПр*AB483*(V483/1.5),IF(N483="РПА",РПА*AB483*(V483/1.5),IF(N483="КПА",кпа*AB483*(V483/1.5),0))))</f>
        <v>0</v>
      </c>
      <c r="AX483" s="48">
        <f t="shared" si="304"/>
        <v>0</v>
      </c>
      <c r="AY483" s="48">
        <f t="shared" si="305"/>
        <v>0</v>
      </c>
      <c r="AZ483" s="48">
        <f t="shared" si="306"/>
        <v>0</v>
      </c>
      <c r="BA483" s="48">
        <f t="shared" si="307"/>
        <v>0</v>
      </c>
      <c r="BB483" s="48">
        <f t="shared" si="308"/>
        <v>0</v>
      </c>
      <c r="BC483" s="48">
        <f t="shared" si="309"/>
        <v>0</v>
      </c>
      <c r="BD483" s="48">
        <f t="shared" si="310"/>
        <v>0</v>
      </c>
      <c r="BE483" s="48">
        <f t="shared" si="311"/>
        <v>0</v>
      </c>
      <c r="BF483" s="49">
        <f t="shared" si="312"/>
        <v>18</v>
      </c>
      <c r="BG483" s="50"/>
      <c r="BH483" s="51">
        <f t="shared" si="313"/>
        <v>18</v>
      </c>
      <c r="BI483" s="51">
        <f t="shared" si="314"/>
        <v>0.5</v>
      </c>
      <c r="BJ483" s="51">
        <f t="shared" si="315"/>
        <v>0</v>
      </c>
      <c r="BK483" s="52">
        <f t="shared" si="316"/>
        <v>0</v>
      </c>
      <c r="BL483" s="52">
        <f t="shared" si="317"/>
        <v>0</v>
      </c>
      <c r="BM483" s="52">
        <f t="shared" si="318"/>
        <v>0</v>
      </c>
    </row>
    <row r="484" spans="1:65" ht="30" customHeight="1" x14ac:dyDescent="0.25">
      <c r="A484" s="31" t="str">
        <f t="shared" si="283"/>
        <v>Д</v>
      </c>
      <c r="B484" s="31" t="str">
        <f t="shared" si="284"/>
        <v>М</v>
      </c>
      <c r="C484" s="32" t="s">
        <v>261</v>
      </c>
      <c r="D484" s="33" t="str">
        <f t="shared" si="285"/>
        <v>Факультет физико-математических и естественных наук</v>
      </c>
      <c r="E484" s="34" t="str">
        <f t="shared" si="286"/>
        <v>'01.04.02</v>
      </c>
      <c r="F484" s="35" t="str">
        <f t="shared" si="287"/>
        <v>Теория вероятностей и математическая статистика</v>
      </c>
      <c r="G484" s="36" t="s">
        <v>76</v>
      </c>
      <c r="H484" s="36" t="s">
        <v>183</v>
      </c>
      <c r="I484" s="37"/>
      <c r="J484" s="37"/>
      <c r="K484" s="38" t="s">
        <v>264</v>
      </c>
      <c r="L484" s="39">
        <v>3</v>
      </c>
      <c r="M484" s="39">
        <v>18</v>
      </c>
      <c r="N484" s="40" t="s">
        <v>79</v>
      </c>
      <c r="O484" s="39">
        <v>1</v>
      </c>
      <c r="P484" s="39"/>
      <c r="Q484" s="39"/>
      <c r="R484" s="40"/>
      <c r="S484" s="41"/>
      <c r="T484" s="41"/>
      <c r="U484" s="41"/>
      <c r="V484" s="41"/>
      <c r="W484" s="41"/>
      <c r="X484" s="42" t="str">
        <f t="shared" si="288"/>
        <v>НПМмд</v>
      </c>
      <c r="Y484" s="43" t="s">
        <v>107</v>
      </c>
      <c r="Z484" s="39">
        <v>1</v>
      </c>
      <c r="AA484" s="39">
        <v>1</v>
      </c>
      <c r="AB484" s="42">
        <f t="shared" si="290"/>
        <v>12</v>
      </c>
      <c r="AC484" s="39">
        <v>10</v>
      </c>
      <c r="AD484" s="39">
        <v>2</v>
      </c>
      <c r="AE484" s="44">
        <f t="shared" si="291"/>
        <v>12</v>
      </c>
      <c r="AF484" s="45">
        <f t="shared" si="292"/>
        <v>1</v>
      </c>
      <c r="AG484" s="45">
        <f t="shared" si="293"/>
        <v>1</v>
      </c>
      <c r="AH484" s="46" t="s">
        <v>82</v>
      </c>
      <c r="AI484" s="40" t="s">
        <v>83</v>
      </c>
      <c r="AJ484" s="40" t="s">
        <v>116</v>
      </c>
      <c r="AK484" s="47" t="s">
        <v>263</v>
      </c>
      <c r="AL484" s="40"/>
      <c r="AM484" s="48">
        <f t="shared" si="294"/>
        <v>18</v>
      </c>
      <c r="AN484" s="48">
        <f t="shared" si="295"/>
        <v>0</v>
      </c>
      <c r="AO484" s="48">
        <f t="shared" si="296"/>
        <v>0</v>
      </c>
      <c r="AP484" s="48">
        <f t="shared" si="297"/>
        <v>0</v>
      </c>
      <c r="AQ484" s="48">
        <f t="shared" si="298"/>
        <v>0</v>
      </c>
      <c r="AR484" s="48">
        <f t="shared" si="299"/>
        <v>0</v>
      </c>
      <c r="AS484" s="48">
        <f t="shared" si="300"/>
        <v>0.9</v>
      </c>
      <c r="AT484" s="48">
        <f t="shared" si="301"/>
        <v>0</v>
      </c>
      <c r="AU484" s="48">
        <f t="shared" si="302"/>
        <v>0</v>
      </c>
      <c r="AV484" s="48">
        <f t="shared" si="303"/>
        <v>0</v>
      </c>
      <c r="AW484" s="48">
        <f>IF(N484="ПП",РПП*AB484*(V484/1.5),IF(N484="ВП",ВПр*AB484*(V484/1.5),IF(N484="РПА",РПА*AB484*(V484/1.5),IF(N484="КПА",кпа*AB484*(V484/1.5),0))))</f>
        <v>0</v>
      </c>
      <c r="AX484" s="48">
        <f t="shared" si="304"/>
        <v>0</v>
      </c>
      <c r="AY484" s="48">
        <f t="shared" si="305"/>
        <v>0</v>
      </c>
      <c r="AZ484" s="48">
        <f t="shared" si="306"/>
        <v>0</v>
      </c>
      <c r="BA484" s="48">
        <f t="shared" si="307"/>
        <v>0</v>
      </c>
      <c r="BB484" s="48">
        <f t="shared" si="308"/>
        <v>0</v>
      </c>
      <c r="BC484" s="48">
        <f t="shared" si="309"/>
        <v>0</v>
      </c>
      <c r="BD484" s="48">
        <f t="shared" si="310"/>
        <v>0</v>
      </c>
      <c r="BE484" s="48">
        <f t="shared" si="311"/>
        <v>0</v>
      </c>
      <c r="BF484" s="49">
        <f t="shared" si="312"/>
        <v>18.899999999999999</v>
      </c>
      <c r="BG484" s="50"/>
      <c r="BH484" s="51">
        <f t="shared" si="313"/>
        <v>18</v>
      </c>
      <c r="BI484" s="51">
        <f t="shared" si="314"/>
        <v>0.5</v>
      </c>
      <c r="BJ484" s="51">
        <f t="shared" si="315"/>
        <v>0.9</v>
      </c>
      <c r="BK484" s="52">
        <f t="shared" si="316"/>
        <v>0</v>
      </c>
      <c r="BL484" s="52">
        <f t="shared" si="317"/>
        <v>0</v>
      </c>
      <c r="BM484" s="52">
        <f t="shared" si="318"/>
        <v>0</v>
      </c>
    </row>
    <row r="485" spans="1:65" ht="30" customHeight="1" x14ac:dyDescent="0.25">
      <c r="A485" s="31" t="str">
        <f t="shared" si="283"/>
        <v>Д</v>
      </c>
      <c r="B485" s="31" t="str">
        <f t="shared" si="284"/>
        <v>М</v>
      </c>
      <c r="C485" s="32" t="s">
        <v>261</v>
      </c>
      <c r="D485" s="33" t="str">
        <f t="shared" si="285"/>
        <v>Факультет физико-математических и естественных наук</v>
      </c>
      <c r="E485" s="34" t="str">
        <f t="shared" si="286"/>
        <v>'01.04.02</v>
      </c>
      <c r="F485" s="35" t="str">
        <f t="shared" si="287"/>
        <v>Теория вероятностей и математическая статистика</v>
      </c>
      <c r="G485" s="36" t="s">
        <v>76</v>
      </c>
      <c r="H485" s="36" t="s">
        <v>183</v>
      </c>
      <c r="I485" s="37"/>
      <c r="J485" s="37"/>
      <c r="K485" s="38" t="s">
        <v>264</v>
      </c>
      <c r="L485" s="39">
        <v>3</v>
      </c>
      <c r="M485" s="39">
        <v>18</v>
      </c>
      <c r="N485" s="40" t="s">
        <v>94</v>
      </c>
      <c r="O485" s="39"/>
      <c r="P485" s="39">
        <v>1</v>
      </c>
      <c r="Q485" s="39"/>
      <c r="R485" s="40" t="s">
        <v>95</v>
      </c>
      <c r="S485" s="41"/>
      <c r="T485" s="41"/>
      <c r="U485" s="41"/>
      <c r="V485" s="41"/>
      <c r="W485" s="41"/>
      <c r="X485" s="42" t="str">
        <f t="shared" si="288"/>
        <v>НПМмд</v>
      </c>
      <c r="Y485" s="43" t="s">
        <v>107</v>
      </c>
      <c r="Z485" s="39">
        <v>1</v>
      </c>
      <c r="AA485" s="39">
        <v>1</v>
      </c>
      <c r="AB485" s="42">
        <f t="shared" si="290"/>
        <v>12</v>
      </c>
      <c r="AC485" s="39">
        <v>10</v>
      </c>
      <c r="AD485" s="39">
        <v>2</v>
      </c>
      <c r="AE485" s="44">
        <f t="shared" si="291"/>
        <v>12</v>
      </c>
      <c r="AF485" s="45">
        <f t="shared" si="292"/>
        <v>1</v>
      </c>
      <c r="AG485" s="45">
        <f t="shared" si="293"/>
        <v>1</v>
      </c>
      <c r="AH485" s="46" t="s">
        <v>82</v>
      </c>
      <c r="AI485" s="40" t="s">
        <v>83</v>
      </c>
      <c r="AJ485" s="40" t="s">
        <v>116</v>
      </c>
      <c r="AK485" s="47" t="s">
        <v>263</v>
      </c>
      <c r="AL485" s="40"/>
      <c r="AM485" s="48">
        <f t="shared" si="294"/>
        <v>0</v>
      </c>
      <c r="AN485" s="48">
        <f t="shared" si="295"/>
        <v>0</v>
      </c>
      <c r="AO485" s="48">
        <f t="shared" si="296"/>
        <v>18</v>
      </c>
      <c r="AP485" s="48">
        <f t="shared" si="297"/>
        <v>3.96</v>
      </c>
      <c r="AQ485" s="48">
        <f t="shared" si="298"/>
        <v>6</v>
      </c>
      <c r="AR485" s="48">
        <f t="shared" si="299"/>
        <v>1</v>
      </c>
      <c r="AS485" s="48">
        <f t="shared" si="300"/>
        <v>0</v>
      </c>
      <c r="AT485" s="48">
        <f t="shared" si="301"/>
        <v>0</v>
      </c>
      <c r="AU485" s="48">
        <f t="shared" si="302"/>
        <v>0</v>
      </c>
      <c r="AV485" s="48">
        <f t="shared" si="303"/>
        <v>0</v>
      </c>
      <c r="AW485" s="48">
        <f>IF(N485="ПП",РПП*AB485*(V485/1.5),IF(N485="ВП",ВПр*AB485*(V485/1.5),IF(N485="РПА",РПА*AB485*(V485/1.5),IF(N485="КПА",кпа*AB485*(V485/1.5),0))))</f>
        <v>0</v>
      </c>
      <c r="AX485" s="48">
        <f t="shared" si="304"/>
        <v>0</v>
      </c>
      <c r="AY485" s="48">
        <f t="shared" si="305"/>
        <v>0</v>
      </c>
      <c r="AZ485" s="48">
        <f t="shared" si="306"/>
        <v>0</v>
      </c>
      <c r="BA485" s="48">
        <f t="shared" si="307"/>
        <v>0</v>
      </c>
      <c r="BB485" s="48">
        <f t="shared" si="308"/>
        <v>0</v>
      </c>
      <c r="BC485" s="48">
        <f t="shared" si="309"/>
        <v>0</v>
      </c>
      <c r="BD485" s="48">
        <f t="shared" si="310"/>
        <v>0</v>
      </c>
      <c r="BE485" s="48">
        <f t="shared" si="311"/>
        <v>0</v>
      </c>
      <c r="BF485" s="49">
        <f t="shared" si="312"/>
        <v>28.96</v>
      </c>
      <c r="BG485" s="50"/>
      <c r="BH485" s="51">
        <f t="shared" si="313"/>
        <v>18</v>
      </c>
      <c r="BI485" s="51">
        <f t="shared" si="314"/>
        <v>0.5</v>
      </c>
      <c r="BJ485" s="51">
        <f t="shared" si="315"/>
        <v>10.96</v>
      </c>
      <c r="BK485" s="52">
        <f t="shared" si="316"/>
        <v>0</v>
      </c>
      <c r="BL485" s="52">
        <f t="shared" si="317"/>
        <v>0</v>
      </c>
      <c r="BM485" s="52">
        <f t="shared" si="318"/>
        <v>0</v>
      </c>
    </row>
    <row r="486" spans="1:65" ht="30" customHeight="1" x14ac:dyDescent="0.25">
      <c r="A486" s="31" t="str">
        <f t="shared" si="283"/>
        <v>Д</v>
      </c>
      <c r="B486" s="31" t="str">
        <f t="shared" si="284"/>
        <v>М</v>
      </c>
      <c r="C486" s="32" t="s">
        <v>261</v>
      </c>
      <c r="D486" s="33" t="str">
        <f t="shared" si="285"/>
        <v>Факультет физико-математических и естественных наук</v>
      </c>
      <c r="E486" s="34" t="str">
        <f t="shared" si="286"/>
        <v>'01.04.02</v>
      </c>
      <c r="F486" s="35" t="str">
        <f t="shared" si="287"/>
        <v>Теория вероятностей и математическая статистика</v>
      </c>
      <c r="G486" s="36" t="s">
        <v>76</v>
      </c>
      <c r="H486" s="36" t="s">
        <v>183</v>
      </c>
      <c r="I486" s="37"/>
      <c r="J486" s="37"/>
      <c r="K486" s="38" t="s">
        <v>265</v>
      </c>
      <c r="L486" s="39">
        <v>3</v>
      </c>
      <c r="M486" s="39">
        <v>18</v>
      </c>
      <c r="N486" s="40" t="s">
        <v>79</v>
      </c>
      <c r="O486" s="39">
        <v>1</v>
      </c>
      <c r="P486" s="39"/>
      <c r="Q486" s="39"/>
      <c r="R486" s="40" t="s">
        <v>80</v>
      </c>
      <c r="S486" s="41"/>
      <c r="T486" s="41"/>
      <c r="U486" s="41"/>
      <c r="V486" s="41"/>
      <c r="W486" s="41"/>
      <c r="X486" s="42" t="str">
        <f t="shared" si="288"/>
        <v>НПМмд</v>
      </c>
      <c r="Y486" s="43" t="s">
        <v>107</v>
      </c>
      <c r="Z486" s="39">
        <v>1</v>
      </c>
      <c r="AA486" s="39">
        <v>1</v>
      </c>
      <c r="AB486" s="42">
        <f t="shared" si="290"/>
        <v>12</v>
      </c>
      <c r="AC486" s="39">
        <v>10</v>
      </c>
      <c r="AD486" s="39">
        <v>2</v>
      </c>
      <c r="AE486" s="44">
        <f t="shared" si="291"/>
        <v>12</v>
      </c>
      <c r="AF486" s="45">
        <f t="shared" si="292"/>
        <v>1</v>
      </c>
      <c r="AG486" s="45">
        <f t="shared" si="293"/>
        <v>1</v>
      </c>
      <c r="AH486" s="46" t="s">
        <v>82</v>
      </c>
      <c r="AI486" s="40" t="s">
        <v>83</v>
      </c>
      <c r="AJ486" s="40" t="s">
        <v>84</v>
      </c>
      <c r="AK486" s="47" t="s">
        <v>97</v>
      </c>
      <c r="AL486" s="40"/>
      <c r="AM486" s="48">
        <f t="shared" si="294"/>
        <v>18</v>
      </c>
      <c r="AN486" s="48">
        <f t="shared" si="295"/>
        <v>0</v>
      </c>
      <c r="AO486" s="48">
        <f t="shared" si="296"/>
        <v>0</v>
      </c>
      <c r="AP486" s="48">
        <f t="shared" si="297"/>
        <v>3.96</v>
      </c>
      <c r="AQ486" s="48">
        <f t="shared" si="298"/>
        <v>6</v>
      </c>
      <c r="AR486" s="48">
        <f t="shared" si="299"/>
        <v>1</v>
      </c>
      <c r="AS486" s="48">
        <f t="shared" si="300"/>
        <v>0.9</v>
      </c>
      <c r="AT486" s="48">
        <f t="shared" si="301"/>
        <v>0</v>
      </c>
      <c r="AU486" s="48">
        <f t="shared" si="302"/>
        <v>0</v>
      </c>
      <c r="AV486" s="48">
        <f t="shared" si="303"/>
        <v>0</v>
      </c>
      <c r="AW486" s="48">
        <f>IF(N486="ПП",РПП*AB486*(V486/1.5),IF(N486="ВП",ВПр*AB486*(V486/1.5),IF(N486="РПА",РПА*AB486*(V486/1.5),IF(N486="КПА",кпа*AB486*(V486/1.5),0))))</f>
        <v>0</v>
      </c>
      <c r="AX486" s="48">
        <f t="shared" si="304"/>
        <v>0</v>
      </c>
      <c r="AY486" s="48">
        <f t="shared" si="305"/>
        <v>0</v>
      </c>
      <c r="AZ486" s="48">
        <f t="shared" si="306"/>
        <v>0</v>
      </c>
      <c r="BA486" s="48">
        <f t="shared" si="307"/>
        <v>0</v>
      </c>
      <c r="BB486" s="48">
        <f t="shared" si="308"/>
        <v>0</v>
      </c>
      <c r="BC486" s="48">
        <f t="shared" si="309"/>
        <v>0</v>
      </c>
      <c r="BD486" s="48">
        <f t="shared" si="310"/>
        <v>0</v>
      </c>
      <c r="BE486" s="48">
        <f t="shared" si="311"/>
        <v>0</v>
      </c>
      <c r="BF486" s="49">
        <f t="shared" si="312"/>
        <v>29.86</v>
      </c>
      <c r="BG486" s="50"/>
      <c r="BH486" s="51">
        <f t="shared" si="313"/>
        <v>18</v>
      </c>
      <c r="BI486" s="51">
        <f t="shared" si="314"/>
        <v>0.5</v>
      </c>
      <c r="BJ486" s="51">
        <f t="shared" si="315"/>
        <v>11.860000000000001</v>
      </c>
      <c r="BK486" s="52">
        <f t="shared" si="316"/>
        <v>0</v>
      </c>
      <c r="BL486" s="52">
        <f t="shared" si="317"/>
        <v>0</v>
      </c>
      <c r="BM486" s="52">
        <f t="shared" si="318"/>
        <v>0</v>
      </c>
    </row>
    <row r="487" spans="1:65" ht="30" customHeight="1" x14ac:dyDescent="0.25">
      <c r="A487" s="31" t="str">
        <f t="shared" si="283"/>
        <v>Д</v>
      </c>
      <c r="B487" s="31" t="str">
        <f t="shared" si="284"/>
        <v>М</v>
      </c>
      <c r="C487" s="32" t="s">
        <v>261</v>
      </c>
      <c r="D487" s="33" t="str">
        <f t="shared" si="285"/>
        <v>Факультет физико-математических и естественных наук</v>
      </c>
      <c r="E487" s="34" t="str">
        <f t="shared" si="286"/>
        <v>'01.04.02</v>
      </c>
      <c r="F487" s="35" t="str">
        <f t="shared" si="287"/>
        <v>Теория вероятностей и математическая статистика</v>
      </c>
      <c r="G487" s="36" t="s">
        <v>76</v>
      </c>
      <c r="H487" s="36" t="s">
        <v>183</v>
      </c>
      <c r="I487" s="37"/>
      <c r="J487" s="37"/>
      <c r="K487" s="38" t="s">
        <v>265</v>
      </c>
      <c r="L487" s="39">
        <v>3</v>
      </c>
      <c r="M487" s="39">
        <v>18</v>
      </c>
      <c r="N487" s="40" t="s">
        <v>94</v>
      </c>
      <c r="O487" s="39"/>
      <c r="P487" s="39">
        <v>1</v>
      </c>
      <c r="Q487" s="39"/>
      <c r="R487" s="40"/>
      <c r="S487" s="41"/>
      <c r="T487" s="41"/>
      <c r="U487" s="41"/>
      <c r="V487" s="41"/>
      <c r="W487" s="41"/>
      <c r="X487" s="42" t="str">
        <f t="shared" si="288"/>
        <v>НПМмд</v>
      </c>
      <c r="Y487" s="43" t="s">
        <v>107</v>
      </c>
      <c r="Z487" s="39">
        <v>1</v>
      </c>
      <c r="AA487" s="39">
        <v>1</v>
      </c>
      <c r="AB487" s="42">
        <f t="shared" si="290"/>
        <v>12</v>
      </c>
      <c r="AC487" s="39">
        <v>10</v>
      </c>
      <c r="AD487" s="39">
        <v>2</v>
      </c>
      <c r="AE487" s="44">
        <f t="shared" si="291"/>
        <v>12</v>
      </c>
      <c r="AF487" s="45">
        <f t="shared" si="292"/>
        <v>1</v>
      </c>
      <c r="AG487" s="45">
        <f t="shared" si="293"/>
        <v>1</v>
      </c>
      <c r="AH487" s="46" t="s">
        <v>82</v>
      </c>
      <c r="AI487" s="40" t="s">
        <v>83</v>
      </c>
      <c r="AJ487" s="40" t="s">
        <v>84</v>
      </c>
      <c r="AK487" s="47" t="s">
        <v>97</v>
      </c>
      <c r="AL487" s="40"/>
      <c r="AM487" s="48">
        <f t="shared" si="294"/>
        <v>0</v>
      </c>
      <c r="AN487" s="48">
        <f t="shared" si="295"/>
        <v>0</v>
      </c>
      <c r="AO487" s="48">
        <f t="shared" si="296"/>
        <v>18</v>
      </c>
      <c r="AP487" s="48">
        <f t="shared" si="297"/>
        <v>0</v>
      </c>
      <c r="AQ487" s="48">
        <f t="shared" si="298"/>
        <v>0</v>
      </c>
      <c r="AR487" s="48">
        <f t="shared" si="299"/>
        <v>0</v>
      </c>
      <c r="AS487" s="48">
        <f t="shared" si="300"/>
        <v>0</v>
      </c>
      <c r="AT487" s="48">
        <f t="shared" si="301"/>
        <v>0</v>
      </c>
      <c r="AU487" s="48">
        <f t="shared" si="302"/>
        <v>0</v>
      </c>
      <c r="AV487" s="48">
        <f t="shared" si="303"/>
        <v>0</v>
      </c>
      <c r="AW487" s="48">
        <f>IF(N487="ПП",РПП*AB487*(V487/1.5),IF(N487="ВП",ВПр*AB487*(V487/1.5),IF(N487="РПА",РПА*AB487*(V487/1.5),IF(N487="КПА",кпа*AB487*(V487/1.5),0))))</f>
        <v>0</v>
      </c>
      <c r="AX487" s="48">
        <f t="shared" si="304"/>
        <v>0</v>
      </c>
      <c r="AY487" s="48">
        <f t="shared" si="305"/>
        <v>0</v>
      </c>
      <c r="AZ487" s="48">
        <f t="shared" si="306"/>
        <v>0</v>
      </c>
      <c r="BA487" s="48">
        <f t="shared" si="307"/>
        <v>0</v>
      </c>
      <c r="BB487" s="48">
        <f t="shared" si="308"/>
        <v>0</v>
      </c>
      <c r="BC487" s="48">
        <f t="shared" si="309"/>
        <v>0</v>
      </c>
      <c r="BD487" s="48">
        <f t="shared" si="310"/>
        <v>0</v>
      </c>
      <c r="BE487" s="48">
        <f t="shared" si="311"/>
        <v>0</v>
      </c>
      <c r="BF487" s="49">
        <f t="shared" si="312"/>
        <v>18</v>
      </c>
      <c r="BG487" s="50"/>
      <c r="BH487" s="51">
        <f t="shared" si="313"/>
        <v>18</v>
      </c>
      <c r="BI487" s="51">
        <f t="shared" si="314"/>
        <v>0.5</v>
      </c>
      <c r="BJ487" s="51">
        <f t="shared" si="315"/>
        <v>0</v>
      </c>
      <c r="BK487" s="52">
        <f t="shared" si="316"/>
        <v>0</v>
      </c>
      <c r="BL487" s="52">
        <f t="shared" si="317"/>
        <v>0</v>
      </c>
      <c r="BM487" s="52">
        <f t="shared" si="318"/>
        <v>0</v>
      </c>
    </row>
    <row r="488" spans="1:65" ht="30" customHeight="1" x14ac:dyDescent="0.25">
      <c r="A488" s="31" t="str">
        <f t="shared" si="283"/>
        <v>Д</v>
      </c>
      <c r="B488" s="31" t="str">
        <f t="shared" si="284"/>
        <v>М</v>
      </c>
      <c r="C488" s="32" t="s">
        <v>261</v>
      </c>
      <c r="D488" s="33" t="str">
        <f t="shared" si="285"/>
        <v>Факультет физико-математических и естественных наук</v>
      </c>
      <c r="E488" s="34" t="str">
        <f t="shared" si="286"/>
        <v>'01.04.02</v>
      </c>
      <c r="F488" s="35" t="str">
        <f t="shared" si="287"/>
        <v>Теория вероятностей и математическая статистика</v>
      </c>
      <c r="G488" s="36" t="s">
        <v>76</v>
      </c>
      <c r="H488" s="36" t="s">
        <v>183</v>
      </c>
      <c r="I488" s="37"/>
      <c r="J488" s="37"/>
      <c r="K488" s="38" t="s">
        <v>266</v>
      </c>
      <c r="L488" s="39">
        <v>3</v>
      </c>
      <c r="M488" s="39">
        <v>18</v>
      </c>
      <c r="N488" s="40" t="s">
        <v>79</v>
      </c>
      <c r="O488" s="39">
        <v>1</v>
      </c>
      <c r="P488" s="39"/>
      <c r="Q488" s="39"/>
      <c r="R488" s="40" t="s">
        <v>80</v>
      </c>
      <c r="S488" s="41"/>
      <c r="T488" s="41"/>
      <c r="U488" s="41"/>
      <c r="V488" s="41"/>
      <c r="W488" s="41"/>
      <c r="X488" s="42" t="str">
        <f t="shared" si="288"/>
        <v>НПМмд</v>
      </c>
      <c r="Y488" s="43" t="s">
        <v>107</v>
      </c>
      <c r="Z488" s="39">
        <v>1</v>
      </c>
      <c r="AA488" s="39">
        <v>1</v>
      </c>
      <c r="AB488" s="42">
        <f t="shared" si="290"/>
        <v>12</v>
      </c>
      <c r="AC488" s="39">
        <v>10</v>
      </c>
      <c r="AD488" s="39">
        <v>2</v>
      </c>
      <c r="AE488" s="44">
        <f t="shared" si="291"/>
        <v>12</v>
      </c>
      <c r="AF488" s="45">
        <f t="shared" si="292"/>
        <v>1</v>
      </c>
      <c r="AG488" s="45">
        <f t="shared" si="293"/>
        <v>1</v>
      </c>
      <c r="AH488" s="46" t="s">
        <v>82</v>
      </c>
      <c r="AI488" s="40" t="s">
        <v>99</v>
      </c>
      <c r="AJ488" s="40" t="s">
        <v>84</v>
      </c>
      <c r="AK488" s="47" t="s">
        <v>134</v>
      </c>
      <c r="AL488" s="40"/>
      <c r="AM488" s="48">
        <f t="shared" si="294"/>
        <v>18</v>
      </c>
      <c r="AN488" s="48">
        <f t="shared" si="295"/>
        <v>0</v>
      </c>
      <c r="AO488" s="48">
        <f t="shared" si="296"/>
        <v>0</v>
      </c>
      <c r="AP488" s="48">
        <f t="shared" si="297"/>
        <v>3.96</v>
      </c>
      <c r="AQ488" s="48">
        <f t="shared" si="298"/>
        <v>6</v>
      </c>
      <c r="AR488" s="48">
        <f t="shared" si="299"/>
        <v>1</v>
      </c>
      <c r="AS488" s="48">
        <f t="shared" si="300"/>
        <v>0.9</v>
      </c>
      <c r="AT488" s="48">
        <f t="shared" si="301"/>
        <v>0</v>
      </c>
      <c r="AU488" s="48">
        <f t="shared" si="302"/>
        <v>0</v>
      </c>
      <c r="AV488" s="48">
        <f t="shared" si="303"/>
        <v>0</v>
      </c>
      <c r="AW488" s="48">
        <f>IF(N488="ПП",РПП*AB488*(V488/1.5),IF(N488="ВП",ВПр*AB488*(V488/1.5),IF(N488="РПА",РПА*AB488*(V488/1.5),IF(N488="КПА",кпа*AB488*(V488/1.5),0))))</f>
        <v>0</v>
      </c>
      <c r="AX488" s="48">
        <f t="shared" si="304"/>
        <v>0</v>
      </c>
      <c r="AY488" s="48">
        <f t="shared" si="305"/>
        <v>0</v>
      </c>
      <c r="AZ488" s="48">
        <f t="shared" si="306"/>
        <v>0</v>
      </c>
      <c r="BA488" s="48">
        <f t="shared" si="307"/>
        <v>0</v>
      </c>
      <c r="BB488" s="48">
        <f t="shared" si="308"/>
        <v>0</v>
      </c>
      <c r="BC488" s="48">
        <f t="shared" si="309"/>
        <v>0</v>
      </c>
      <c r="BD488" s="48">
        <f t="shared" si="310"/>
        <v>0</v>
      </c>
      <c r="BE488" s="48">
        <f t="shared" si="311"/>
        <v>0</v>
      </c>
      <c r="BF488" s="49">
        <f t="shared" si="312"/>
        <v>29.86</v>
      </c>
      <c r="BG488" s="50"/>
      <c r="BH488" s="51">
        <f t="shared" si="313"/>
        <v>18</v>
      </c>
      <c r="BI488" s="51">
        <f t="shared" si="314"/>
        <v>0.5</v>
      </c>
      <c r="BJ488" s="51">
        <f t="shared" si="315"/>
        <v>11.860000000000001</v>
      </c>
      <c r="BK488" s="52">
        <f t="shared" si="316"/>
        <v>0</v>
      </c>
      <c r="BL488" s="52">
        <f t="shared" si="317"/>
        <v>0</v>
      </c>
      <c r="BM488" s="52">
        <f t="shared" si="318"/>
        <v>0</v>
      </c>
    </row>
    <row r="489" spans="1:65" ht="30" customHeight="1" x14ac:dyDescent="0.25">
      <c r="A489" s="31" t="str">
        <f t="shared" si="283"/>
        <v>Д</v>
      </c>
      <c r="B489" s="31" t="str">
        <f t="shared" si="284"/>
        <v>М</v>
      </c>
      <c r="C489" s="32" t="s">
        <v>261</v>
      </c>
      <c r="D489" s="33" t="str">
        <f t="shared" si="285"/>
        <v>Факультет физико-математических и естественных наук</v>
      </c>
      <c r="E489" s="34" t="str">
        <f t="shared" si="286"/>
        <v>'01.04.02</v>
      </c>
      <c r="F489" s="35" t="str">
        <f t="shared" si="287"/>
        <v>Теория вероятностей и математическая статистика</v>
      </c>
      <c r="G489" s="36" t="s">
        <v>76</v>
      </c>
      <c r="H489" s="36" t="s">
        <v>183</v>
      </c>
      <c r="I489" s="37"/>
      <c r="J489" s="37"/>
      <c r="K489" s="38" t="s">
        <v>266</v>
      </c>
      <c r="L489" s="39">
        <v>3</v>
      </c>
      <c r="M489" s="39">
        <v>18</v>
      </c>
      <c r="N489" s="40" t="s">
        <v>94</v>
      </c>
      <c r="O489" s="39"/>
      <c r="P489" s="39">
        <v>1</v>
      </c>
      <c r="Q489" s="39"/>
      <c r="R489" s="40"/>
      <c r="S489" s="41"/>
      <c r="T489" s="41"/>
      <c r="U489" s="41"/>
      <c r="V489" s="41"/>
      <c r="W489" s="41"/>
      <c r="X489" s="42" t="str">
        <f t="shared" si="288"/>
        <v>НПМмд</v>
      </c>
      <c r="Y489" s="43" t="s">
        <v>107</v>
      </c>
      <c r="Z489" s="39">
        <v>1</v>
      </c>
      <c r="AA489" s="39">
        <v>1</v>
      </c>
      <c r="AB489" s="42">
        <f t="shared" si="290"/>
        <v>12</v>
      </c>
      <c r="AC489" s="39">
        <v>10</v>
      </c>
      <c r="AD489" s="39">
        <v>2</v>
      </c>
      <c r="AE489" s="44">
        <f t="shared" si="291"/>
        <v>12</v>
      </c>
      <c r="AF489" s="45">
        <f t="shared" si="292"/>
        <v>1</v>
      </c>
      <c r="AG489" s="45">
        <f t="shared" si="293"/>
        <v>1</v>
      </c>
      <c r="AH489" s="46" t="s">
        <v>82</v>
      </c>
      <c r="AI489" s="40" t="s">
        <v>99</v>
      </c>
      <c r="AJ489" s="40" t="s">
        <v>84</v>
      </c>
      <c r="AK489" s="47" t="s">
        <v>134</v>
      </c>
      <c r="AL489" s="40"/>
      <c r="AM489" s="48">
        <f t="shared" si="294"/>
        <v>0</v>
      </c>
      <c r="AN489" s="48">
        <f t="shared" si="295"/>
        <v>0</v>
      </c>
      <c r="AO489" s="48">
        <f t="shared" si="296"/>
        <v>18</v>
      </c>
      <c r="AP489" s="48">
        <f t="shared" si="297"/>
        <v>0</v>
      </c>
      <c r="AQ489" s="48">
        <f t="shared" si="298"/>
        <v>0</v>
      </c>
      <c r="AR489" s="48">
        <f t="shared" si="299"/>
        <v>0</v>
      </c>
      <c r="AS489" s="48">
        <f t="shared" si="300"/>
        <v>0</v>
      </c>
      <c r="AT489" s="48">
        <f t="shared" si="301"/>
        <v>0</v>
      </c>
      <c r="AU489" s="48">
        <f t="shared" si="302"/>
        <v>0</v>
      </c>
      <c r="AV489" s="48">
        <f t="shared" si="303"/>
        <v>0</v>
      </c>
      <c r="AW489" s="48">
        <f>IF(N489="ПП",РПП*AB489*(V489/1.5),IF(N489="ВП",ВПр*AB489*(V489/1.5),IF(N489="РПА",РПА*AB489*(V489/1.5),IF(N489="КПА",кпа*AB489*(V489/1.5),0))))</f>
        <v>0</v>
      </c>
      <c r="AX489" s="48">
        <f t="shared" si="304"/>
        <v>0</v>
      </c>
      <c r="AY489" s="48">
        <f t="shared" si="305"/>
        <v>0</v>
      </c>
      <c r="AZ489" s="48">
        <f t="shared" si="306"/>
        <v>0</v>
      </c>
      <c r="BA489" s="48">
        <f t="shared" si="307"/>
        <v>0</v>
      </c>
      <c r="BB489" s="48">
        <f t="shared" si="308"/>
        <v>0</v>
      </c>
      <c r="BC489" s="48">
        <f t="shared" si="309"/>
        <v>0</v>
      </c>
      <c r="BD489" s="48">
        <f t="shared" si="310"/>
        <v>0</v>
      </c>
      <c r="BE489" s="48">
        <f t="shared" si="311"/>
        <v>0</v>
      </c>
      <c r="BF489" s="49">
        <f t="shared" si="312"/>
        <v>18</v>
      </c>
      <c r="BG489" s="50"/>
      <c r="BH489" s="51">
        <f t="shared" si="313"/>
        <v>18</v>
      </c>
      <c r="BI489" s="51">
        <f t="shared" si="314"/>
        <v>0.5</v>
      </c>
      <c r="BJ489" s="51">
        <f t="shared" si="315"/>
        <v>0</v>
      </c>
      <c r="BK489" s="52">
        <f t="shared" si="316"/>
        <v>0</v>
      </c>
      <c r="BL489" s="52">
        <f t="shared" si="317"/>
        <v>0</v>
      </c>
      <c r="BM489" s="52">
        <f t="shared" si="318"/>
        <v>0</v>
      </c>
    </row>
    <row r="490" spans="1:65" ht="30" customHeight="1" x14ac:dyDescent="0.25">
      <c r="A490" s="31" t="str">
        <f t="shared" si="283"/>
        <v>Д</v>
      </c>
      <c r="B490" s="31" t="str">
        <f t="shared" si="284"/>
        <v>М</v>
      </c>
      <c r="C490" s="32" t="s">
        <v>261</v>
      </c>
      <c r="D490" s="33" t="str">
        <f t="shared" si="285"/>
        <v>Факультет физико-математических и естественных наук</v>
      </c>
      <c r="E490" s="34" t="str">
        <f t="shared" si="286"/>
        <v>'01.04.02</v>
      </c>
      <c r="F490" s="35" t="str">
        <f t="shared" si="287"/>
        <v>Теория вероятностей и математическая статистика</v>
      </c>
      <c r="G490" s="36" t="s">
        <v>153</v>
      </c>
      <c r="H490" s="36" t="s">
        <v>183</v>
      </c>
      <c r="I490" s="37"/>
      <c r="J490" s="37"/>
      <c r="K490" s="38" t="s">
        <v>169</v>
      </c>
      <c r="L490" s="39">
        <v>3</v>
      </c>
      <c r="M490" s="39"/>
      <c r="N490" s="40" t="s">
        <v>2672</v>
      </c>
      <c r="O490" s="39"/>
      <c r="P490" s="39"/>
      <c r="Q490" s="39"/>
      <c r="R490" s="40"/>
      <c r="S490" s="41"/>
      <c r="T490" s="41"/>
      <c r="U490" s="41"/>
      <c r="V490" s="41">
        <v>6</v>
      </c>
      <c r="W490" s="41"/>
      <c r="X490" s="42" t="str">
        <f t="shared" si="288"/>
        <v>НПМмд</v>
      </c>
      <c r="Y490" s="43" t="s">
        <v>107</v>
      </c>
      <c r="Z490" s="39">
        <v>1</v>
      </c>
      <c r="AA490" s="39">
        <v>1</v>
      </c>
      <c r="AB490" s="42">
        <f t="shared" si="290"/>
        <v>3</v>
      </c>
      <c r="AC490" s="125">
        <v>2</v>
      </c>
      <c r="AD490" s="125">
        <v>1</v>
      </c>
      <c r="AE490" s="44">
        <f t="shared" si="291"/>
        <v>1</v>
      </c>
      <c r="AF490" s="45">
        <f t="shared" si="292"/>
        <v>1</v>
      </c>
      <c r="AG490" s="45">
        <f t="shared" si="293"/>
        <v>3</v>
      </c>
      <c r="AH490" s="46" t="s">
        <v>82</v>
      </c>
      <c r="AI490" s="40" t="s">
        <v>83</v>
      </c>
      <c r="AJ490" s="40" t="s">
        <v>84</v>
      </c>
      <c r="AK490" s="47" t="s">
        <v>97</v>
      </c>
      <c r="AL490" s="40"/>
      <c r="AM490" s="48">
        <f t="shared" si="294"/>
        <v>0</v>
      </c>
      <c r="AN490" s="48">
        <f t="shared" si="295"/>
        <v>0</v>
      </c>
      <c r="AO490" s="48">
        <f t="shared" si="296"/>
        <v>0</v>
      </c>
      <c r="AP490" s="48">
        <f t="shared" si="297"/>
        <v>0</v>
      </c>
      <c r="AQ490" s="48">
        <f t="shared" si="298"/>
        <v>0</v>
      </c>
      <c r="AR490" s="48">
        <f t="shared" si="299"/>
        <v>0</v>
      </c>
      <c r="AS490" s="48">
        <f t="shared" si="300"/>
        <v>0</v>
      </c>
      <c r="AT490" s="48">
        <f t="shared" si="301"/>
        <v>0</v>
      </c>
      <c r="AU490" s="48">
        <f t="shared" si="302"/>
        <v>0</v>
      </c>
      <c r="AV490" s="48">
        <f t="shared" si="303"/>
        <v>0</v>
      </c>
      <c r="AW490" s="48">
        <f>IF(N490="ПП",РПП*AB490*(V490/1.5),IF(N490="ВП",ВПр*AB490*(V490/1.5),IF(N490="РПА",РПА*AB490*(V490/1.5),IF(N490="КПА",кпа*AB490*(V490/1.5),0))))</f>
        <v>9</v>
      </c>
      <c r="AX490" s="48">
        <f t="shared" si="304"/>
        <v>0</v>
      </c>
      <c r="AY490" s="48">
        <f t="shared" si="305"/>
        <v>0</v>
      </c>
      <c r="AZ490" s="48">
        <f t="shared" si="306"/>
        <v>0</v>
      </c>
      <c r="BA490" s="48">
        <f t="shared" si="307"/>
        <v>0</v>
      </c>
      <c r="BB490" s="48">
        <f t="shared" si="308"/>
        <v>0</v>
      </c>
      <c r="BC490" s="48">
        <f t="shared" si="309"/>
        <v>0</v>
      </c>
      <c r="BD490" s="48">
        <f t="shared" si="310"/>
        <v>0</v>
      </c>
      <c r="BE490" s="48">
        <f t="shared" si="311"/>
        <v>0</v>
      </c>
      <c r="BF490" s="49">
        <f t="shared" si="312"/>
        <v>9</v>
      </c>
      <c r="BG490" s="50"/>
      <c r="BH490" s="51">
        <f t="shared" si="313"/>
        <v>0</v>
      </c>
      <c r="BI490" s="51">
        <f t="shared" si="314"/>
        <v>0</v>
      </c>
      <c r="BJ490" s="51">
        <f t="shared" si="315"/>
        <v>9</v>
      </c>
      <c r="BK490" s="52">
        <f t="shared" si="316"/>
        <v>0</v>
      </c>
      <c r="BL490" s="52">
        <f t="shared" si="317"/>
        <v>0</v>
      </c>
      <c r="BM490" s="52">
        <f t="shared" si="318"/>
        <v>0</v>
      </c>
    </row>
    <row r="491" spans="1:65" ht="30" customHeight="1" x14ac:dyDescent="0.25">
      <c r="A491" s="31" t="str">
        <f t="shared" si="283"/>
        <v>Д</v>
      </c>
      <c r="B491" s="31" t="str">
        <f t="shared" si="284"/>
        <v>М</v>
      </c>
      <c r="C491" s="32" t="s">
        <v>261</v>
      </c>
      <c r="D491" s="33" t="str">
        <f t="shared" si="285"/>
        <v>Факультет физико-математических и естественных наук</v>
      </c>
      <c r="E491" s="34" t="str">
        <f t="shared" si="286"/>
        <v>'01.04.02</v>
      </c>
      <c r="F491" s="35" t="str">
        <f t="shared" si="287"/>
        <v>Теория вероятностей и математическая статистика</v>
      </c>
      <c r="G491" s="36" t="s">
        <v>153</v>
      </c>
      <c r="H491" s="36" t="s">
        <v>183</v>
      </c>
      <c r="I491" s="37"/>
      <c r="J491" s="37"/>
      <c r="K491" s="38" t="s">
        <v>170</v>
      </c>
      <c r="L491" s="39">
        <v>4</v>
      </c>
      <c r="M491" s="39"/>
      <c r="N491" s="40" t="s">
        <v>168</v>
      </c>
      <c r="O491" s="39"/>
      <c r="P491" s="39"/>
      <c r="Q491" s="39"/>
      <c r="R491" s="40"/>
      <c r="S491" s="41"/>
      <c r="T491" s="41"/>
      <c r="U491" s="41"/>
      <c r="V491" s="41">
        <v>21</v>
      </c>
      <c r="W491" s="41"/>
      <c r="X491" s="42" t="str">
        <f t="shared" si="288"/>
        <v>НПМмд</v>
      </c>
      <c r="Y491" s="43" t="s">
        <v>107</v>
      </c>
      <c r="Z491" s="39">
        <v>1</v>
      </c>
      <c r="AA491" s="39">
        <v>1</v>
      </c>
      <c r="AB491" s="42">
        <f t="shared" si="290"/>
        <v>3</v>
      </c>
      <c r="AC491" s="121">
        <v>2</v>
      </c>
      <c r="AD491" s="121">
        <v>1</v>
      </c>
      <c r="AE491" s="44">
        <f t="shared" si="291"/>
        <v>1</v>
      </c>
      <c r="AF491" s="45">
        <f t="shared" si="292"/>
        <v>1</v>
      </c>
      <c r="AG491" s="45">
        <f t="shared" si="293"/>
        <v>3</v>
      </c>
      <c r="AH491" s="46" t="s">
        <v>82</v>
      </c>
      <c r="AI491" s="40" t="s">
        <v>99</v>
      </c>
      <c r="AJ491" s="40" t="s">
        <v>100</v>
      </c>
      <c r="AK491" s="47" t="s">
        <v>101</v>
      </c>
      <c r="AL491" s="40"/>
      <c r="AM491" s="48">
        <f t="shared" si="294"/>
        <v>0</v>
      </c>
      <c r="AN491" s="48">
        <f t="shared" si="295"/>
        <v>0</v>
      </c>
      <c r="AO491" s="48">
        <f t="shared" si="296"/>
        <v>0</v>
      </c>
      <c r="AP491" s="48">
        <f t="shared" si="297"/>
        <v>0</v>
      </c>
      <c r="AQ491" s="48">
        <f t="shared" si="298"/>
        <v>0</v>
      </c>
      <c r="AR491" s="48">
        <f t="shared" si="299"/>
        <v>0</v>
      </c>
      <c r="AS491" s="48">
        <f t="shared" si="300"/>
        <v>0</v>
      </c>
      <c r="AT491" s="48">
        <f t="shared" si="301"/>
        <v>0</v>
      </c>
      <c r="AU491" s="48">
        <f t="shared" si="302"/>
        <v>0</v>
      </c>
      <c r="AV491" s="48">
        <f t="shared" si="303"/>
        <v>0</v>
      </c>
      <c r="AW491" s="48">
        <f>IF(N491="ПП",РПП*AB491*(V491/1.5),IF(N491="ВП",ВПр*AB491*(V491/1.5),IF(N491="РПА",РПА*AB491*(V491/1.5),IF(N491="КПА",кпа*AB491*(V491/1.5),0))))</f>
        <v>63</v>
      </c>
      <c r="AX491" s="48">
        <f t="shared" si="304"/>
        <v>0</v>
      </c>
      <c r="AY491" s="48">
        <f t="shared" si="305"/>
        <v>0</v>
      </c>
      <c r="AZ491" s="48">
        <f t="shared" si="306"/>
        <v>0</v>
      </c>
      <c r="BA491" s="48">
        <f t="shared" si="307"/>
        <v>0</v>
      </c>
      <c r="BB491" s="48">
        <f t="shared" si="308"/>
        <v>0</v>
      </c>
      <c r="BC491" s="48">
        <f t="shared" si="309"/>
        <v>0</v>
      </c>
      <c r="BD491" s="48">
        <f t="shared" si="310"/>
        <v>0</v>
      </c>
      <c r="BE491" s="48">
        <f t="shared" si="311"/>
        <v>0</v>
      </c>
      <c r="BF491" s="49">
        <f t="shared" si="312"/>
        <v>63</v>
      </c>
      <c r="BG491" s="50"/>
      <c r="BH491" s="51">
        <f t="shared" si="313"/>
        <v>0</v>
      </c>
      <c r="BI491" s="51">
        <f t="shared" si="314"/>
        <v>0</v>
      </c>
      <c r="BJ491" s="51">
        <f t="shared" si="315"/>
        <v>0</v>
      </c>
      <c r="BK491" s="52">
        <f t="shared" si="316"/>
        <v>0</v>
      </c>
      <c r="BL491" s="52">
        <f t="shared" si="317"/>
        <v>0</v>
      </c>
      <c r="BM491" s="52">
        <f t="shared" si="318"/>
        <v>63</v>
      </c>
    </row>
    <row r="492" spans="1:65" ht="30" customHeight="1" x14ac:dyDescent="0.25">
      <c r="A492" s="31" t="str">
        <f t="shared" si="283"/>
        <v>Д</v>
      </c>
      <c r="B492" s="31" t="str">
        <f t="shared" si="284"/>
        <v>М</v>
      </c>
      <c r="C492" s="32" t="s">
        <v>261</v>
      </c>
      <c r="D492" s="33" t="str">
        <f t="shared" si="285"/>
        <v>Факультет физико-математических и естественных наук</v>
      </c>
      <c r="E492" s="34" t="str">
        <f t="shared" si="286"/>
        <v>'01.04.02</v>
      </c>
      <c r="F492" s="35" t="str">
        <f t="shared" si="287"/>
        <v>Теория вероятностей и математическая статистика</v>
      </c>
      <c r="G492" s="36" t="s">
        <v>166</v>
      </c>
      <c r="H492" s="36" t="s">
        <v>77</v>
      </c>
      <c r="I492" s="37"/>
      <c r="J492" s="37"/>
      <c r="K492" s="38" t="s">
        <v>175</v>
      </c>
      <c r="L492" s="39">
        <v>4</v>
      </c>
      <c r="M492" s="39"/>
      <c r="N492" s="40" t="s">
        <v>176</v>
      </c>
      <c r="O492" s="39"/>
      <c r="P492" s="39"/>
      <c r="Q492" s="39"/>
      <c r="R492" s="40"/>
      <c r="S492" s="41"/>
      <c r="T492" s="41"/>
      <c r="U492" s="41"/>
      <c r="V492" s="41"/>
      <c r="W492" s="41"/>
      <c r="X492" s="42" t="str">
        <f t="shared" si="288"/>
        <v>НПМмд</v>
      </c>
      <c r="Y492" s="43" t="s">
        <v>107</v>
      </c>
      <c r="Z492" s="39"/>
      <c r="AA492" s="39">
        <v>1</v>
      </c>
      <c r="AB492" s="42">
        <f t="shared" si="290"/>
        <v>3</v>
      </c>
      <c r="AC492" s="121">
        <v>2</v>
      </c>
      <c r="AD492" s="121">
        <v>1</v>
      </c>
      <c r="AE492" s="44">
        <f t="shared" si="291"/>
        <v>12</v>
      </c>
      <c r="AF492" s="45">
        <f t="shared" si="292"/>
        <v>0.25</v>
      </c>
      <c r="AG492" s="45">
        <f t="shared" si="293"/>
        <v>0.25</v>
      </c>
      <c r="AH492" s="46" t="s">
        <v>82</v>
      </c>
      <c r="AI492" s="40" t="s">
        <v>83</v>
      </c>
      <c r="AJ492" s="40" t="s">
        <v>84</v>
      </c>
      <c r="AK492" s="47" t="s">
        <v>93</v>
      </c>
      <c r="AL492" s="40"/>
      <c r="AM492" s="48">
        <f t="shared" si="294"/>
        <v>0</v>
      </c>
      <c r="AN492" s="48">
        <f t="shared" si="295"/>
        <v>0</v>
      </c>
      <c r="AO492" s="48">
        <f t="shared" si="296"/>
        <v>0</v>
      </c>
      <c r="AP492" s="48">
        <f t="shared" si="297"/>
        <v>0</v>
      </c>
      <c r="AQ492" s="48">
        <f t="shared" si="298"/>
        <v>0</v>
      </c>
      <c r="AR492" s="48">
        <f t="shared" si="299"/>
        <v>0</v>
      </c>
      <c r="AS492" s="48">
        <f t="shared" si="300"/>
        <v>0</v>
      </c>
      <c r="AT492" s="48">
        <f t="shared" si="301"/>
        <v>0</v>
      </c>
      <c r="AU492" s="48">
        <f t="shared" si="302"/>
        <v>0</v>
      </c>
      <c r="AV492" s="48">
        <f t="shared" si="303"/>
        <v>0</v>
      </c>
      <c r="AW492" s="48">
        <f>IF(N492="ПП",РПП*AB492*(V492/1.5),IF(N492="ВП",ВПр*AB492*(V492/1.5),IF(N492="РПА",РПА*AB492*(V492/1.5),IF(N492="КПА",кпа*AB492*(V492/1.5),0))))</f>
        <v>0</v>
      </c>
      <c r="AX492" s="48">
        <f t="shared" si="304"/>
        <v>0</v>
      </c>
      <c r="AY492" s="48">
        <f t="shared" si="305"/>
        <v>0</v>
      </c>
      <c r="AZ492" s="48">
        <f t="shared" si="306"/>
        <v>0</v>
      </c>
      <c r="BA492" s="48">
        <f t="shared" si="307"/>
        <v>0</v>
      </c>
      <c r="BB492" s="48">
        <f t="shared" si="308"/>
        <v>0</v>
      </c>
      <c r="BC492" s="48">
        <f t="shared" si="309"/>
        <v>0</v>
      </c>
      <c r="BD492" s="48">
        <f t="shared" si="310"/>
        <v>0</v>
      </c>
      <c r="BE492" s="48">
        <f t="shared" si="311"/>
        <v>0.5</v>
      </c>
      <c r="BF492" s="49">
        <f t="shared" si="312"/>
        <v>0.5</v>
      </c>
      <c r="BG492" s="50"/>
      <c r="BH492" s="51">
        <f t="shared" si="313"/>
        <v>0</v>
      </c>
      <c r="BI492" s="51">
        <f t="shared" si="314"/>
        <v>0</v>
      </c>
      <c r="BJ492" s="51">
        <f t="shared" si="315"/>
        <v>0</v>
      </c>
      <c r="BK492" s="52">
        <f t="shared" si="316"/>
        <v>0</v>
      </c>
      <c r="BL492" s="52">
        <f t="shared" si="317"/>
        <v>0</v>
      </c>
      <c r="BM492" s="52">
        <f t="shared" si="318"/>
        <v>0.5</v>
      </c>
    </row>
    <row r="493" spans="1:65" ht="30" customHeight="1" x14ac:dyDescent="0.25">
      <c r="A493" s="31" t="str">
        <f t="shared" si="283"/>
        <v>Д</v>
      </c>
      <c r="B493" s="31" t="str">
        <f t="shared" si="284"/>
        <v>М</v>
      </c>
      <c r="C493" s="32" t="s">
        <v>261</v>
      </c>
      <c r="D493" s="33" t="str">
        <f t="shared" si="285"/>
        <v>Факультет физико-математических и естественных наук</v>
      </c>
      <c r="E493" s="34" t="str">
        <f t="shared" si="286"/>
        <v>'01.04.02</v>
      </c>
      <c r="F493" s="35" t="str">
        <f t="shared" si="287"/>
        <v>Теория вероятностей и математическая статистика</v>
      </c>
      <c r="G493" s="36" t="s">
        <v>166</v>
      </c>
      <c r="H493" s="36" t="s">
        <v>77</v>
      </c>
      <c r="I493" s="37"/>
      <c r="J493" s="37"/>
      <c r="K493" s="38" t="s">
        <v>177</v>
      </c>
      <c r="L493" s="39">
        <v>4</v>
      </c>
      <c r="M493" s="39"/>
      <c r="N493" s="40" t="s">
        <v>181</v>
      </c>
      <c r="O493" s="39"/>
      <c r="P493" s="39"/>
      <c r="Q493" s="39"/>
      <c r="R493" s="40"/>
      <c r="S493" s="41"/>
      <c r="T493" s="41"/>
      <c r="U493" s="41"/>
      <c r="V493" s="41"/>
      <c r="W493" s="41"/>
      <c r="X493" s="42" t="str">
        <f t="shared" si="288"/>
        <v>НПМмд</v>
      </c>
      <c r="Y493" s="43" t="s">
        <v>107</v>
      </c>
      <c r="Z493" s="39"/>
      <c r="AA493" s="39">
        <v>1</v>
      </c>
      <c r="AB493" s="42">
        <f t="shared" si="290"/>
        <v>3</v>
      </c>
      <c r="AC493" s="121">
        <v>2</v>
      </c>
      <c r="AD493" s="121">
        <v>1</v>
      </c>
      <c r="AE493" s="44">
        <f t="shared" si="291"/>
        <v>1</v>
      </c>
      <c r="AF493" s="45">
        <f t="shared" si="292"/>
        <v>1</v>
      </c>
      <c r="AG493" s="45">
        <f t="shared" si="293"/>
        <v>3</v>
      </c>
      <c r="AH493" s="46" t="s">
        <v>82</v>
      </c>
      <c r="AI493" s="40" t="s">
        <v>83</v>
      </c>
      <c r="AJ493" s="40" t="s">
        <v>84</v>
      </c>
      <c r="AK493" s="47" t="s">
        <v>93</v>
      </c>
      <c r="AL493" s="40"/>
      <c r="AM493" s="48">
        <f t="shared" si="294"/>
        <v>0</v>
      </c>
      <c r="AN493" s="48">
        <f t="shared" si="295"/>
        <v>0</v>
      </c>
      <c r="AO493" s="48">
        <f t="shared" si="296"/>
        <v>0</v>
      </c>
      <c r="AP493" s="48">
        <f t="shared" si="297"/>
        <v>0</v>
      </c>
      <c r="AQ493" s="48">
        <f t="shared" si="298"/>
        <v>0</v>
      </c>
      <c r="AR493" s="48">
        <f t="shared" si="299"/>
        <v>0</v>
      </c>
      <c r="AS493" s="48">
        <f t="shared" si="300"/>
        <v>0</v>
      </c>
      <c r="AT493" s="48">
        <f t="shared" si="301"/>
        <v>0</v>
      </c>
      <c r="AU493" s="48">
        <f t="shared" si="302"/>
        <v>0</v>
      </c>
      <c r="AV493" s="48">
        <f t="shared" si="303"/>
        <v>0</v>
      </c>
      <c r="AW493" s="48">
        <f>IF(N493="ПП",РПП*AB493*(V493/1.5),IF(N493="ВП",ВПр*AB493*(V493/1.5),IF(N493="РПА",РПА*AB493*(V493/1.5),IF(N493="КПА",кпа*AB493*(V493/1.5),0))))</f>
        <v>0</v>
      </c>
      <c r="AX493" s="48">
        <f t="shared" si="304"/>
        <v>0</v>
      </c>
      <c r="AY493" s="48">
        <f t="shared" si="305"/>
        <v>0</v>
      </c>
      <c r="AZ493" s="48">
        <f t="shared" si="306"/>
        <v>0</v>
      </c>
      <c r="BA493" s="48">
        <f t="shared" si="307"/>
        <v>0</v>
      </c>
      <c r="BB493" s="48">
        <f t="shared" si="308"/>
        <v>0</v>
      </c>
      <c r="BC493" s="48">
        <f t="shared" si="309"/>
        <v>0</v>
      </c>
      <c r="BD493" s="48">
        <f t="shared" si="310"/>
        <v>0</v>
      </c>
      <c r="BE493" s="48">
        <f t="shared" si="311"/>
        <v>1.5</v>
      </c>
      <c r="BF493" s="49">
        <f t="shared" si="312"/>
        <v>1.5</v>
      </c>
      <c r="BG493" s="50"/>
      <c r="BH493" s="51">
        <f t="shared" si="313"/>
        <v>0</v>
      </c>
      <c r="BI493" s="51">
        <f t="shared" si="314"/>
        <v>0</v>
      </c>
      <c r="BJ493" s="51">
        <f t="shared" si="315"/>
        <v>0</v>
      </c>
      <c r="BK493" s="52">
        <f t="shared" si="316"/>
        <v>0</v>
      </c>
      <c r="BL493" s="52">
        <f t="shared" si="317"/>
        <v>0</v>
      </c>
      <c r="BM493" s="52">
        <f t="shared" si="318"/>
        <v>1.5</v>
      </c>
    </row>
    <row r="494" spans="1:65" ht="30" customHeight="1" x14ac:dyDescent="0.25">
      <c r="A494" s="31" t="str">
        <f t="shared" si="283"/>
        <v>Д</v>
      </c>
      <c r="B494" s="31" t="str">
        <f t="shared" si="284"/>
        <v>М</v>
      </c>
      <c r="C494" s="32" t="s">
        <v>261</v>
      </c>
      <c r="D494" s="33" t="str">
        <f t="shared" si="285"/>
        <v>Факультет физико-математических и естественных наук</v>
      </c>
      <c r="E494" s="34" t="str">
        <f t="shared" si="286"/>
        <v>'01.04.02</v>
      </c>
      <c r="F494" s="35" t="str">
        <f t="shared" si="287"/>
        <v>Теория вероятностей и математическая статистика</v>
      </c>
      <c r="G494" s="36" t="s">
        <v>166</v>
      </c>
      <c r="H494" s="36" t="s">
        <v>77</v>
      </c>
      <c r="I494" s="37"/>
      <c r="J494" s="37"/>
      <c r="K494" s="38" t="s">
        <v>217</v>
      </c>
      <c r="L494" s="39">
        <v>4</v>
      </c>
      <c r="M494" s="39"/>
      <c r="N494" s="40" t="s">
        <v>172</v>
      </c>
      <c r="O494" s="39"/>
      <c r="P494" s="39"/>
      <c r="Q494" s="39"/>
      <c r="R494" s="40"/>
      <c r="S494" s="41"/>
      <c r="T494" s="41"/>
      <c r="U494" s="41"/>
      <c r="V494" s="41"/>
      <c r="W494" s="41"/>
      <c r="X494" s="42" t="str">
        <f t="shared" si="288"/>
        <v>НПМмд</v>
      </c>
      <c r="Y494" s="43" t="s">
        <v>107</v>
      </c>
      <c r="Z494" s="39">
        <v>1</v>
      </c>
      <c r="AA494" s="39">
        <v>1</v>
      </c>
      <c r="AB494" s="42">
        <f t="shared" si="290"/>
        <v>3</v>
      </c>
      <c r="AC494" s="121">
        <v>2</v>
      </c>
      <c r="AD494" s="121">
        <v>1</v>
      </c>
      <c r="AE494" s="44">
        <f t="shared" si="291"/>
        <v>1</v>
      </c>
      <c r="AF494" s="45">
        <f t="shared" si="292"/>
        <v>1</v>
      </c>
      <c r="AG494" s="45">
        <f t="shared" si="293"/>
        <v>3</v>
      </c>
      <c r="AH494" s="46" t="s">
        <v>82</v>
      </c>
      <c r="AI494" s="40" t="s">
        <v>83</v>
      </c>
      <c r="AJ494" s="40" t="s">
        <v>84</v>
      </c>
      <c r="AK494" s="47" t="s">
        <v>97</v>
      </c>
      <c r="AL494" s="40"/>
      <c r="AM494" s="48">
        <f t="shared" si="294"/>
        <v>0</v>
      </c>
      <c r="AN494" s="48">
        <f t="shared" si="295"/>
        <v>0</v>
      </c>
      <c r="AO494" s="48">
        <f t="shared" si="296"/>
        <v>0</v>
      </c>
      <c r="AP494" s="48">
        <f t="shared" si="297"/>
        <v>0</v>
      </c>
      <c r="AQ494" s="48">
        <f t="shared" si="298"/>
        <v>0</v>
      </c>
      <c r="AR494" s="48">
        <f t="shared" si="299"/>
        <v>0</v>
      </c>
      <c r="AS494" s="48">
        <f t="shared" si="300"/>
        <v>0</v>
      </c>
      <c r="AT494" s="48">
        <f t="shared" si="301"/>
        <v>0</v>
      </c>
      <c r="AU494" s="48">
        <f t="shared" si="302"/>
        <v>0</v>
      </c>
      <c r="AV494" s="48">
        <f t="shared" si="303"/>
        <v>0</v>
      </c>
      <c r="AW494" s="48">
        <f>IF(N494="ПП",РПП*AB494*(V494/1.5),IF(N494="ВП",ВПр*AB494*(V494/1.5),IF(N494="РПА",РПА*AB494*(V494/1.5),IF(N494="КПА",кпа*AB494*(V494/1.5),0))))</f>
        <v>0</v>
      </c>
      <c r="AX494" s="48">
        <f t="shared" si="304"/>
        <v>0</v>
      </c>
      <c r="AY494" s="48">
        <f t="shared" si="305"/>
        <v>0</v>
      </c>
      <c r="AZ494" s="48">
        <f t="shared" si="306"/>
        <v>0</v>
      </c>
      <c r="BA494" s="48">
        <f t="shared" si="307"/>
        <v>0</v>
      </c>
      <c r="BB494" s="48">
        <f t="shared" si="308"/>
        <v>0</v>
      </c>
      <c r="BC494" s="48">
        <f t="shared" si="309"/>
        <v>88</v>
      </c>
      <c r="BD494" s="48">
        <f t="shared" si="310"/>
        <v>0</v>
      </c>
      <c r="BE494" s="48">
        <f t="shared" si="311"/>
        <v>0</v>
      </c>
      <c r="BF494" s="49">
        <f t="shared" si="312"/>
        <v>88</v>
      </c>
      <c r="BG494" s="50"/>
      <c r="BH494" s="51">
        <f t="shared" si="313"/>
        <v>0</v>
      </c>
      <c r="BI494" s="51">
        <f t="shared" si="314"/>
        <v>0</v>
      </c>
      <c r="BJ494" s="51">
        <f t="shared" si="315"/>
        <v>0</v>
      </c>
      <c r="BK494" s="52">
        <f t="shared" si="316"/>
        <v>0</v>
      </c>
      <c r="BL494" s="52">
        <f t="shared" si="317"/>
        <v>0</v>
      </c>
      <c r="BM494" s="52">
        <f t="shared" si="318"/>
        <v>88</v>
      </c>
    </row>
    <row r="495" spans="1:65" ht="30" customHeight="1" x14ac:dyDescent="0.25">
      <c r="A495" s="31" t="str">
        <f t="shared" si="283"/>
        <v>Д</v>
      </c>
      <c r="B495" s="31" t="str">
        <f t="shared" si="284"/>
        <v>М</v>
      </c>
      <c r="C495" s="32" t="s">
        <v>261</v>
      </c>
      <c r="D495" s="33" t="str">
        <f t="shared" si="285"/>
        <v>Факультет физико-математических и естественных наук</v>
      </c>
      <c r="E495" s="34" t="str">
        <f t="shared" si="286"/>
        <v>'01.04.02</v>
      </c>
      <c r="F495" s="35" t="str">
        <f t="shared" si="287"/>
        <v>Теория вероятностей и математическая статистика</v>
      </c>
      <c r="G495" s="36" t="s">
        <v>166</v>
      </c>
      <c r="H495" s="36" t="s">
        <v>77</v>
      </c>
      <c r="I495" s="37"/>
      <c r="J495" s="37"/>
      <c r="K495" s="38" t="s">
        <v>47</v>
      </c>
      <c r="L495" s="39">
        <v>4</v>
      </c>
      <c r="M495" s="39"/>
      <c r="N495" s="40" t="s">
        <v>174</v>
      </c>
      <c r="O495" s="39"/>
      <c r="P495" s="39"/>
      <c r="Q495" s="39"/>
      <c r="R495" s="40"/>
      <c r="S495" s="41"/>
      <c r="T495" s="41"/>
      <c r="U495" s="41"/>
      <c r="V495" s="41"/>
      <c r="W495" s="41"/>
      <c r="X495" s="42" t="str">
        <f t="shared" si="288"/>
        <v>НПМмд</v>
      </c>
      <c r="Y495" s="43" t="s">
        <v>107</v>
      </c>
      <c r="Z495" s="39">
        <v>1</v>
      </c>
      <c r="AA495" s="39">
        <v>1</v>
      </c>
      <c r="AB495" s="42">
        <f t="shared" si="290"/>
        <v>3</v>
      </c>
      <c r="AC495" s="121">
        <v>2</v>
      </c>
      <c r="AD495" s="121">
        <v>1</v>
      </c>
      <c r="AE495" s="44">
        <f t="shared" si="291"/>
        <v>1</v>
      </c>
      <c r="AF495" s="45">
        <f t="shared" si="292"/>
        <v>1</v>
      </c>
      <c r="AG495" s="45">
        <f t="shared" si="293"/>
        <v>3</v>
      </c>
      <c r="AH495" s="46" t="s">
        <v>82</v>
      </c>
      <c r="AI495" s="40" t="s">
        <v>148</v>
      </c>
      <c r="AJ495" s="40"/>
      <c r="AK495" s="47" t="s">
        <v>149</v>
      </c>
      <c r="AL495" s="40"/>
      <c r="AM495" s="48">
        <f t="shared" si="294"/>
        <v>0</v>
      </c>
      <c r="AN495" s="48">
        <f t="shared" si="295"/>
        <v>0</v>
      </c>
      <c r="AO495" s="48">
        <f t="shared" si="296"/>
        <v>0</v>
      </c>
      <c r="AP495" s="48">
        <f t="shared" si="297"/>
        <v>0</v>
      </c>
      <c r="AQ495" s="48">
        <f t="shared" si="298"/>
        <v>0</v>
      </c>
      <c r="AR495" s="48">
        <f t="shared" si="299"/>
        <v>0</v>
      </c>
      <c r="AS495" s="48">
        <f t="shared" si="300"/>
        <v>0</v>
      </c>
      <c r="AT495" s="48">
        <f t="shared" si="301"/>
        <v>0</v>
      </c>
      <c r="AU495" s="48">
        <f t="shared" si="302"/>
        <v>0</v>
      </c>
      <c r="AV495" s="48">
        <f t="shared" si="303"/>
        <v>0</v>
      </c>
      <c r="AW495" s="48">
        <f>IF(N495="ПП",РПП*AB495*(V495/1.5),IF(N495="ВП",ВПр*AB495*(V495/1.5),IF(N495="РПА",РПА*AB495*(V495/1.5),IF(N495="КПА",кпа*AB495*(V495/1.5),0))))</f>
        <v>0</v>
      </c>
      <c r="AX495" s="48">
        <f t="shared" si="304"/>
        <v>0</v>
      </c>
      <c r="AY495" s="48">
        <f t="shared" si="305"/>
        <v>0</v>
      </c>
      <c r="AZ495" s="48">
        <f t="shared" si="306"/>
        <v>0</v>
      </c>
      <c r="BA495" s="48">
        <f t="shared" si="307"/>
        <v>0</v>
      </c>
      <c r="BB495" s="48">
        <f t="shared" si="308"/>
        <v>0</v>
      </c>
      <c r="BC495" s="48">
        <f t="shared" si="309"/>
        <v>0</v>
      </c>
      <c r="BD495" s="48">
        <f t="shared" si="310"/>
        <v>12</v>
      </c>
      <c r="BE495" s="48">
        <f t="shared" si="311"/>
        <v>0</v>
      </c>
      <c r="BF495" s="49">
        <f t="shared" si="312"/>
        <v>12</v>
      </c>
      <c r="BG495" s="50"/>
      <c r="BH495" s="51">
        <f t="shared" si="313"/>
        <v>0</v>
      </c>
      <c r="BI495" s="51">
        <f t="shared" si="314"/>
        <v>0</v>
      </c>
      <c r="BJ495" s="51">
        <f t="shared" si="315"/>
        <v>0</v>
      </c>
      <c r="BK495" s="52">
        <f t="shared" si="316"/>
        <v>0</v>
      </c>
      <c r="BL495" s="52">
        <f t="shared" si="317"/>
        <v>0</v>
      </c>
      <c r="BM495" s="52">
        <f t="shared" si="318"/>
        <v>12</v>
      </c>
    </row>
    <row r="496" spans="1:65" ht="30" customHeight="1" x14ac:dyDescent="0.25">
      <c r="A496" s="31" t="str">
        <f t="shared" si="283"/>
        <v>Д</v>
      </c>
      <c r="B496" s="31" t="str">
        <f t="shared" si="284"/>
        <v>М</v>
      </c>
      <c r="C496" s="32" t="s">
        <v>267</v>
      </c>
      <c r="D496" s="33" t="str">
        <f t="shared" si="285"/>
        <v>Факультет физико-математических и естественных наук</v>
      </c>
      <c r="E496" s="34" t="str">
        <f t="shared" si="286"/>
        <v>'02.04.02</v>
      </c>
      <c r="F496" s="35" t="str">
        <f t="shared" si="287"/>
        <v>Управление инфокоммуникациями и интеллектуальные системы</v>
      </c>
      <c r="G496" s="36" t="s">
        <v>76</v>
      </c>
      <c r="H496" s="36" t="s">
        <v>183</v>
      </c>
      <c r="I496" s="37"/>
      <c r="J496" s="37"/>
      <c r="K496" s="38" t="s">
        <v>262</v>
      </c>
      <c r="L496" s="39">
        <v>3</v>
      </c>
      <c r="M496" s="39">
        <v>18</v>
      </c>
      <c r="N496" s="40" t="s">
        <v>79</v>
      </c>
      <c r="O496" s="39">
        <v>1</v>
      </c>
      <c r="P496" s="39"/>
      <c r="Q496" s="39"/>
      <c r="R496" s="40"/>
      <c r="S496" s="41"/>
      <c r="T496" s="41"/>
      <c r="U496" s="41"/>
      <c r="V496" s="41"/>
      <c r="W496" s="41"/>
      <c r="X496" s="42" t="str">
        <f t="shared" si="288"/>
        <v>НФИмд</v>
      </c>
      <c r="Y496" s="43" t="s">
        <v>107</v>
      </c>
      <c r="Z496" s="39">
        <v>2</v>
      </c>
      <c r="AA496" s="39">
        <v>1</v>
      </c>
      <c r="AB496" s="42">
        <f t="shared" si="290"/>
        <v>30</v>
      </c>
      <c r="AC496" s="39">
        <v>17</v>
      </c>
      <c r="AD496" s="39">
        <v>13</v>
      </c>
      <c r="AE496" s="44">
        <f t="shared" si="291"/>
        <v>30</v>
      </c>
      <c r="AF496" s="45">
        <f t="shared" si="292"/>
        <v>1</v>
      </c>
      <c r="AG496" s="45">
        <f t="shared" si="293"/>
        <v>1</v>
      </c>
      <c r="AH496" s="46" t="s">
        <v>82</v>
      </c>
      <c r="AI496" s="40" t="s">
        <v>83</v>
      </c>
      <c r="AJ496" s="40" t="s">
        <v>116</v>
      </c>
      <c r="AK496" s="47" t="s">
        <v>263</v>
      </c>
      <c r="AL496" s="40"/>
      <c r="AM496" s="48">
        <f t="shared" si="294"/>
        <v>18</v>
      </c>
      <c r="AN496" s="48">
        <f t="shared" si="295"/>
        <v>0</v>
      </c>
      <c r="AO496" s="48">
        <f t="shared" si="296"/>
        <v>0</v>
      </c>
      <c r="AP496" s="48">
        <f t="shared" si="297"/>
        <v>0</v>
      </c>
      <c r="AQ496" s="48">
        <f t="shared" si="298"/>
        <v>0</v>
      </c>
      <c r="AR496" s="48">
        <f t="shared" si="299"/>
        <v>0</v>
      </c>
      <c r="AS496" s="48">
        <f t="shared" si="300"/>
        <v>0.9</v>
      </c>
      <c r="AT496" s="48">
        <f t="shared" si="301"/>
        <v>0</v>
      </c>
      <c r="AU496" s="48">
        <f t="shared" si="302"/>
        <v>0</v>
      </c>
      <c r="AV496" s="48">
        <f t="shared" si="303"/>
        <v>0</v>
      </c>
      <c r="AW496" s="48">
        <f>IF(N496="ПП",РПП*AB496*(V496/1.5),IF(N496="ВП",ВПр*AB496*(V496/1.5),IF(N496="РПА",РПА*AB496*(V496/1.5),IF(N496="КПА",кпа*AB496*(V496/1.5),0))))</f>
        <v>0</v>
      </c>
      <c r="AX496" s="48">
        <f t="shared" si="304"/>
        <v>0</v>
      </c>
      <c r="AY496" s="48">
        <f t="shared" si="305"/>
        <v>0</v>
      </c>
      <c r="AZ496" s="48">
        <f t="shared" si="306"/>
        <v>0</v>
      </c>
      <c r="BA496" s="48">
        <f t="shared" si="307"/>
        <v>0</v>
      </c>
      <c r="BB496" s="48">
        <f t="shared" si="308"/>
        <v>0</v>
      </c>
      <c r="BC496" s="48">
        <f t="shared" si="309"/>
        <v>0</v>
      </c>
      <c r="BD496" s="48">
        <f t="shared" si="310"/>
        <v>0</v>
      </c>
      <c r="BE496" s="48">
        <f t="shared" si="311"/>
        <v>0</v>
      </c>
      <c r="BF496" s="49">
        <f t="shared" si="312"/>
        <v>18.899999999999999</v>
      </c>
      <c r="BG496" s="50"/>
      <c r="BH496" s="51">
        <f t="shared" si="313"/>
        <v>18</v>
      </c>
      <c r="BI496" s="51">
        <f t="shared" si="314"/>
        <v>0.5</v>
      </c>
      <c r="BJ496" s="51">
        <f t="shared" si="315"/>
        <v>0.9</v>
      </c>
      <c r="BK496" s="52">
        <f t="shared" si="316"/>
        <v>0</v>
      </c>
      <c r="BL496" s="52">
        <f t="shared" si="317"/>
        <v>0</v>
      </c>
      <c r="BM496" s="52">
        <f t="shared" si="318"/>
        <v>0</v>
      </c>
    </row>
    <row r="497" spans="1:65" ht="30" customHeight="1" x14ac:dyDescent="0.25">
      <c r="A497" s="31" t="str">
        <f t="shared" si="283"/>
        <v>Д</v>
      </c>
      <c r="B497" s="31" t="str">
        <f t="shared" si="284"/>
        <v>М</v>
      </c>
      <c r="C497" s="32" t="s">
        <v>267</v>
      </c>
      <c r="D497" s="33" t="str">
        <f t="shared" si="285"/>
        <v>Факультет физико-математических и естественных наук</v>
      </c>
      <c r="E497" s="34" t="str">
        <f t="shared" si="286"/>
        <v>'02.04.02</v>
      </c>
      <c r="F497" s="35" t="str">
        <f t="shared" si="287"/>
        <v>Управление инфокоммуникациями и интеллектуальные системы</v>
      </c>
      <c r="G497" s="36" t="s">
        <v>76</v>
      </c>
      <c r="H497" s="36" t="s">
        <v>183</v>
      </c>
      <c r="I497" s="37"/>
      <c r="J497" s="37"/>
      <c r="K497" s="38" t="s">
        <v>262</v>
      </c>
      <c r="L497" s="39">
        <v>3</v>
      </c>
      <c r="M497" s="39">
        <v>18</v>
      </c>
      <c r="N497" s="40" t="s">
        <v>86</v>
      </c>
      <c r="O497" s="39"/>
      <c r="P497" s="39"/>
      <c r="Q497" s="39">
        <v>2</v>
      </c>
      <c r="R497" s="40" t="s">
        <v>95</v>
      </c>
      <c r="S497" s="41"/>
      <c r="T497" s="41"/>
      <c r="U497" s="41"/>
      <c r="V497" s="41"/>
      <c r="W497" s="41"/>
      <c r="X497" s="42" t="str">
        <f t="shared" si="288"/>
        <v>НФИмд</v>
      </c>
      <c r="Y497" s="43" t="s">
        <v>107</v>
      </c>
      <c r="Z497" s="39">
        <v>1</v>
      </c>
      <c r="AA497" s="39">
        <v>1</v>
      </c>
      <c r="AB497" s="123">
        <f t="shared" si="290"/>
        <v>30</v>
      </c>
      <c r="AC497" s="124">
        <v>17</v>
      </c>
      <c r="AD497" s="124">
        <v>13</v>
      </c>
      <c r="AE497" s="44">
        <f t="shared" si="291"/>
        <v>12</v>
      </c>
      <c r="AF497" s="45">
        <f t="shared" si="292"/>
        <v>1</v>
      </c>
      <c r="AG497" s="45">
        <f t="shared" si="293"/>
        <v>2.5</v>
      </c>
      <c r="AH497" s="46" t="s">
        <v>82</v>
      </c>
      <c r="AI497" s="40" t="s">
        <v>83</v>
      </c>
      <c r="AJ497" s="40" t="s">
        <v>116</v>
      </c>
      <c r="AK497" s="47" t="s">
        <v>263</v>
      </c>
      <c r="AL497" s="40"/>
      <c r="AM497" s="48">
        <f t="shared" si="294"/>
        <v>0</v>
      </c>
      <c r="AN497" s="48">
        <f t="shared" si="295"/>
        <v>36</v>
      </c>
      <c r="AO497" s="48">
        <f t="shared" si="296"/>
        <v>0</v>
      </c>
      <c r="AP497" s="48">
        <f t="shared" si="297"/>
        <v>9.9</v>
      </c>
      <c r="AQ497" s="48">
        <f t="shared" si="298"/>
        <v>15</v>
      </c>
      <c r="AR497" s="48">
        <f t="shared" si="299"/>
        <v>1</v>
      </c>
      <c r="AS497" s="48">
        <f t="shared" si="300"/>
        <v>0</v>
      </c>
      <c r="AT497" s="48">
        <f t="shared" si="301"/>
        <v>0</v>
      </c>
      <c r="AU497" s="48">
        <f t="shared" si="302"/>
        <v>0</v>
      </c>
      <c r="AV497" s="48">
        <f t="shared" si="303"/>
        <v>0</v>
      </c>
      <c r="AW497" s="48">
        <f>IF(N497="ПП",РПП*AB497*(V497/1.5),IF(N497="ВП",ВПр*AB497*(V497/1.5),IF(N497="РПА",РПА*AB497*(V497/1.5),IF(N497="КПА",кпа*AB497*(V497/1.5),0))))</f>
        <v>0</v>
      </c>
      <c r="AX497" s="48">
        <f t="shared" si="304"/>
        <v>0</v>
      </c>
      <c r="AY497" s="48">
        <f t="shared" si="305"/>
        <v>0</v>
      </c>
      <c r="AZ497" s="48">
        <f t="shared" si="306"/>
        <v>0</v>
      </c>
      <c r="BA497" s="48">
        <f t="shared" si="307"/>
        <v>0</v>
      </c>
      <c r="BB497" s="48">
        <f t="shared" si="308"/>
        <v>0</v>
      </c>
      <c r="BC497" s="48">
        <f t="shared" si="309"/>
        <v>0</v>
      </c>
      <c r="BD497" s="48">
        <f t="shared" si="310"/>
        <v>0</v>
      </c>
      <c r="BE497" s="48">
        <f t="shared" si="311"/>
        <v>0</v>
      </c>
      <c r="BF497" s="49">
        <f t="shared" si="312"/>
        <v>61.9</v>
      </c>
      <c r="BG497" s="50"/>
      <c r="BH497" s="51">
        <f t="shared" si="313"/>
        <v>36</v>
      </c>
      <c r="BI497" s="51">
        <f t="shared" si="314"/>
        <v>1</v>
      </c>
      <c r="BJ497" s="51">
        <f t="shared" si="315"/>
        <v>25.9</v>
      </c>
      <c r="BK497" s="52">
        <f t="shared" si="316"/>
        <v>0</v>
      </c>
      <c r="BL497" s="52">
        <f t="shared" si="317"/>
        <v>0</v>
      </c>
      <c r="BM497" s="52">
        <f t="shared" si="318"/>
        <v>0</v>
      </c>
    </row>
    <row r="498" spans="1:65" ht="30" customHeight="1" x14ac:dyDescent="0.25">
      <c r="A498" s="31" t="str">
        <f t="shared" si="283"/>
        <v>Д</v>
      </c>
      <c r="B498" s="31" t="str">
        <f t="shared" si="284"/>
        <v>М</v>
      </c>
      <c r="C498" s="32" t="s">
        <v>267</v>
      </c>
      <c r="D498" s="33" t="str">
        <f t="shared" si="285"/>
        <v>Факультет физико-математических и естественных наук</v>
      </c>
      <c r="E498" s="34" t="str">
        <f t="shared" si="286"/>
        <v>'02.04.02</v>
      </c>
      <c r="F498" s="35" t="str">
        <f t="shared" si="287"/>
        <v>Управление инфокоммуникациями и интеллектуальные системы</v>
      </c>
      <c r="G498" s="36" t="s">
        <v>76</v>
      </c>
      <c r="H498" s="36" t="s">
        <v>183</v>
      </c>
      <c r="I498" s="37"/>
      <c r="J498" s="37"/>
      <c r="K498" s="38" t="s">
        <v>262</v>
      </c>
      <c r="L498" s="39"/>
      <c r="M498" s="39"/>
      <c r="N498" s="40"/>
      <c r="O498" s="39"/>
      <c r="P498" s="39"/>
      <c r="Q498" s="39"/>
      <c r="R498" s="40"/>
      <c r="S498" s="41"/>
      <c r="T498" s="41"/>
      <c r="U498" s="41"/>
      <c r="V498" s="41"/>
      <c r="W498" s="41"/>
      <c r="X498" s="42" t="str">
        <f t="shared" si="288"/>
        <v>НФИмд</v>
      </c>
      <c r="Y498" s="43" t="s">
        <v>107</v>
      </c>
      <c r="Z498" s="39"/>
      <c r="AA498" s="39"/>
      <c r="AB498" s="42">
        <f t="shared" si="290"/>
        <v>0</v>
      </c>
      <c r="AC498" s="39"/>
      <c r="AD498" s="39"/>
      <c r="AE498" s="44">
        <f t="shared" si="291"/>
        <v>1</v>
      </c>
      <c r="AF498" s="45">
        <f t="shared" si="292"/>
        <v>0</v>
      </c>
      <c r="AG498" s="45">
        <f t="shared" si="293"/>
        <v>0</v>
      </c>
      <c r="AH498" s="46" t="s">
        <v>82</v>
      </c>
      <c r="AI498" s="40" t="s">
        <v>83</v>
      </c>
      <c r="AJ498" s="40" t="s">
        <v>116</v>
      </c>
      <c r="AK498" s="47" t="s">
        <v>263</v>
      </c>
      <c r="AL498" s="40"/>
      <c r="AM498" s="48">
        <f t="shared" si="294"/>
        <v>0</v>
      </c>
      <c r="AN498" s="48">
        <f t="shared" si="295"/>
        <v>0</v>
      </c>
      <c r="AO498" s="48">
        <f t="shared" si="296"/>
        <v>0</v>
      </c>
      <c r="AP498" s="48">
        <f t="shared" si="297"/>
        <v>0</v>
      </c>
      <c r="AQ498" s="48">
        <f t="shared" si="298"/>
        <v>0</v>
      </c>
      <c r="AR498" s="48">
        <f t="shared" si="299"/>
        <v>0</v>
      </c>
      <c r="AS498" s="48">
        <f t="shared" si="300"/>
        <v>0</v>
      </c>
      <c r="AT498" s="48">
        <f t="shared" si="301"/>
        <v>0</v>
      </c>
      <c r="AU498" s="48">
        <f t="shared" si="302"/>
        <v>0</v>
      </c>
      <c r="AV498" s="48">
        <f t="shared" si="303"/>
        <v>0</v>
      </c>
      <c r="AW498" s="48">
        <f>IF(N498="ПП",РПП*AB498*(V498/1.5),IF(N498="ВП",ВПр*AB498*(V498/1.5),IF(N498="РПА",РПА*AB498*(V498/1.5),IF(N498="КПА",кпа*AB498*(V498/1.5),0))))</f>
        <v>0</v>
      </c>
      <c r="AX498" s="48">
        <f t="shared" si="304"/>
        <v>0</v>
      </c>
      <c r="AY498" s="48">
        <f t="shared" si="305"/>
        <v>0</v>
      </c>
      <c r="AZ498" s="48">
        <f t="shared" si="306"/>
        <v>0</v>
      </c>
      <c r="BA498" s="48">
        <f t="shared" si="307"/>
        <v>0</v>
      </c>
      <c r="BB498" s="48">
        <f t="shared" si="308"/>
        <v>0</v>
      </c>
      <c r="BC498" s="48">
        <f t="shared" si="309"/>
        <v>0</v>
      </c>
      <c r="BD498" s="48">
        <f t="shared" si="310"/>
        <v>0</v>
      </c>
      <c r="BE498" s="48">
        <f t="shared" si="311"/>
        <v>0</v>
      </c>
      <c r="BF498" s="49">
        <f t="shared" si="312"/>
        <v>0</v>
      </c>
      <c r="BG498" s="50"/>
      <c r="BH498" s="51">
        <f t="shared" si="313"/>
        <v>0</v>
      </c>
      <c r="BI498" s="51">
        <f t="shared" si="314"/>
        <v>0</v>
      </c>
      <c r="BJ498" s="51">
        <f t="shared" si="315"/>
        <v>0</v>
      </c>
      <c r="BK498" s="52">
        <f t="shared" si="316"/>
        <v>0</v>
      </c>
      <c r="BL498" s="52">
        <f t="shared" si="317"/>
        <v>0</v>
      </c>
      <c r="BM498" s="52">
        <f t="shared" si="318"/>
        <v>0</v>
      </c>
    </row>
    <row r="499" spans="1:65" ht="30" customHeight="1" x14ac:dyDescent="0.25">
      <c r="A499" s="31" t="str">
        <f t="shared" si="283"/>
        <v>Д</v>
      </c>
      <c r="B499" s="31" t="str">
        <f t="shared" si="284"/>
        <v>М</v>
      </c>
      <c r="C499" s="32" t="s">
        <v>267</v>
      </c>
      <c r="D499" s="33" t="str">
        <f t="shared" si="285"/>
        <v>Факультет физико-математических и естественных наук</v>
      </c>
      <c r="E499" s="34" t="str">
        <f t="shared" si="286"/>
        <v>'02.04.02</v>
      </c>
      <c r="F499" s="35" t="str">
        <f t="shared" si="287"/>
        <v>Управление инфокоммуникациями и интеллектуальные системы</v>
      </c>
      <c r="G499" s="36" t="s">
        <v>76</v>
      </c>
      <c r="H499" s="36" t="s">
        <v>183</v>
      </c>
      <c r="I499" s="37"/>
      <c r="J499" s="37"/>
      <c r="K499" s="38" t="s">
        <v>268</v>
      </c>
      <c r="L499" s="39">
        <v>3</v>
      </c>
      <c r="M499" s="39">
        <v>18</v>
      </c>
      <c r="N499" s="40" t="s">
        <v>79</v>
      </c>
      <c r="O499" s="39">
        <v>1</v>
      </c>
      <c r="P499" s="39"/>
      <c r="Q499" s="39"/>
      <c r="R499" s="40" t="s">
        <v>80</v>
      </c>
      <c r="S499" s="41"/>
      <c r="T499" s="41"/>
      <c r="U499" s="41"/>
      <c r="V499" s="41"/>
      <c r="W499" s="41"/>
      <c r="X499" s="42" t="str">
        <f t="shared" si="288"/>
        <v>НФИмд</v>
      </c>
      <c r="Y499" s="43" t="s">
        <v>107</v>
      </c>
      <c r="Z499" s="39">
        <v>2</v>
      </c>
      <c r="AA499" s="39">
        <v>1</v>
      </c>
      <c r="AB499" s="42">
        <f t="shared" si="290"/>
        <v>30</v>
      </c>
      <c r="AC499" s="39">
        <v>17</v>
      </c>
      <c r="AD499" s="39">
        <v>13</v>
      </c>
      <c r="AE499" s="44">
        <f t="shared" si="291"/>
        <v>30</v>
      </c>
      <c r="AF499" s="45">
        <f t="shared" si="292"/>
        <v>1</v>
      </c>
      <c r="AG499" s="45">
        <f t="shared" si="293"/>
        <v>1</v>
      </c>
      <c r="AH499" s="46" t="s">
        <v>82</v>
      </c>
      <c r="AI499" s="40" t="s">
        <v>115</v>
      </c>
      <c r="AJ499" s="40" t="s">
        <v>116</v>
      </c>
      <c r="AK499" s="47" t="s">
        <v>209</v>
      </c>
      <c r="AL499" s="40"/>
      <c r="AM499" s="48">
        <f t="shared" si="294"/>
        <v>18</v>
      </c>
      <c r="AN499" s="48">
        <f t="shared" si="295"/>
        <v>0</v>
      </c>
      <c r="AO499" s="48">
        <f t="shared" si="296"/>
        <v>0</v>
      </c>
      <c r="AP499" s="48">
        <f t="shared" si="297"/>
        <v>9.9</v>
      </c>
      <c r="AQ499" s="48">
        <f t="shared" si="298"/>
        <v>15</v>
      </c>
      <c r="AR499" s="48">
        <f t="shared" si="299"/>
        <v>1</v>
      </c>
      <c r="AS499" s="48">
        <f t="shared" si="300"/>
        <v>0.9</v>
      </c>
      <c r="AT499" s="48">
        <f t="shared" si="301"/>
        <v>0</v>
      </c>
      <c r="AU499" s="48">
        <f t="shared" si="302"/>
        <v>0</v>
      </c>
      <c r="AV499" s="48">
        <f t="shared" si="303"/>
        <v>0</v>
      </c>
      <c r="AW499" s="48">
        <f>IF(N499="ПП",РПП*AB499*(V499/1.5),IF(N499="ВП",ВПр*AB499*(V499/1.5),IF(N499="РПА",РПА*AB499*(V499/1.5),IF(N499="КПА",кпа*AB499*(V499/1.5),0))))</f>
        <v>0</v>
      </c>
      <c r="AX499" s="48">
        <f t="shared" si="304"/>
        <v>0</v>
      </c>
      <c r="AY499" s="48">
        <f t="shared" si="305"/>
        <v>0</v>
      </c>
      <c r="AZ499" s="48">
        <f t="shared" si="306"/>
        <v>0</v>
      </c>
      <c r="BA499" s="48">
        <f t="shared" si="307"/>
        <v>0</v>
      </c>
      <c r="BB499" s="48">
        <f t="shared" si="308"/>
        <v>0</v>
      </c>
      <c r="BC499" s="48">
        <f t="shared" si="309"/>
        <v>0</v>
      </c>
      <c r="BD499" s="48">
        <f t="shared" si="310"/>
        <v>0</v>
      </c>
      <c r="BE499" s="48">
        <f t="shared" si="311"/>
        <v>0</v>
      </c>
      <c r="BF499" s="49">
        <f t="shared" si="312"/>
        <v>44.8</v>
      </c>
      <c r="BG499" s="50"/>
      <c r="BH499" s="51">
        <f t="shared" si="313"/>
        <v>18</v>
      </c>
      <c r="BI499" s="51">
        <f t="shared" si="314"/>
        <v>0.5</v>
      </c>
      <c r="BJ499" s="51">
        <f t="shared" si="315"/>
        <v>26.799999999999997</v>
      </c>
      <c r="BK499" s="52">
        <f t="shared" si="316"/>
        <v>0</v>
      </c>
      <c r="BL499" s="52">
        <f t="shared" si="317"/>
        <v>0</v>
      </c>
      <c r="BM499" s="52">
        <f t="shared" si="318"/>
        <v>0</v>
      </c>
    </row>
    <row r="500" spans="1:65" ht="30" customHeight="1" x14ac:dyDescent="0.25">
      <c r="A500" s="31" t="str">
        <f t="shared" si="283"/>
        <v>Д</v>
      </c>
      <c r="B500" s="31" t="str">
        <f t="shared" si="284"/>
        <v>М</v>
      </c>
      <c r="C500" s="32" t="s">
        <v>267</v>
      </c>
      <c r="D500" s="33" t="str">
        <f t="shared" si="285"/>
        <v>Факультет физико-математических и естественных наук</v>
      </c>
      <c r="E500" s="34" t="str">
        <f t="shared" si="286"/>
        <v>'02.04.02</v>
      </c>
      <c r="F500" s="35" t="str">
        <f t="shared" si="287"/>
        <v>Управление инфокоммуникациями и интеллектуальные системы</v>
      </c>
      <c r="G500" s="36" t="s">
        <v>76</v>
      </c>
      <c r="H500" s="36" t="s">
        <v>183</v>
      </c>
      <c r="I500" s="37"/>
      <c r="J500" s="37"/>
      <c r="K500" s="38" t="s">
        <v>268</v>
      </c>
      <c r="L500" s="39">
        <v>3</v>
      </c>
      <c r="M500" s="39">
        <v>18</v>
      </c>
      <c r="N500" s="40" t="s">
        <v>86</v>
      </c>
      <c r="O500" s="39"/>
      <c r="P500" s="39"/>
      <c r="Q500" s="39">
        <v>2</v>
      </c>
      <c r="R500" s="40"/>
      <c r="S500" s="41"/>
      <c r="T500" s="41"/>
      <c r="U500" s="41"/>
      <c r="V500" s="41"/>
      <c r="W500" s="41"/>
      <c r="X500" s="42" t="str">
        <f t="shared" si="288"/>
        <v>НФИмд</v>
      </c>
      <c r="Y500" s="43" t="s">
        <v>107</v>
      </c>
      <c r="Z500" s="39">
        <v>1</v>
      </c>
      <c r="AA500" s="39">
        <v>1</v>
      </c>
      <c r="AB500" s="123">
        <f t="shared" si="290"/>
        <v>30</v>
      </c>
      <c r="AC500" s="124">
        <v>17</v>
      </c>
      <c r="AD500" s="124">
        <v>13</v>
      </c>
      <c r="AE500" s="44">
        <f t="shared" si="291"/>
        <v>12</v>
      </c>
      <c r="AF500" s="45">
        <f t="shared" si="292"/>
        <v>1</v>
      </c>
      <c r="AG500" s="45">
        <f t="shared" si="293"/>
        <v>2.5</v>
      </c>
      <c r="AH500" s="46" t="s">
        <v>82</v>
      </c>
      <c r="AI500" s="40" t="s">
        <v>115</v>
      </c>
      <c r="AJ500" s="40" t="s">
        <v>116</v>
      </c>
      <c r="AK500" s="47" t="s">
        <v>209</v>
      </c>
      <c r="AL500" s="40"/>
      <c r="AM500" s="48">
        <f t="shared" si="294"/>
        <v>0</v>
      </c>
      <c r="AN500" s="48">
        <f t="shared" si="295"/>
        <v>36</v>
      </c>
      <c r="AO500" s="48">
        <f t="shared" si="296"/>
        <v>0</v>
      </c>
      <c r="AP500" s="48">
        <f t="shared" si="297"/>
        <v>0</v>
      </c>
      <c r="AQ500" s="48">
        <f t="shared" si="298"/>
        <v>0</v>
      </c>
      <c r="AR500" s="48">
        <f t="shared" si="299"/>
        <v>0</v>
      </c>
      <c r="AS500" s="48">
        <f t="shared" si="300"/>
        <v>0</v>
      </c>
      <c r="AT500" s="48">
        <f t="shared" si="301"/>
        <v>0</v>
      </c>
      <c r="AU500" s="48">
        <f t="shared" si="302"/>
        <v>0</v>
      </c>
      <c r="AV500" s="48">
        <f t="shared" si="303"/>
        <v>0</v>
      </c>
      <c r="AW500" s="48">
        <f>IF(N500="ПП",РПП*AB500*(V500/1.5),IF(N500="ВП",ВПр*AB500*(V500/1.5),IF(N500="РПА",РПА*AB500*(V500/1.5),IF(N500="КПА",кпа*AB500*(V500/1.5),0))))</f>
        <v>0</v>
      </c>
      <c r="AX500" s="48">
        <f t="shared" si="304"/>
        <v>0</v>
      </c>
      <c r="AY500" s="48">
        <f t="shared" si="305"/>
        <v>0</v>
      </c>
      <c r="AZ500" s="48">
        <f t="shared" si="306"/>
        <v>0</v>
      </c>
      <c r="BA500" s="48">
        <f t="shared" si="307"/>
        <v>0</v>
      </c>
      <c r="BB500" s="48">
        <f t="shared" si="308"/>
        <v>0</v>
      </c>
      <c r="BC500" s="48">
        <f t="shared" si="309"/>
        <v>0</v>
      </c>
      <c r="BD500" s="48">
        <f t="shared" si="310"/>
        <v>0</v>
      </c>
      <c r="BE500" s="48">
        <f t="shared" si="311"/>
        <v>0</v>
      </c>
      <c r="BF500" s="49">
        <f t="shared" si="312"/>
        <v>36</v>
      </c>
      <c r="BG500" s="50"/>
      <c r="BH500" s="51">
        <f t="shared" si="313"/>
        <v>36</v>
      </c>
      <c r="BI500" s="51">
        <f t="shared" si="314"/>
        <v>1</v>
      </c>
      <c r="BJ500" s="51">
        <f t="shared" si="315"/>
        <v>0</v>
      </c>
      <c r="BK500" s="52">
        <f t="shared" si="316"/>
        <v>0</v>
      </c>
      <c r="BL500" s="52">
        <f t="shared" si="317"/>
        <v>0</v>
      </c>
      <c r="BM500" s="52">
        <f t="shared" si="318"/>
        <v>0</v>
      </c>
    </row>
    <row r="501" spans="1:65" ht="30" customHeight="1" x14ac:dyDescent="0.25">
      <c r="A501" s="31" t="str">
        <f t="shared" si="283"/>
        <v>Д</v>
      </c>
      <c r="B501" s="31" t="str">
        <f t="shared" si="284"/>
        <v>М</v>
      </c>
      <c r="C501" s="32" t="s">
        <v>267</v>
      </c>
      <c r="D501" s="33" t="str">
        <f t="shared" si="285"/>
        <v>Факультет физико-математических и естественных наук</v>
      </c>
      <c r="E501" s="34" t="str">
        <f t="shared" si="286"/>
        <v>'02.04.02</v>
      </c>
      <c r="F501" s="35" t="str">
        <f t="shared" si="287"/>
        <v>Управление инфокоммуникациями и интеллектуальные системы</v>
      </c>
      <c r="G501" s="36" t="s">
        <v>76</v>
      </c>
      <c r="H501" s="36" t="s">
        <v>183</v>
      </c>
      <c r="I501" s="37"/>
      <c r="J501" s="37"/>
      <c r="K501" s="38" t="s">
        <v>268</v>
      </c>
      <c r="L501" s="39"/>
      <c r="M501" s="39"/>
      <c r="N501" s="40"/>
      <c r="O501" s="39"/>
      <c r="P501" s="39"/>
      <c r="Q501" s="39"/>
      <c r="R501" s="40"/>
      <c r="S501" s="41"/>
      <c r="T501" s="41"/>
      <c r="U501" s="41"/>
      <c r="V501" s="41"/>
      <c r="W501" s="41"/>
      <c r="X501" s="42" t="str">
        <f t="shared" si="288"/>
        <v>НФИмд</v>
      </c>
      <c r="Y501" s="43" t="s">
        <v>107</v>
      </c>
      <c r="Z501" s="39"/>
      <c r="AA501" s="39"/>
      <c r="AB501" s="42">
        <f t="shared" si="290"/>
        <v>0</v>
      </c>
      <c r="AC501" s="39"/>
      <c r="AD501" s="39"/>
      <c r="AE501" s="44">
        <f t="shared" si="291"/>
        <v>1</v>
      </c>
      <c r="AF501" s="45">
        <f t="shared" si="292"/>
        <v>0</v>
      </c>
      <c r="AG501" s="45">
        <f t="shared" si="293"/>
        <v>0</v>
      </c>
      <c r="AH501" s="46" t="s">
        <v>82</v>
      </c>
      <c r="AI501" s="40" t="s">
        <v>115</v>
      </c>
      <c r="AJ501" s="40" t="s">
        <v>116</v>
      </c>
      <c r="AK501" s="47" t="s">
        <v>209</v>
      </c>
      <c r="AL501" s="40"/>
      <c r="AM501" s="48">
        <f t="shared" si="294"/>
        <v>0</v>
      </c>
      <c r="AN501" s="48">
        <f t="shared" si="295"/>
        <v>0</v>
      </c>
      <c r="AO501" s="48">
        <f t="shared" si="296"/>
        <v>0</v>
      </c>
      <c r="AP501" s="48">
        <f t="shared" si="297"/>
        <v>0</v>
      </c>
      <c r="AQ501" s="48">
        <f t="shared" si="298"/>
        <v>0</v>
      </c>
      <c r="AR501" s="48">
        <f t="shared" si="299"/>
        <v>0</v>
      </c>
      <c r="AS501" s="48">
        <f t="shared" si="300"/>
        <v>0</v>
      </c>
      <c r="AT501" s="48">
        <f t="shared" si="301"/>
        <v>0</v>
      </c>
      <c r="AU501" s="48">
        <f t="shared" si="302"/>
        <v>0</v>
      </c>
      <c r="AV501" s="48">
        <f t="shared" si="303"/>
        <v>0</v>
      </c>
      <c r="AW501" s="48">
        <f>IF(N501="ПП",РПП*AB501*(V501/1.5),IF(N501="ВП",ВПр*AB501*(V501/1.5),IF(N501="РПА",РПА*AB501*(V501/1.5),IF(N501="КПА",кпа*AB501*(V501/1.5),0))))</f>
        <v>0</v>
      </c>
      <c r="AX501" s="48">
        <f t="shared" si="304"/>
        <v>0</v>
      </c>
      <c r="AY501" s="48">
        <f t="shared" si="305"/>
        <v>0</v>
      </c>
      <c r="AZ501" s="48">
        <f t="shared" si="306"/>
        <v>0</v>
      </c>
      <c r="BA501" s="48">
        <f t="shared" si="307"/>
        <v>0</v>
      </c>
      <c r="BB501" s="48">
        <f t="shared" si="308"/>
        <v>0</v>
      </c>
      <c r="BC501" s="48">
        <f t="shared" si="309"/>
        <v>0</v>
      </c>
      <c r="BD501" s="48">
        <f t="shared" si="310"/>
        <v>0</v>
      </c>
      <c r="BE501" s="48">
        <f t="shared" si="311"/>
        <v>0</v>
      </c>
      <c r="BF501" s="49">
        <f t="shared" si="312"/>
        <v>0</v>
      </c>
      <c r="BG501" s="50"/>
      <c r="BH501" s="51">
        <f t="shared" si="313"/>
        <v>0</v>
      </c>
      <c r="BI501" s="51">
        <f t="shared" si="314"/>
        <v>0</v>
      </c>
      <c r="BJ501" s="51">
        <f t="shared" si="315"/>
        <v>0</v>
      </c>
      <c r="BK501" s="52">
        <f t="shared" si="316"/>
        <v>0</v>
      </c>
      <c r="BL501" s="52">
        <f t="shared" si="317"/>
        <v>0</v>
      </c>
      <c r="BM501" s="52">
        <f t="shared" si="318"/>
        <v>0</v>
      </c>
    </row>
    <row r="502" spans="1:65" ht="30" customHeight="1" x14ac:dyDescent="0.25">
      <c r="A502" s="31" t="str">
        <f t="shared" si="283"/>
        <v>Д</v>
      </c>
      <c r="B502" s="31" t="str">
        <f t="shared" si="284"/>
        <v>М</v>
      </c>
      <c r="C502" s="32" t="s">
        <v>267</v>
      </c>
      <c r="D502" s="33" t="str">
        <f t="shared" si="285"/>
        <v>Факультет физико-математических и естественных наук</v>
      </c>
      <c r="E502" s="34" t="str">
        <f t="shared" si="286"/>
        <v>'02.04.02</v>
      </c>
      <c r="F502" s="35" t="str">
        <f t="shared" si="287"/>
        <v>Управление инфокоммуникациями и интеллектуальные системы</v>
      </c>
      <c r="G502" s="36" t="s">
        <v>76</v>
      </c>
      <c r="H502" s="36" t="s">
        <v>135</v>
      </c>
      <c r="I502" s="37"/>
      <c r="J502" s="37" t="s">
        <v>154</v>
      </c>
      <c r="K502" s="38" t="s">
        <v>248</v>
      </c>
      <c r="L502" s="39">
        <v>3</v>
      </c>
      <c r="M502" s="39">
        <v>18</v>
      </c>
      <c r="N502" s="40" t="s">
        <v>79</v>
      </c>
      <c r="O502" s="39">
        <v>1</v>
      </c>
      <c r="P502" s="39"/>
      <c r="Q502" s="39"/>
      <c r="R502" s="40" t="s">
        <v>80</v>
      </c>
      <c r="S502" s="41"/>
      <c r="T502" s="41"/>
      <c r="U502" s="41"/>
      <c r="V502" s="41"/>
      <c r="W502" s="41"/>
      <c r="X502" s="42" t="str">
        <f t="shared" si="288"/>
        <v>НФИмд</v>
      </c>
      <c r="Y502" s="43" t="s">
        <v>107</v>
      </c>
      <c r="Z502" s="39">
        <v>2</v>
      </c>
      <c r="AA502" s="39">
        <v>1</v>
      </c>
      <c r="AB502" s="42">
        <f t="shared" si="290"/>
        <v>15</v>
      </c>
      <c r="AC502" s="39">
        <v>8</v>
      </c>
      <c r="AD502" s="39">
        <v>7</v>
      </c>
      <c r="AE502" s="44">
        <f t="shared" si="291"/>
        <v>15</v>
      </c>
      <c r="AF502" s="45">
        <f t="shared" si="292"/>
        <v>1</v>
      </c>
      <c r="AG502" s="45">
        <f t="shared" si="293"/>
        <v>1</v>
      </c>
      <c r="AH502" s="46" t="s">
        <v>82</v>
      </c>
      <c r="AI502" s="40" t="s">
        <v>83</v>
      </c>
      <c r="AJ502" s="40" t="s">
        <v>116</v>
      </c>
      <c r="AK502" s="47" t="s">
        <v>146</v>
      </c>
      <c r="AL502" s="40"/>
      <c r="AM502" s="48">
        <f t="shared" si="294"/>
        <v>18</v>
      </c>
      <c r="AN502" s="48">
        <f t="shared" si="295"/>
        <v>0</v>
      </c>
      <c r="AO502" s="48">
        <f t="shared" si="296"/>
        <v>0</v>
      </c>
      <c r="AP502" s="48">
        <f t="shared" si="297"/>
        <v>4.95</v>
      </c>
      <c r="AQ502" s="48">
        <f t="shared" si="298"/>
        <v>7.5</v>
      </c>
      <c r="AR502" s="48">
        <f t="shared" si="299"/>
        <v>1</v>
      </c>
      <c r="AS502" s="48">
        <f t="shared" si="300"/>
        <v>0.9</v>
      </c>
      <c r="AT502" s="48">
        <f t="shared" si="301"/>
        <v>0</v>
      </c>
      <c r="AU502" s="48">
        <f t="shared" si="302"/>
        <v>0</v>
      </c>
      <c r="AV502" s="48">
        <f t="shared" si="303"/>
        <v>0</v>
      </c>
      <c r="AW502" s="48">
        <f>IF(N502="ПП",РПП*AB502*(V502/1.5),IF(N502="ВП",ВПр*AB502*(V502/1.5),IF(N502="РПА",РПА*AB502*(V502/1.5),IF(N502="КПА",кпа*AB502*(V502/1.5),0))))</f>
        <v>0</v>
      </c>
      <c r="AX502" s="48">
        <f t="shared" si="304"/>
        <v>0</v>
      </c>
      <c r="AY502" s="48">
        <f t="shared" si="305"/>
        <v>0</v>
      </c>
      <c r="AZ502" s="48">
        <f t="shared" si="306"/>
        <v>0</v>
      </c>
      <c r="BA502" s="48">
        <f t="shared" si="307"/>
        <v>0</v>
      </c>
      <c r="BB502" s="48">
        <f t="shared" si="308"/>
        <v>0</v>
      </c>
      <c r="BC502" s="48">
        <f t="shared" si="309"/>
        <v>0</v>
      </c>
      <c r="BD502" s="48">
        <f t="shared" si="310"/>
        <v>0</v>
      </c>
      <c r="BE502" s="48">
        <f t="shared" si="311"/>
        <v>0</v>
      </c>
      <c r="BF502" s="49">
        <f t="shared" si="312"/>
        <v>32.35</v>
      </c>
      <c r="BG502" s="50"/>
      <c r="BH502" s="51">
        <f t="shared" si="313"/>
        <v>18</v>
      </c>
      <c r="BI502" s="51">
        <f t="shared" si="314"/>
        <v>0.5</v>
      </c>
      <c r="BJ502" s="51">
        <f t="shared" si="315"/>
        <v>14.35</v>
      </c>
      <c r="BK502" s="52">
        <f t="shared" si="316"/>
        <v>0</v>
      </c>
      <c r="BL502" s="52">
        <f t="shared" si="317"/>
        <v>0</v>
      </c>
      <c r="BM502" s="52">
        <f t="shared" si="318"/>
        <v>0</v>
      </c>
    </row>
    <row r="503" spans="1:65" ht="30" customHeight="1" x14ac:dyDescent="0.25">
      <c r="A503" s="31" t="str">
        <f t="shared" si="283"/>
        <v>Д</v>
      </c>
      <c r="B503" s="31" t="str">
        <f t="shared" si="284"/>
        <v>М</v>
      </c>
      <c r="C503" s="32" t="s">
        <v>267</v>
      </c>
      <c r="D503" s="33" t="str">
        <f t="shared" si="285"/>
        <v>Факультет физико-математических и естественных наук</v>
      </c>
      <c r="E503" s="34" t="str">
        <f t="shared" si="286"/>
        <v>'02.04.02</v>
      </c>
      <c r="F503" s="35" t="str">
        <f t="shared" si="287"/>
        <v>Управление инфокоммуникациями и интеллектуальные системы</v>
      </c>
      <c r="G503" s="36" t="s">
        <v>76</v>
      </c>
      <c r="H503" s="36" t="s">
        <v>135</v>
      </c>
      <c r="I503" s="37"/>
      <c r="J503" s="37" t="s">
        <v>154</v>
      </c>
      <c r="K503" s="38" t="s">
        <v>248</v>
      </c>
      <c r="L503" s="39">
        <v>3</v>
      </c>
      <c r="M503" s="39">
        <v>18</v>
      </c>
      <c r="N503" s="40" t="s">
        <v>86</v>
      </c>
      <c r="O503" s="39"/>
      <c r="P503" s="39"/>
      <c r="Q503" s="39">
        <v>2</v>
      </c>
      <c r="R503" s="40"/>
      <c r="S503" s="41"/>
      <c r="T503" s="41"/>
      <c r="U503" s="41"/>
      <c r="V503" s="41"/>
      <c r="W503" s="41"/>
      <c r="X503" s="42" t="str">
        <f t="shared" si="288"/>
        <v>НФИмд</v>
      </c>
      <c r="Y503" s="43" t="s">
        <v>107</v>
      </c>
      <c r="Z503" s="39">
        <v>2</v>
      </c>
      <c r="AA503" s="39">
        <v>1</v>
      </c>
      <c r="AB503" s="42">
        <f t="shared" si="290"/>
        <v>15</v>
      </c>
      <c r="AC503" s="39">
        <v>8</v>
      </c>
      <c r="AD503" s="39">
        <v>7</v>
      </c>
      <c r="AE503" s="44">
        <f t="shared" si="291"/>
        <v>12</v>
      </c>
      <c r="AF503" s="45">
        <f t="shared" si="292"/>
        <v>1</v>
      </c>
      <c r="AG503" s="45">
        <f t="shared" si="293"/>
        <v>1.25</v>
      </c>
      <c r="AH503" s="46" t="s">
        <v>82</v>
      </c>
      <c r="AI503" s="40" t="s">
        <v>83</v>
      </c>
      <c r="AJ503" s="40" t="s">
        <v>116</v>
      </c>
      <c r="AK503" s="47" t="s">
        <v>146</v>
      </c>
      <c r="AL503" s="40"/>
      <c r="AM503" s="48">
        <f t="shared" si="294"/>
        <v>0</v>
      </c>
      <c r="AN503" s="48">
        <f t="shared" si="295"/>
        <v>36</v>
      </c>
      <c r="AO503" s="48">
        <f t="shared" si="296"/>
        <v>0</v>
      </c>
      <c r="AP503" s="48">
        <f t="shared" si="297"/>
        <v>0</v>
      </c>
      <c r="AQ503" s="48">
        <f t="shared" si="298"/>
        <v>0</v>
      </c>
      <c r="AR503" s="48">
        <f t="shared" si="299"/>
        <v>0</v>
      </c>
      <c r="AS503" s="48">
        <f t="shared" si="300"/>
        <v>0</v>
      </c>
      <c r="AT503" s="48">
        <f t="shared" si="301"/>
        <v>0</v>
      </c>
      <c r="AU503" s="48">
        <f t="shared" si="302"/>
        <v>0</v>
      </c>
      <c r="AV503" s="48">
        <f t="shared" si="303"/>
        <v>0</v>
      </c>
      <c r="AW503" s="48">
        <f>IF(N503="ПП",РПП*AB503*(V503/1.5),IF(N503="ВП",ВПр*AB503*(V503/1.5),IF(N503="РПА",РПА*AB503*(V503/1.5),IF(N503="КПА",кпа*AB503*(V503/1.5),0))))</f>
        <v>0</v>
      </c>
      <c r="AX503" s="48">
        <f t="shared" si="304"/>
        <v>0</v>
      </c>
      <c r="AY503" s="48">
        <f t="shared" si="305"/>
        <v>0</v>
      </c>
      <c r="AZ503" s="48">
        <f t="shared" si="306"/>
        <v>0</v>
      </c>
      <c r="BA503" s="48">
        <f t="shared" si="307"/>
        <v>0</v>
      </c>
      <c r="BB503" s="48">
        <f t="shared" si="308"/>
        <v>0</v>
      </c>
      <c r="BC503" s="48">
        <f t="shared" si="309"/>
        <v>0</v>
      </c>
      <c r="BD503" s="48">
        <f t="shared" si="310"/>
        <v>0</v>
      </c>
      <c r="BE503" s="48">
        <f t="shared" si="311"/>
        <v>0</v>
      </c>
      <c r="BF503" s="49">
        <f t="shared" si="312"/>
        <v>36</v>
      </c>
      <c r="BG503" s="50"/>
      <c r="BH503" s="51">
        <f t="shared" si="313"/>
        <v>36</v>
      </c>
      <c r="BI503" s="51">
        <f t="shared" si="314"/>
        <v>1</v>
      </c>
      <c r="BJ503" s="51">
        <f t="shared" si="315"/>
        <v>0</v>
      </c>
      <c r="BK503" s="52">
        <f t="shared" si="316"/>
        <v>0</v>
      </c>
      <c r="BL503" s="52">
        <f t="shared" si="317"/>
        <v>0</v>
      </c>
      <c r="BM503" s="52">
        <f t="shared" si="318"/>
        <v>0</v>
      </c>
    </row>
    <row r="504" spans="1:65" ht="30" customHeight="1" x14ac:dyDescent="0.25">
      <c r="A504" s="31" t="str">
        <f t="shared" si="283"/>
        <v>Д</v>
      </c>
      <c r="B504" s="31" t="str">
        <f t="shared" si="284"/>
        <v>М</v>
      </c>
      <c r="C504" s="32" t="s">
        <v>267</v>
      </c>
      <c r="D504" s="33" t="str">
        <f t="shared" si="285"/>
        <v>Факультет физико-математических и естественных наук</v>
      </c>
      <c r="E504" s="34" t="str">
        <f t="shared" si="286"/>
        <v>'02.04.02</v>
      </c>
      <c r="F504" s="35" t="str">
        <f t="shared" si="287"/>
        <v>Управление инфокоммуникациями и интеллектуальные системы</v>
      </c>
      <c r="G504" s="36" t="s">
        <v>76</v>
      </c>
      <c r="H504" s="36" t="s">
        <v>77</v>
      </c>
      <c r="I504" s="37"/>
      <c r="J504" s="37" t="s">
        <v>154</v>
      </c>
      <c r="K504" s="38" t="s">
        <v>260</v>
      </c>
      <c r="L504" s="39">
        <v>3</v>
      </c>
      <c r="M504" s="39">
        <v>18</v>
      </c>
      <c r="N504" s="40" t="s">
        <v>94</v>
      </c>
      <c r="O504" s="39"/>
      <c r="P504" s="39">
        <v>2</v>
      </c>
      <c r="Q504" s="39"/>
      <c r="R504" s="40" t="s">
        <v>95</v>
      </c>
      <c r="S504" s="41"/>
      <c r="T504" s="41"/>
      <c r="U504" s="41"/>
      <c r="V504" s="41"/>
      <c r="W504" s="41"/>
      <c r="X504" s="42" t="str">
        <f t="shared" si="288"/>
        <v>НФИмд</v>
      </c>
      <c r="Y504" s="43" t="s">
        <v>107</v>
      </c>
      <c r="Z504" s="39">
        <v>2</v>
      </c>
      <c r="AA504" s="39">
        <v>1</v>
      </c>
      <c r="AB504" s="42">
        <f t="shared" si="290"/>
        <v>15</v>
      </c>
      <c r="AC504" s="39">
        <v>8</v>
      </c>
      <c r="AD504" s="39">
        <v>7</v>
      </c>
      <c r="AE504" s="44">
        <f t="shared" si="291"/>
        <v>12</v>
      </c>
      <c r="AF504" s="45">
        <f t="shared" si="292"/>
        <v>1</v>
      </c>
      <c r="AG504" s="45">
        <f t="shared" si="293"/>
        <v>1.25</v>
      </c>
      <c r="AH504" s="46" t="s">
        <v>82</v>
      </c>
      <c r="AI504" s="40" t="s">
        <v>99</v>
      </c>
      <c r="AJ504" s="40" t="s">
        <v>116</v>
      </c>
      <c r="AK504" s="47" t="s">
        <v>269</v>
      </c>
      <c r="AL504" s="40"/>
      <c r="AM504" s="48">
        <f t="shared" si="294"/>
        <v>0</v>
      </c>
      <c r="AN504" s="48">
        <f t="shared" si="295"/>
        <v>0</v>
      </c>
      <c r="AO504" s="48">
        <f t="shared" si="296"/>
        <v>36</v>
      </c>
      <c r="AP504" s="48">
        <f t="shared" si="297"/>
        <v>4.95</v>
      </c>
      <c r="AQ504" s="48">
        <f t="shared" si="298"/>
        <v>7.5</v>
      </c>
      <c r="AR504" s="48">
        <f t="shared" si="299"/>
        <v>1</v>
      </c>
      <c r="AS504" s="48">
        <f t="shared" si="300"/>
        <v>0</v>
      </c>
      <c r="AT504" s="48">
        <f t="shared" si="301"/>
        <v>0</v>
      </c>
      <c r="AU504" s="48">
        <f t="shared" si="302"/>
        <v>0</v>
      </c>
      <c r="AV504" s="48">
        <f t="shared" si="303"/>
        <v>0</v>
      </c>
      <c r="AW504" s="48">
        <f>IF(N504="ПП",РПП*AB504*(V504/1.5),IF(N504="ВП",ВПр*AB504*(V504/1.5),IF(N504="РПА",РПА*AB504*(V504/1.5),IF(N504="КПА",кпа*AB504*(V504/1.5),0))))</f>
        <v>0</v>
      </c>
      <c r="AX504" s="48">
        <f t="shared" si="304"/>
        <v>0</v>
      </c>
      <c r="AY504" s="48">
        <f t="shared" si="305"/>
        <v>0</v>
      </c>
      <c r="AZ504" s="48">
        <f t="shared" si="306"/>
        <v>0</v>
      </c>
      <c r="BA504" s="48">
        <f t="shared" si="307"/>
        <v>0</v>
      </c>
      <c r="BB504" s="48">
        <f t="shared" si="308"/>
        <v>0</v>
      </c>
      <c r="BC504" s="48">
        <f t="shared" si="309"/>
        <v>0</v>
      </c>
      <c r="BD504" s="48">
        <f t="shared" si="310"/>
        <v>0</v>
      </c>
      <c r="BE504" s="48">
        <f t="shared" si="311"/>
        <v>0</v>
      </c>
      <c r="BF504" s="49">
        <f t="shared" si="312"/>
        <v>49.45</v>
      </c>
      <c r="BG504" s="50"/>
      <c r="BH504" s="51">
        <f t="shared" si="313"/>
        <v>36</v>
      </c>
      <c r="BI504" s="51">
        <f t="shared" si="314"/>
        <v>1</v>
      </c>
      <c r="BJ504" s="51">
        <f t="shared" si="315"/>
        <v>13.45</v>
      </c>
      <c r="BK504" s="52">
        <f t="shared" si="316"/>
        <v>0</v>
      </c>
      <c r="BL504" s="52">
        <f t="shared" si="317"/>
        <v>0</v>
      </c>
      <c r="BM504" s="52">
        <f t="shared" si="318"/>
        <v>0</v>
      </c>
    </row>
    <row r="505" spans="1:65" ht="30" customHeight="1" x14ac:dyDescent="0.25">
      <c r="A505" s="31" t="str">
        <f t="shared" si="283"/>
        <v>Д</v>
      </c>
      <c r="B505" s="31" t="str">
        <f t="shared" si="284"/>
        <v>М</v>
      </c>
      <c r="C505" s="32" t="s">
        <v>267</v>
      </c>
      <c r="D505" s="33" t="str">
        <f t="shared" si="285"/>
        <v>Факультет физико-математических и естественных наук</v>
      </c>
      <c r="E505" s="34" t="str">
        <f t="shared" si="286"/>
        <v>'02.04.02</v>
      </c>
      <c r="F505" s="35" t="str">
        <f t="shared" si="287"/>
        <v>Управление инфокоммуникациями и интеллектуальные системы</v>
      </c>
      <c r="G505" s="36" t="s">
        <v>76</v>
      </c>
      <c r="H505" s="36" t="s">
        <v>77</v>
      </c>
      <c r="I505" s="37"/>
      <c r="J505" s="37" t="s">
        <v>154</v>
      </c>
      <c r="K505" s="38" t="s">
        <v>260</v>
      </c>
      <c r="L505" s="39"/>
      <c r="M505" s="39"/>
      <c r="N505" s="40"/>
      <c r="O505" s="39"/>
      <c r="P505" s="39"/>
      <c r="Q505" s="39"/>
      <c r="R505" s="40"/>
      <c r="S505" s="41"/>
      <c r="T505" s="41"/>
      <c r="U505" s="41"/>
      <c r="V505" s="41"/>
      <c r="W505" s="41"/>
      <c r="X505" s="42" t="str">
        <f t="shared" si="288"/>
        <v>НФИмд</v>
      </c>
      <c r="Y505" s="43" t="s">
        <v>107</v>
      </c>
      <c r="Z505" s="39"/>
      <c r="AA505" s="39"/>
      <c r="AB505" s="42">
        <f t="shared" si="290"/>
        <v>0</v>
      </c>
      <c r="AC505" s="39"/>
      <c r="AD505" s="39"/>
      <c r="AE505" s="44">
        <f t="shared" si="291"/>
        <v>1</v>
      </c>
      <c r="AF505" s="45">
        <f t="shared" si="292"/>
        <v>0</v>
      </c>
      <c r="AG505" s="45">
        <f t="shared" si="293"/>
        <v>0</v>
      </c>
      <c r="AH505" s="46" t="s">
        <v>82</v>
      </c>
      <c r="AI505" s="40" t="s">
        <v>99</v>
      </c>
      <c r="AJ505" s="40" t="s">
        <v>116</v>
      </c>
      <c r="AK505" s="47" t="s">
        <v>269</v>
      </c>
      <c r="AL505" s="40"/>
      <c r="AM505" s="48">
        <f t="shared" si="294"/>
        <v>0</v>
      </c>
      <c r="AN505" s="48">
        <f t="shared" si="295"/>
        <v>0</v>
      </c>
      <c r="AO505" s="48">
        <f t="shared" si="296"/>
        <v>0</v>
      </c>
      <c r="AP505" s="48">
        <f t="shared" si="297"/>
        <v>0</v>
      </c>
      <c r="AQ505" s="48">
        <f t="shared" si="298"/>
        <v>0</v>
      </c>
      <c r="AR505" s="48">
        <f t="shared" si="299"/>
        <v>0</v>
      </c>
      <c r="AS505" s="48">
        <f t="shared" si="300"/>
        <v>0</v>
      </c>
      <c r="AT505" s="48">
        <f t="shared" si="301"/>
        <v>0</v>
      </c>
      <c r="AU505" s="48">
        <f t="shared" si="302"/>
        <v>0</v>
      </c>
      <c r="AV505" s="48">
        <f t="shared" si="303"/>
        <v>0</v>
      </c>
      <c r="AW505" s="48">
        <f>IF(N505="ПП",РПП*AB505*(V505/1.5),IF(N505="ВП",ВПр*AB505*(V505/1.5),IF(N505="РПА",РПА*AB505*(V505/1.5),IF(N505="КПА",кпа*AB505*(V505/1.5),0))))</f>
        <v>0</v>
      </c>
      <c r="AX505" s="48">
        <f t="shared" si="304"/>
        <v>0</v>
      </c>
      <c r="AY505" s="48">
        <f t="shared" si="305"/>
        <v>0</v>
      </c>
      <c r="AZ505" s="48">
        <f t="shared" si="306"/>
        <v>0</v>
      </c>
      <c r="BA505" s="48">
        <f t="shared" si="307"/>
        <v>0</v>
      </c>
      <c r="BB505" s="48">
        <f t="shared" si="308"/>
        <v>0</v>
      </c>
      <c r="BC505" s="48">
        <f t="shared" si="309"/>
        <v>0</v>
      </c>
      <c r="BD505" s="48">
        <f t="shared" si="310"/>
        <v>0</v>
      </c>
      <c r="BE505" s="48">
        <f t="shared" si="311"/>
        <v>0</v>
      </c>
      <c r="BF505" s="49">
        <f t="shared" si="312"/>
        <v>0</v>
      </c>
      <c r="BG505" s="50"/>
      <c r="BH505" s="51">
        <f t="shared" si="313"/>
        <v>0</v>
      </c>
      <c r="BI505" s="51">
        <f t="shared" si="314"/>
        <v>0</v>
      </c>
      <c r="BJ505" s="51">
        <f t="shared" si="315"/>
        <v>0</v>
      </c>
      <c r="BK505" s="52">
        <f t="shared" si="316"/>
        <v>0</v>
      </c>
      <c r="BL505" s="52">
        <f t="shared" si="317"/>
        <v>0</v>
      </c>
      <c r="BM505" s="52">
        <f t="shared" si="318"/>
        <v>0</v>
      </c>
    </row>
    <row r="506" spans="1:65" ht="30" customHeight="1" x14ac:dyDescent="0.25">
      <c r="A506" s="31" t="str">
        <f t="shared" si="283"/>
        <v>Д</v>
      </c>
      <c r="B506" s="31" t="str">
        <f t="shared" si="284"/>
        <v>М</v>
      </c>
      <c r="C506" s="32" t="s">
        <v>267</v>
      </c>
      <c r="D506" s="33" t="str">
        <f t="shared" si="285"/>
        <v>Факультет физико-математических и естественных наук</v>
      </c>
      <c r="E506" s="34" t="str">
        <f t="shared" si="286"/>
        <v>'02.04.02</v>
      </c>
      <c r="F506" s="35" t="str">
        <f t="shared" si="287"/>
        <v>Управление инфокоммуникациями и интеллектуальные системы</v>
      </c>
      <c r="G506" s="36" t="s">
        <v>153</v>
      </c>
      <c r="H506" s="36" t="s">
        <v>183</v>
      </c>
      <c r="I506" s="37"/>
      <c r="J506" s="37"/>
      <c r="K506" s="38" t="s">
        <v>169</v>
      </c>
      <c r="L506" s="39">
        <v>3</v>
      </c>
      <c r="M506" s="39"/>
      <c r="N506" s="40" t="s">
        <v>2672</v>
      </c>
      <c r="O506" s="39"/>
      <c r="P506" s="39"/>
      <c r="Q506" s="39"/>
      <c r="R506" s="40"/>
      <c r="S506" s="41"/>
      <c r="T506" s="41"/>
      <c r="U506" s="41"/>
      <c r="V506" s="41">
        <v>6</v>
      </c>
      <c r="W506" s="41"/>
      <c r="X506" s="42" t="str">
        <f t="shared" si="288"/>
        <v>НФИмд</v>
      </c>
      <c r="Y506" s="43" t="s">
        <v>107</v>
      </c>
      <c r="Z506" s="39">
        <v>2</v>
      </c>
      <c r="AA506" s="39">
        <v>1</v>
      </c>
      <c r="AB506" s="42">
        <f t="shared" si="290"/>
        <v>15</v>
      </c>
      <c r="AC506" s="125">
        <v>12</v>
      </c>
      <c r="AD506" s="125">
        <v>3</v>
      </c>
      <c r="AE506" s="44">
        <f t="shared" si="291"/>
        <v>1</v>
      </c>
      <c r="AF506" s="45">
        <f t="shared" si="292"/>
        <v>1</v>
      </c>
      <c r="AG506" s="45">
        <f t="shared" si="293"/>
        <v>15</v>
      </c>
      <c r="AH506" s="46" t="s">
        <v>82</v>
      </c>
      <c r="AI506" s="40" t="s">
        <v>83</v>
      </c>
      <c r="AJ506" s="40" t="s">
        <v>84</v>
      </c>
      <c r="AK506" s="47" t="s">
        <v>200</v>
      </c>
      <c r="AL506" s="40"/>
      <c r="AM506" s="48">
        <f t="shared" si="294"/>
        <v>0</v>
      </c>
      <c r="AN506" s="48">
        <f t="shared" si="295"/>
        <v>0</v>
      </c>
      <c r="AO506" s="48">
        <f t="shared" si="296"/>
        <v>0</v>
      </c>
      <c r="AP506" s="48">
        <f t="shared" si="297"/>
        <v>0</v>
      </c>
      <c r="AQ506" s="48">
        <f t="shared" si="298"/>
        <v>0</v>
      </c>
      <c r="AR506" s="48">
        <f t="shared" si="299"/>
        <v>0</v>
      </c>
      <c r="AS506" s="48">
        <f t="shared" si="300"/>
        <v>0</v>
      </c>
      <c r="AT506" s="48">
        <f t="shared" si="301"/>
        <v>0</v>
      </c>
      <c r="AU506" s="48">
        <f t="shared" si="302"/>
        <v>0</v>
      </c>
      <c r="AV506" s="48">
        <f t="shared" si="303"/>
        <v>0</v>
      </c>
      <c r="AW506" s="48">
        <f>IF(N506="ПП",РПП*AB506*(V506/1.5),IF(N506="ВП",ВПр*AB506*(V506/1.5),IF(N506="РПА",РПА*AB506*(V506/1.5),IF(N506="КПА",кпа*AB506*(V506/1.5),0))))</f>
        <v>45</v>
      </c>
      <c r="AX506" s="48">
        <f t="shared" si="304"/>
        <v>0</v>
      </c>
      <c r="AY506" s="48">
        <f t="shared" si="305"/>
        <v>0</v>
      </c>
      <c r="AZ506" s="48">
        <f t="shared" si="306"/>
        <v>0</v>
      </c>
      <c r="BA506" s="48">
        <f t="shared" si="307"/>
        <v>0</v>
      </c>
      <c r="BB506" s="48">
        <f t="shared" si="308"/>
        <v>0</v>
      </c>
      <c r="BC506" s="48">
        <f t="shared" si="309"/>
        <v>0</v>
      </c>
      <c r="BD506" s="48">
        <f t="shared" si="310"/>
        <v>0</v>
      </c>
      <c r="BE506" s="48">
        <f t="shared" si="311"/>
        <v>0</v>
      </c>
      <c r="BF506" s="49">
        <f t="shared" si="312"/>
        <v>45</v>
      </c>
      <c r="BG506" s="50"/>
      <c r="BH506" s="51">
        <f t="shared" si="313"/>
        <v>0</v>
      </c>
      <c r="BI506" s="51">
        <f t="shared" si="314"/>
        <v>0</v>
      </c>
      <c r="BJ506" s="51">
        <f t="shared" si="315"/>
        <v>45</v>
      </c>
      <c r="BK506" s="52">
        <f t="shared" si="316"/>
        <v>0</v>
      </c>
      <c r="BL506" s="52">
        <f t="shared" si="317"/>
        <v>0</v>
      </c>
      <c r="BM506" s="52">
        <f t="shared" si="318"/>
        <v>0</v>
      </c>
    </row>
    <row r="507" spans="1:65" ht="30" customHeight="1" x14ac:dyDescent="0.25">
      <c r="A507" s="31" t="str">
        <f t="shared" si="283"/>
        <v>Д</v>
      </c>
      <c r="B507" s="31" t="str">
        <f t="shared" si="284"/>
        <v>М</v>
      </c>
      <c r="C507" s="32" t="s">
        <v>267</v>
      </c>
      <c r="D507" s="33" t="str">
        <f t="shared" si="285"/>
        <v>Факультет физико-математических и естественных наук</v>
      </c>
      <c r="E507" s="34" t="str">
        <f t="shared" si="286"/>
        <v>'02.04.02</v>
      </c>
      <c r="F507" s="35" t="str">
        <f t="shared" si="287"/>
        <v>Управление инфокоммуникациями и интеллектуальные системы</v>
      </c>
      <c r="G507" s="36" t="s">
        <v>153</v>
      </c>
      <c r="H507" s="36" t="s">
        <v>183</v>
      </c>
      <c r="I507" s="37"/>
      <c r="J507" s="37"/>
      <c r="K507" s="38" t="s">
        <v>167</v>
      </c>
      <c r="L507" s="39">
        <v>4</v>
      </c>
      <c r="M507" s="39"/>
      <c r="N507" s="40" t="s">
        <v>168</v>
      </c>
      <c r="O507" s="39"/>
      <c r="P507" s="39"/>
      <c r="Q507" s="39"/>
      <c r="R507" s="40"/>
      <c r="S507" s="41"/>
      <c r="T507" s="41"/>
      <c r="U507" s="41"/>
      <c r="V507" s="41">
        <v>6</v>
      </c>
      <c r="W507" s="41"/>
      <c r="X507" s="42" t="str">
        <f t="shared" si="288"/>
        <v>НФИмд</v>
      </c>
      <c r="Y507" s="43" t="s">
        <v>107</v>
      </c>
      <c r="Z507" s="39">
        <v>2</v>
      </c>
      <c r="AA507" s="39">
        <v>1</v>
      </c>
      <c r="AB507" s="42">
        <f t="shared" si="290"/>
        <v>15</v>
      </c>
      <c r="AC507" s="121">
        <v>12</v>
      </c>
      <c r="AD507" s="121">
        <v>3</v>
      </c>
      <c r="AE507" s="44">
        <f t="shared" si="291"/>
        <v>1</v>
      </c>
      <c r="AF507" s="45">
        <f t="shared" si="292"/>
        <v>1</v>
      </c>
      <c r="AG507" s="45">
        <f t="shared" si="293"/>
        <v>15</v>
      </c>
      <c r="AH507" s="46" t="s">
        <v>82</v>
      </c>
      <c r="AI507" s="40" t="s">
        <v>99</v>
      </c>
      <c r="AJ507" s="40" t="s">
        <v>100</v>
      </c>
      <c r="AK507" s="47" t="s">
        <v>101</v>
      </c>
      <c r="AL507" s="40"/>
      <c r="AM507" s="48">
        <f t="shared" si="294"/>
        <v>0</v>
      </c>
      <c r="AN507" s="48">
        <f t="shared" si="295"/>
        <v>0</v>
      </c>
      <c r="AO507" s="48">
        <f t="shared" si="296"/>
        <v>0</v>
      </c>
      <c r="AP507" s="48">
        <f t="shared" si="297"/>
        <v>0</v>
      </c>
      <c r="AQ507" s="48">
        <f t="shared" si="298"/>
        <v>0</v>
      </c>
      <c r="AR507" s="48">
        <f t="shared" si="299"/>
        <v>0</v>
      </c>
      <c r="AS507" s="48">
        <f t="shared" si="300"/>
        <v>0</v>
      </c>
      <c r="AT507" s="48">
        <f t="shared" si="301"/>
        <v>0</v>
      </c>
      <c r="AU507" s="48">
        <f t="shared" si="302"/>
        <v>0</v>
      </c>
      <c r="AV507" s="48">
        <f t="shared" si="303"/>
        <v>0</v>
      </c>
      <c r="AW507" s="48">
        <f>IF(N507="ПП",РПП*AB507*(V507/1.5),IF(N507="ВП",ВПр*AB507*(V507/1.5),IF(N507="РПА",РПА*AB507*(V507/1.5),IF(N507="КПА",кпа*AB507*(V507/1.5),0))))</f>
        <v>90</v>
      </c>
      <c r="AX507" s="48">
        <f t="shared" si="304"/>
        <v>0</v>
      </c>
      <c r="AY507" s="48">
        <f t="shared" si="305"/>
        <v>0</v>
      </c>
      <c r="AZ507" s="48">
        <f t="shared" si="306"/>
        <v>0</v>
      </c>
      <c r="BA507" s="48">
        <f t="shared" si="307"/>
        <v>0</v>
      </c>
      <c r="BB507" s="48">
        <f t="shared" si="308"/>
        <v>0</v>
      </c>
      <c r="BC507" s="48">
        <f t="shared" si="309"/>
        <v>0</v>
      </c>
      <c r="BD507" s="48">
        <f t="shared" si="310"/>
        <v>0</v>
      </c>
      <c r="BE507" s="48">
        <f t="shared" si="311"/>
        <v>0</v>
      </c>
      <c r="BF507" s="49">
        <f t="shared" si="312"/>
        <v>90</v>
      </c>
      <c r="BG507" s="50"/>
      <c r="BH507" s="51">
        <f t="shared" si="313"/>
        <v>0</v>
      </c>
      <c r="BI507" s="51">
        <f t="shared" si="314"/>
        <v>0</v>
      </c>
      <c r="BJ507" s="51">
        <f t="shared" si="315"/>
        <v>0</v>
      </c>
      <c r="BK507" s="52">
        <f t="shared" si="316"/>
        <v>0</v>
      </c>
      <c r="BL507" s="52">
        <f t="shared" si="317"/>
        <v>0</v>
      </c>
      <c r="BM507" s="52">
        <f t="shared" si="318"/>
        <v>90</v>
      </c>
    </row>
    <row r="508" spans="1:65" ht="30" customHeight="1" x14ac:dyDescent="0.25">
      <c r="A508" s="31" t="str">
        <f t="shared" si="283"/>
        <v>Д</v>
      </c>
      <c r="B508" s="31" t="str">
        <f t="shared" si="284"/>
        <v>М</v>
      </c>
      <c r="C508" s="32" t="s">
        <v>267</v>
      </c>
      <c r="D508" s="33" t="str">
        <f t="shared" si="285"/>
        <v>Факультет физико-математических и естественных наук</v>
      </c>
      <c r="E508" s="34" t="str">
        <f t="shared" si="286"/>
        <v>'02.04.02</v>
      </c>
      <c r="F508" s="35" t="str">
        <f t="shared" si="287"/>
        <v>Управление инфокоммуникациями и интеллектуальные системы</v>
      </c>
      <c r="G508" s="36" t="s">
        <v>153</v>
      </c>
      <c r="H508" s="36" t="s">
        <v>183</v>
      </c>
      <c r="I508" s="37"/>
      <c r="J508" s="37"/>
      <c r="K508" s="38" t="s">
        <v>170</v>
      </c>
      <c r="L508" s="39">
        <v>4</v>
      </c>
      <c r="M508" s="39"/>
      <c r="N508" s="40" t="s">
        <v>168</v>
      </c>
      <c r="O508" s="39"/>
      <c r="P508" s="39"/>
      <c r="Q508" s="39"/>
      <c r="R508" s="40"/>
      <c r="S508" s="41"/>
      <c r="T508" s="41"/>
      <c r="U508" s="41"/>
      <c r="V508" s="41">
        <v>15</v>
      </c>
      <c r="W508" s="41"/>
      <c r="X508" s="42" t="str">
        <f t="shared" si="288"/>
        <v>НФИмд</v>
      </c>
      <c r="Y508" s="43" t="s">
        <v>107</v>
      </c>
      <c r="Z508" s="39">
        <v>2</v>
      </c>
      <c r="AA508" s="39">
        <v>1</v>
      </c>
      <c r="AB508" s="42">
        <f t="shared" si="290"/>
        <v>15</v>
      </c>
      <c r="AC508" s="121">
        <v>12</v>
      </c>
      <c r="AD508" s="121">
        <v>3</v>
      </c>
      <c r="AE508" s="44">
        <f t="shared" si="291"/>
        <v>1</v>
      </c>
      <c r="AF508" s="45">
        <f t="shared" si="292"/>
        <v>1</v>
      </c>
      <c r="AG508" s="45">
        <f t="shared" si="293"/>
        <v>15</v>
      </c>
      <c r="AH508" s="46" t="s">
        <v>82</v>
      </c>
      <c r="AI508" s="40" t="s">
        <v>99</v>
      </c>
      <c r="AJ508" s="40" t="s">
        <v>100</v>
      </c>
      <c r="AK508" s="47" t="s">
        <v>101</v>
      </c>
      <c r="AL508" s="40"/>
      <c r="AM508" s="48">
        <f t="shared" si="294"/>
        <v>0</v>
      </c>
      <c r="AN508" s="48">
        <f t="shared" si="295"/>
        <v>0</v>
      </c>
      <c r="AO508" s="48">
        <f t="shared" si="296"/>
        <v>0</v>
      </c>
      <c r="AP508" s="48">
        <f t="shared" si="297"/>
        <v>0</v>
      </c>
      <c r="AQ508" s="48">
        <f t="shared" si="298"/>
        <v>0</v>
      </c>
      <c r="AR508" s="48">
        <f t="shared" si="299"/>
        <v>0</v>
      </c>
      <c r="AS508" s="48">
        <f t="shared" si="300"/>
        <v>0</v>
      </c>
      <c r="AT508" s="48">
        <f t="shared" si="301"/>
        <v>0</v>
      </c>
      <c r="AU508" s="48">
        <f t="shared" si="302"/>
        <v>0</v>
      </c>
      <c r="AV508" s="48">
        <f t="shared" si="303"/>
        <v>0</v>
      </c>
      <c r="AW508" s="48">
        <f>IF(N508="ПП",РПП*AB508*(V508/1.5),IF(N508="ВП",ВПр*AB508*(V508/1.5),IF(N508="РПА",РПА*AB508*(V508/1.5),IF(N508="КПА",кпа*AB508*(V508/1.5),0))))</f>
        <v>225</v>
      </c>
      <c r="AX508" s="48">
        <f t="shared" si="304"/>
        <v>0</v>
      </c>
      <c r="AY508" s="48">
        <f t="shared" si="305"/>
        <v>0</v>
      </c>
      <c r="AZ508" s="48">
        <f t="shared" si="306"/>
        <v>0</v>
      </c>
      <c r="BA508" s="48">
        <f t="shared" si="307"/>
        <v>0</v>
      </c>
      <c r="BB508" s="48">
        <f t="shared" si="308"/>
        <v>0</v>
      </c>
      <c r="BC508" s="48">
        <f t="shared" si="309"/>
        <v>0</v>
      </c>
      <c r="BD508" s="48">
        <f t="shared" si="310"/>
        <v>0</v>
      </c>
      <c r="BE508" s="48">
        <f t="shared" si="311"/>
        <v>0</v>
      </c>
      <c r="BF508" s="49">
        <f t="shared" si="312"/>
        <v>225</v>
      </c>
      <c r="BG508" s="50"/>
      <c r="BH508" s="51">
        <f t="shared" si="313"/>
        <v>0</v>
      </c>
      <c r="BI508" s="51">
        <f t="shared" si="314"/>
        <v>0</v>
      </c>
      <c r="BJ508" s="51">
        <f t="shared" si="315"/>
        <v>0</v>
      </c>
      <c r="BK508" s="52">
        <f t="shared" si="316"/>
        <v>0</v>
      </c>
      <c r="BL508" s="52">
        <f t="shared" si="317"/>
        <v>0</v>
      </c>
      <c r="BM508" s="52">
        <f t="shared" si="318"/>
        <v>225</v>
      </c>
    </row>
    <row r="509" spans="1:65" ht="30" customHeight="1" x14ac:dyDescent="0.25">
      <c r="A509" s="31" t="str">
        <f t="shared" si="283"/>
        <v>Д</v>
      </c>
      <c r="B509" s="31" t="str">
        <f t="shared" si="284"/>
        <v>М</v>
      </c>
      <c r="C509" s="32" t="s">
        <v>267</v>
      </c>
      <c r="D509" s="33" t="str">
        <f t="shared" si="285"/>
        <v>Факультет физико-математических и естественных наук</v>
      </c>
      <c r="E509" s="34" t="str">
        <f t="shared" si="286"/>
        <v>'02.04.02</v>
      </c>
      <c r="F509" s="35" t="str">
        <f t="shared" si="287"/>
        <v>Управление инфокоммуникациями и интеллектуальные системы</v>
      </c>
      <c r="G509" s="36" t="s">
        <v>166</v>
      </c>
      <c r="H509" s="36" t="s">
        <v>77</v>
      </c>
      <c r="I509" s="37"/>
      <c r="J509" s="37"/>
      <c r="K509" s="38" t="s">
        <v>175</v>
      </c>
      <c r="L509" s="39">
        <v>4</v>
      </c>
      <c r="M509" s="39"/>
      <c r="N509" s="40" t="s">
        <v>176</v>
      </c>
      <c r="O509" s="39"/>
      <c r="P509" s="39"/>
      <c r="Q509" s="39"/>
      <c r="R509" s="40"/>
      <c r="S509" s="41"/>
      <c r="T509" s="41"/>
      <c r="U509" s="41"/>
      <c r="V509" s="41"/>
      <c r="W509" s="41"/>
      <c r="X509" s="42" t="str">
        <f t="shared" si="288"/>
        <v>НФИмд</v>
      </c>
      <c r="Y509" s="43" t="s">
        <v>107</v>
      </c>
      <c r="Z509" s="39">
        <v>2</v>
      </c>
      <c r="AA509" s="39">
        <v>1</v>
      </c>
      <c r="AB509" s="42">
        <f t="shared" si="290"/>
        <v>15</v>
      </c>
      <c r="AC509" s="121">
        <v>12</v>
      </c>
      <c r="AD509" s="121">
        <v>3</v>
      </c>
      <c r="AE509" s="44">
        <f t="shared" si="291"/>
        <v>12</v>
      </c>
      <c r="AF509" s="45">
        <f t="shared" si="292"/>
        <v>1</v>
      </c>
      <c r="AG509" s="45">
        <f t="shared" si="293"/>
        <v>1.25</v>
      </c>
      <c r="AH509" s="46" t="s">
        <v>82</v>
      </c>
      <c r="AI509" s="40" t="s">
        <v>83</v>
      </c>
      <c r="AJ509" s="40" t="s">
        <v>84</v>
      </c>
      <c r="AK509" s="47" t="s">
        <v>93</v>
      </c>
      <c r="AL509" s="40"/>
      <c r="AM509" s="48">
        <f t="shared" si="294"/>
        <v>0</v>
      </c>
      <c r="AN509" s="48">
        <f t="shared" si="295"/>
        <v>0</v>
      </c>
      <c r="AO509" s="48">
        <f t="shared" si="296"/>
        <v>0</v>
      </c>
      <c r="AP509" s="48">
        <f t="shared" si="297"/>
        <v>0</v>
      </c>
      <c r="AQ509" s="48">
        <f t="shared" si="298"/>
        <v>0</v>
      </c>
      <c r="AR509" s="48">
        <f t="shared" si="299"/>
        <v>0</v>
      </c>
      <c r="AS509" s="48">
        <f t="shared" si="300"/>
        <v>0</v>
      </c>
      <c r="AT509" s="48">
        <f t="shared" si="301"/>
        <v>0</v>
      </c>
      <c r="AU509" s="48">
        <f t="shared" si="302"/>
        <v>0</v>
      </c>
      <c r="AV509" s="48">
        <f t="shared" si="303"/>
        <v>0</v>
      </c>
      <c r="AW509" s="48">
        <f>IF(N509="ПП",РПП*AB509*(V509/1.5),IF(N509="ВП",ВПр*AB509*(V509/1.5),IF(N509="РПА",РПА*AB509*(V509/1.5),IF(N509="КПА",кпа*AB509*(V509/1.5),0))))</f>
        <v>0</v>
      </c>
      <c r="AX509" s="48">
        <f t="shared" si="304"/>
        <v>0</v>
      </c>
      <c r="AY509" s="48">
        <f t="shared" si="305"/>
        <v>0</v>
      </c>
      <c r="AZ509" s="48">
        <f t="shared" si="306"/>
        <v>0</v>
      </c>
      <c r="BA509" s="48">
        <f t="shared" si="307"/>
        <v>0</v>
      </c>
      <c r="BB509" s="48">
        <f t="shared" si="308"/>
        <v>0</v>
      </c>
      <c r="BC509" s="48">
        <f t="shared" si="309"/>
        <v>0</v>
      </c>
      <c r="BD509" s="48">
        <f t="shared" si="310"/>
        <v>0</v>
      </c>
      <c r="BE509" s="48">
        <f t="shared" si="311"/>
        <v>2</v>
      </c>
      <c r="BF509" s="49">
        <f t="shared" si="312"/>
        <v>2</v>
      </c>
      <c r="BG509" s="50"/>
      <c r="BH509" s="51">
        <f t="shared" si="313"/>
        <v>0</v>
      </c>
      <c r="BI509" s="51">
        <f t="shared" si="314"/>
        <v>0</v>
      </c>
      <c r="BJ509" s="51">
        <f t="shared" si="315"/>
        <v>0</v>
      </c>
      <c r="BK509" s="52">
        <f t="shared" si="316"/>
        <v>0</v>
      </c>
      <c r="BL509" s="52">
        <f t="shared" si="317"/>
        <v>0</v>
      </c>
      <c r="BM509" s="52">
        <f t="shared" si="318"/>
        <v>2</v>
      </c>
    </row>
    <row r="510" spans="1:65" ht="30" customHeight="1" x14ac:dyDescent="0.25">
      <c r="A510" s="31" t="str">
        <f t="shared" si="283"/>
        <v>Д</v>
      </c>
      <c r="B510" s="31" t="str">
        <f t="shared" si="284"/>
        <v>М</v>
      </c>
      <c r="C510" s="32" t="s">
        <v>267</v>
      </c>
      <c r="D510" s="33" t="str">
        <f t="shared" si="285"/>
        <v>Факультет физико-математических и естественных наук</v>
      </c>
      <c r="E510" s="34" t="str">
        <f t="shared" si="286"/>
        <v>'02.04.02</v>
      </c>
      <c r="F510" s="35" t="str">
        <f t="shared" si="287"/>
        <v>Управление инфокоммуникациями и интеллектуальные системы</v>
      </c>
      <c r="G510" s="36" t="s">
        <v>166</v>
      </c>
      <c r="H510" s="36" t="s">
        <v>77</v>
      </c>
      <c r="I510" s="37"/>
      <c r="J510" s="37"/>
      <c r="K510" s="38" t="s">
        <v>177</v>
      </c>
      <c r="L510" s="39">
        <v>4</v>
      </c>
      <c r="M510" s="39"/>
      <c r="N510" s="40" t="s">
        <v>181</v>
      </c>
      <c r="O510" s="39"/>
      <c r="P510" s="39"/>
      <c r="Q510" s="39"/>
      <c r="R510" s="40"/>
      <c r="S510" s="41"/>
      <c r="T510" s="41"/>
      <c r="U510" s="41"/>
      <c r="V510" s="41"/>
      <c r="W510" s="41"/>
      <c r="X510" s="42" t="str">
        <f t="shared" si="288"/>
        <v>НФИмд</v>
      </c>
      <c r="Y510" s="43" t="s">
        <v>107</v>
      </c>
      <c r="Z510" s="39">
        <v>2</v>
      </c>
      <c r="AA510" s="39">
        <v>1</v>
      </c>
      <c r="AB510" s="42">
        <f t="shared" si="290"/>
        <v>15</v>
      </c>
      <c r="AC510" s="121">
        <v>12</v>
      </c>
      <c r="AD510" s="121">
        <v>3</v>
      </c>
      <c r="AE510" s="44">
        <f t="shared" si="291"/>
        <v>1</v>
      </c>
      <c r="AF510" s="45">
        <f t="shared" si="292"/>
        <v>1</v>
      </c>
      <c r="AG510" s="45">
        <f t="shared" si="293"/>
        <v>15</v>
      </c>
      <c r="AH510" s="46" t="s">
        <v>82</v>
      </c>
      <c r="AI510" s="40" t="s">
        <v>83</v>
      </c>
      <c r="AJ510" s="40" t="s">
        <v>84</v>
      </c>
      <c r="AK510" s="47" t="s">
        <v>93</v>
      </c>
      <c r="AL510" s="40"/>
      <c r="AM510" s="48">
        <f t="shared" si="294"/>
        <v>0</v>
      </c>
      <c r="AN510" s="48">
        <f t="shared" si="295"/>
        <v>0</v>
      </c>
      <c r="AO510" s="48">
        <f t="shared" si="296"/>
        <v>0</v>
      </c>
      <c r="AP510" s="48">
        <f t="shared" si="297"/>
        <v>0</v>
      </c>
      <c r="AQ510" s="48">
        <f t="shared" si="298"/>
        <v>0</v>
      </c>
      <c r="AR510" s="48">
        <f t="shared" si="299"/>
        <v>0</v>
      </c>
      <c r="AS510" s="48">
        <f t="shared" si="300"/>
        <v>0</v>
      </c>
      <c r="AT510" s="48">
        <f t="shared" si="301"/>
        <v>0</v>
      </c>
      <c r="AU510" s="48">
        <f t="shared" si="302"/>
        <v>0</v>
      </c>
      <c r="AV510" s="48">
        <f t="shared" si="303"/>
        <v>0</v>
      </c>
      <c r="AW510" s="48">
        <f>IF(N510="ПП",РПП*AB510*(V510/1.5),IF(N510="ВП",ВПр*AB510*(V510/1.5),IF(N510="РПА",РПА*AB510*(V510/1.5),IF(N510="КПА",кпа*AB510*(V510/1.5),0))))</f>
        <v>0</v>
      </c>
      <c r="AX510" s="48">
        <f t="shared" si="304"/>
        <v>0</v>
      </c>
      <c r="AY510" s="48">
        <f t="shared" si="305"/>
        <v>0</v>
      </c>
      <c r="AZ510" s="48">
        <f t="shared" si="306"/>
        <v>0</v>
      </c>
      <c r="BA510" s="48">
        <f t="shared" si="307"/>
        <v>0</v>
      </c>
      <c r="BB510" s="48">
        <f t="shared" si="308"/>
        <v>0</v>
      </c>
      <c r="BC510" s="48">
        <f t="shared" si="309"/>
        <v>0</v>
      </c>
      <c r="BD510" s="48">
        <f t="shared" si="310"/>
        <v>0</v>
      </c>
      <c r="BE510" s="48">
        <f t="shared" si="311"/>
        <v>7.5</v>
      </c>
      <c r="BF510" s="49">
        <f t="shared" si="312"/>
        <v>7.5</v>
      </c>
      <c r="BG510" s="50"/>
      <c r="BH510" s="51">
        <f t="shared" si="313"/>
        <v>0</v>
      </c>
      <c r="BI510" s="51">
        <f t="shared" si="314"/>
        <v>0</v>
      </c>
      <c r="BJ510" s="51">
        <f t="shared" si="315"/>
        <v>0</v>
      </c>
      <c r="BK510" s="52">
        <f t="shared" si="316"/>
        <v>0</v>
      </c>
      <c r="BL510" s="52">
        <f t="shared" si="317"/>
        <v>0</v>
      </c>
      <c r="BM510" s="52">
        <f t="shared" si="318"/>
        <v>7.5</v>
      </c>
    </row>
    <row r="511" spans="1:65" ht="30" customHeight="1" x14ac:dyDescent="0.25">
      <c r="A511" s="31" t="str">
        <f t="shared" si="283"/>
        <v>Д</v>
      </c>
      <c r="B511" s="31" t="str">
        <f t="shared" si="284"/>
        <v>М</v>
      </c>
      <c r="C511" s="32" t="s">
        <v>267</v>
      </c>
      <c r="D511" s="33" t="str">
        <f t="shared" si="285"/>
        <v>Факультет физико-математических и естественных наук</v>
      </c>
      <c r="E511" s="34" t="str">
        <f t="shared" si="286"/>
        <v>'02.04.02</v>
      </c>
      <c r="F511" s="35" t="str">
        <f t="shared" si="287"/>
        <v>Управление инфокоммуникациями и интеллектуальные системы</v>
      </c>
      <c r="G511" s="36" t="s">
        <v>166</v>
      </c>
      <c r="H511" s="36" t="s">
        <v>77</v>
      </c>
      <c r="I511" s="37"/>
      <c r="J511" s="37"/>
      <c r="K511" s="38" t="s">
        <v>171</v>
      </c>
      <c r="L511" s="39">
        <v>4</v>
      </c>
      <c r="M511" s="39"/>
      <c r="N511" s="40" t="s">
        <v>172</v>
      </c>
      <c r="O511" s="39"/>
      <c r="P511" s="39"/>
      <c r="Q511" s="39"/>
      <c r="R511" s="40"/>
      <c r="S511" s="41"/>
      <c r="T511" s="41"/>
      <c r="U511" s="41"/>
      <c r="V511" s="41"/>
      <c r="W511" s="41"/>
      <c r="X511" s="42" t="str">
        <f t="shared" si="288"/>
        <v>НФИмд</v>
      </c>
      <c r="Y511" s="43" t="s">
        <v>107</v>
      </c>
      <c r="Z511" s="39">
        <v>2</v>
      </c>
      <c r="AA511" s="39">
        <v>1</v>
      </c>
      <c r="AB511" s="42">
        <f t="shared" si="290"/>
        <v>15</v>
      </c>
      <c r="AC511" s="121">
        <v>12</v>
      </c>
      <c r="AD511" s="121">
        <v>3</v>
      </c>
      <c r="AE511" s="44">
        <f t="shared" si="291"/>
        <v>1</v>
      </c>
      <c r="AF511" s="45">
        <f t="shared" si="292"/>
        <v>1</v>
      </c>
      <c r="AG511" s="45">
        <f t="shared" si="293"/>
        <v>15</v>
      </c>
      <c r="AH511" s="46" t="s">
        <v>82</v>
      </c>
      <c r="AI511" s="40" t="s">
        <v>83</v>
      </c>
      <c r="AJ511" s="40" t="s">
        <v>116</v>
      </c>
      <c r="AK511" s="47" t="s">
        <v>119</v>
      </c>
      <c r="AL511" s="40"/>
      <c r="AM511" s="48">
        <f t="shared" si="294"/>
        <v>0</v>
      </c>
      <c r="AN511" s="48">
        <f t="shared" si="295"/>
        <v>0</v>
      </c>
      <c r="AO511" s="48">
        <f t="shared" si="296"/>
        <v>0</v>
      </c>
      <c r="AP511" s="48">
        <f t="shared" si="297"/>
        <v>0</v>
      </c>
      <c r="AQ511" s="48">
        <f t="shared" si="298"/>
        <v>0</v>
      </c>
      <c r="AR511" s="48">
        <f t="shared" si="299"/>
        <v>0</v>
      </c>
      <c r="AS511" s="48">
        <f t="shared" si="300"/>
        <v>0</v>
      </c>
      <c r="AT511" s="48">
        <f t="shared" si="301"/>
        <v>0</v>
      </c>
      <c r="AU511" s="48">
        <f t="shared" si="302"/>
        <v>0</v>
      </c>
      <c r="AV511" s="48">
        <f t="shared" si="303"/>
        <v>0</v>
      </c>
      <c r="AW511" s="48">
        <f>IF(N511="ПП",РПП*AB511*(V511/1.5),IF(N511="ВП",ВПр*AB511*(V511/1.5),IF(N511="РПА",РПА*AB511*(V511/1.5),IF(N511="КПА",кпа*AB511*(V511/1.5),0))))</f>
        <v>0</v>
      </c>
      <c r="AX511" s="48">
        <f t="shared" si="304"/>
        <v>0</v>
      </c>
      <c r="AY511" s="48">
        <f t="shared" si="305"/>
        <v>0</v>
      </c>
      <c r="AZ511" s="48">
        <f t="shared" si="306"/>
        <v>0</v>
      </c>
      <c r="BA511" s="48">
        <f t="shared" si="307"/>
        <v>0</v>
      </c>
      <c r="BB511" s="48">
        <f t="shared" si="308"/>
        <v>0</v>
      </c>
      <c r="BC511" s="48">
        <f t="shared" si="309"/>
        <v>420</v>
      </c>
      <c r="BD511" s="48">
        <f t="shared" si="310"/>
        <v>0</v>
      </c>
      <c r="BE511" s="48">
        <f t="shared" si="311"/>
        <v>0</v>
      </c>
      <c r="BF511" s="49">
        <f t="shared" si="312"/>
        <v>420</v>
      </c>
      <c r="BG511" s="50"/>
      <c r="BH511" s="51">
        <f t="shared" si="313"/>
        <v>0</v>
      </c>
      <c r="BI511" s="51">
        <f t="shared" si="314"/>
        <v>0</v>
      </c>
      <c r="BJ511" s="51">
        <f t="shared" si="315"/>
        <v>0</v>
      </c>
      <c r="BK511" s="52">
        <f t="shared" si="316"/>
        <v>0</v>
      </c>
      <c r="BL511" s="52">
        <f t="shared" si="317"/>
        <v>0</v>
      </c>
      <c r="BM511" s="52">
        <f t="shared" si="318"/>
        <v>420</v>
      </c>
    </row>
    <row r="512" spans="1:65" ht="30" customHeight="1" x14ac:dyDescent="0.25">
      <c r="A512" s="31" t="str">
        <f t="shared" si="283"/>
        <v>Д</v>
      </c>
      <c r="B512" s="31" t="str">
        <f t="shared" si="284"/>
        <v>М</v>
      </c>
      <c r="C512" s="32" t="s">
        <v>267</v>
      </c>
      <c r="D512" s="33" t="str">
        <f t="shared" si="285"/>
        <v>Факультет физико-математических и естественных наук</v>
      </c>
      <c r="E512" s="34" t="str">
        <f t="shared" si="286"/>
        <v>'02.04.02</v>
      </c>
      <c r="F512" s="35" t="str">
        <f t="shared" si="287"/>
        <v>Управление инфокоммуникациями и интеллектуальные системы</v>
      </c>
      <c r="G512" s="36" t="s">
        <v>166</v>
      </c>
      <c r="H512" s="36" t="s">
        <v>77</v>
      </c>
      <c r="I512" s="37"/>
      <c r="J512" s="37"/>
      <c r="K512" s="38" t="s">
        <v>47</v>
      </c>
      <c r="L512" s="39">
        <v>4</v>
      </c>
      <c r="M512" s="39"/>
      <c r="N512" s="40" t="s">
        <v>174</v>
      </c>
      <c r="O512" s="39"/>
      <c r="P512" s="39"/>
      <c r="Q512" s="39"/>
      <c r="R512" s="40"/>
      <c r="S512" s="41"/>
      <c r="T512" s="41"/>
      <c r="U512" s="41"/>
      <c r="V512" s="41"/>
      <c r="W512" s="41"/>
      <c r="X512" s="42" t="str">
        <f t="shared" si="288"/>
        <v>НФИмд</v>
      </c>
      <c r="Y512" s="43" t="s">
        <v>107</v>
      </c>
      <c r="Z512" s="39">
        <v>2</v>
      </c>
      <c r="AA512" s="39">
        <v>1</v>
      </c>
      <c r="AB512" s="42">
        <f t="shared" si="290"/>
        <v>15</v>
      </c>
      <c r="AC512" s="121">
        <v>12</v>
      </c>
      <c r="AD512" s="121">
        <v>3</v>
      </c>
      <c r="AE512" s="44">
        <f t="shared" si="291"/>
        <v>1</v>
      </c>
      <c r="AF512" s="45">
        <f t="shared" si="292"/>
        <v>1</v>
      </c>
      <c r="AG512" s="45">
        <f t="shared" si="293"/>
        <v>15</v>
      </c>
      <c r="AH512" s="46" t="s">
        <v>82</v>
      </c>
      <c r="AI512" s="40" t="s">
        <v>83</v>
      </c>
      <c r="AJ512" s="40" t="s">
        <v>84</v>
      </c>
      <c r="AK512" s="47" t="s">
        <v>144</v>
      </c>
      <c r="AL512" s="40"/>
      <c r="AM512" s="48">
        <f t="shared" si="294"/>
        <v>0</v>
      </c>
      <c r="AN512" s="48">
        <f t="shared" si="295"/>
        <v>0</v>
      </c>
      <c r="AO512" s="48">
        <f t="shared" si="296"/>
        <v>0</v>
      </c>
      <c r="AP512" s="48">
        <f t="shared" si="297"/>
        <v>0</v>
      </c>
      <c r="AQ512" s="48">
        <f t="shared" si="298"/>
        <v>0</v>
      </c>
      <c r="AR512" s="48">
        <f t="shared" si="299"/>
        <v>0</v>
      </c>
      <c r="AS512" s="48">
        <f t="shared" si="300"/>
        <v>0</v>
      </c>
      <c r="AT512" s="48">
        <f t="shared" si="301"/>
        <v>0</v>
      </c>
      <c r="AU512" s="48">
        <f t="shared" si="302"/>
        <v>0</v>
      </c>
      <c r="AV512" s="48">
        <f t="shared" si="303"/>
        <v>0</v>
      </c>
      <c r="AW512" s="48">
        <f>IF(N512="ПП",РПП*AB512*(V512/1.5),IF(N512="ВП",ВПр*AB512*(V512/1.5),IF(N512="РПА",РПА*AB512*(V512/1.5),IF(N512="КПА",кпа*AB512*(V512/1.5),0))))</f>
        <v>0</v>
      </c>
      <c r="AX512" s="48">
        <f t="shared" si="304"/>
        <v>0</v>
      </c>
      <c r="AY512" s="48">
        <f t="shared" si="305"/>
        <v>0</v>
      </c>
      <c r="AZ512" s="48">
        <f t="shared" si="306"/>
        <v>0</v>
      </c>
      <c r="BA512" s="48">
        <f t="shared" si="307"/>
        <v>0</v>
      </c>
      <c r="BB512" s="48">
        <f t="shared" si="308"/>
        <v>0</v>
      </c>
      <c r="BC512" s="48">
        <f t="shared" si="309"/>
        <v>0</v>
      </c>
      <c r="BD512" s="48">
        <f t="shared" si="310"/>
        <v>60</v>
      </c>
      <c r="BE512" s="48">
        <f t="shared" si="311"/>
        <v>0</v>
      </c>
      <c r="BF512" s="49">
        <f t="shared" si="312"/>
        <v>60</v>
      </c>
      <c r="BG512" s="50"/>
      <c r="BH512" s="51">
        <f t="shared" si="313"/>
        <v>0</v>
      </c>
      <c r="BI512" s="51">
        <f t="shared" si="314"/>
        <v>0</v>
      </c>
      <c r="BJ512" s="51">
        <f t="shared" si="315"/>
        <v>0</v>
      </c>
      <c r="BK512" s="52">
        <f t="shared" si="316"/>
        <v>0</v>
      </c>
      <c r="BL512" s="52">
        <f t="shared" si="317"/>
        <v>0</v>
      </c>
      <c r="BM512" s="52">
        <f t="shared" si="318"/>
        <v>60</v>
      </c>
    </row>
    <row r="513" spans="1:65" ht="30" customHeight="1" x14ac:dyDescent="0.25">
      <c r="A513" s="31" t="str">
        <f t="shared" ref="A513:A541" si="319">IF(C513&gt;0, VLOOKUP(C513,Код_ООП,11,FALSE()),0)</f>
        <v>Д</v>
      </c>
      <c r="B513" s="31" t="str">
        <f t="shared" ref="B513:B541" si="320">IF(C513&gt;0, VLOOKUP(C513,Код_ООП,12,FALSE()),0)</f>
        <v>А</v>
      </c>
      <c r="C513" s="32" t="s">
        <v>278</v>
      </c>
      <c r="D513" s="33" t="str">
        <f t="shared" ref="D513:D541" si="321">IF(C513&gt;0,VLOOKUP(LEFT(C513,1),ОУП,2,FALSE()),0)</f>
        <v>Факультет физико-математических и естественных наук</v>
      </c>
      <c r="E513" s="34" t="str">
        <f t="shared" ref="E513:E541" si="322">IF(C513&gt;0, VLOOKUP(C513,Код_ООП,2,FALSE()),0)</f>
        <v>'1.2.2.</v>
      </c>
      <c r="F513" s="35" t="str">
        <f t="shared" ref="F513:F541" si="323">IF(C513&gt;0, VLOOKUP(C513,Код_ООП,13,FALSE()),0)</f>
        <v>Математическое моделирование, численные методы и комплексы программ</v>
      </c>
      <c r="G513" s="36" t="s">
        <v>76</v>
      </c>
      <c r="H513" s="36"/>
      <c r="I513" s="37"/>
      <c r="J513" s="37"/>
      <c r="K513" s="38" t="s">
        <v>271</v>
      </c>
      <c r="L513" s="39">
        <v>2</v>
      </c>
      <c r="M513" s="61">
        <v>1</v>
      </c>
      <c r="N513" s="40" t="s">
        <v>79</v>
      </c>
      <c r="O513" s="39">
        <v>12</v>
      </c>
      <c r="P513" s="39"/>
      <c r="Q513" s="39"/>
      <c r="R513" s="40"/>
      <c r="S513" s="41"/>
      <c r="T513" s="41"/>
      <c r="U513" s="41"/>
      <c r="V513" s="41"/>
      <c r="W513" s="41"/>
      <c r="X513" s="42" t="str">
        <f t="shared" ref="X513:X541" si="324">MID(C513,1,5)</f>
        <v>НЧМад</v>
      </c>
      <c r="Y513" s="43" t="s">
        <v>87</v>
      </c>
      <c r="Z513" s="39"/>
      <c r="AA513" s="39">
        <v>1</v>
      </c>
      <c r="AB513" s="42">
        <f t="shared" ref="AB513:AB541" si="325">AC513+AD513</f>
        <v>1</v>
      </c>
      <c r="AC513" s="39">
        <v>1</v>
      </c>
      <c r="AD513" s="39"/>
      <c r="AE513" s="44">
        <f t="shared" ref="AE513:AE541" si="326">IF(N513="сп",6,IF(N513="клн",8,IF(OR(N513="лаб",N513="ия"),12,IF(OR(N513="пр",N513="ТЕСТ"),IF(OR(B513="Б",B513="С"),24,12),IF(N513="лек",AB513,1)))))</f>
        <v>1</v>
      </c>
      <c r="AF513" s="45">
        <f t="shared" ref="AF513:AF541" si="327">IF(AG513&gt;1,1,AG513)</f>
        <v>1</v>
      </c>
      <c r="AG513" s="45">
        <f t="shared" ref="AG513:AG541" si="328">AB513/AE513</f>
        <v>1</v>
      </c>
      <c r="AH513" s="46" t="s">
        <v>82</v>
      </c>
      <c r="AI513" s="40" t="s">
        <v>115</v>
      </c>
      <c r="AJ513" s="40" t="s">
        <v>84</v>
      </c>
      <c r="AK513" s="47" t="s">
        <v>147</v>
      </c>
      <c r="AL513" s="40"/>
      <c r="AM513" s="48">
        <f t="shared" ref="AM513:AM541" si="329">IF(AB513&gt;0,IF(OR(N513="лек",N513="ТУИС"),O513*M513,0),0)</f>
        <v>12</v>
      </c>
      <c r="AN513" s="48">
        <f t="shared" ref="AN513:AN541" si="330">IF(OR(N513="пр",N513="ия",N513="сп"),Q513*AF513*M513,0)</f>
        <v>0</v>
      </c>
      <c r="AO513" s="48">
        <f t="shared" ref="AO513:AO541" si="331">IF(OR(N513="лаб",N513="клн"),P513*AF513*M513,0)</f>
        <v>0</v>
      </c>
      <c r="AP513" s="48">
        <f t="shared" ref="AP513:AP541" si="332">(IF((AND(OR(L513=1,L513=2,L513=3,L513=4,L513=5,L513=6,L513=7,L513=8,L513=9,L513=10,L513=11,L513=12),OR(R513="Зач",R513="Экз"))),ТКиРА*AB513,0)+IF(SUM(O513:Q513)&lt;&gt;0,IF(R513="ТК",ТКиРА*AB513,0),0))*(IF(G513="ФТД",0,1))</f>
        <v>0</v>
      </c>
      <c r="AQ513" s="48">
        <f t="shared" ref="AQ513:AQ541" si="333">IF(SUM(P513:Q513)&lt;&gt;0,IF(R513="Зач",ПАБРС*AB513,0),0)+IF(O513&lt;&gt;0,IF(R513="Экз",ПАБРС*AB513,0),0)</f>
        <v>0</v>
      </c>
      <c r="AR513" s="48">
        <f t="shared" ref="AR513:AR541" si="334">(IF(AQ513&lt;&gt;0,ОфВед*(IF(OR(N513="лек",N513="лаб"),AA513,AF513)),0))*(IF(G513="ФТД",0,1))</f>
        <v>0</v>
      </c>
      <c r="AS513" s="48">
        <f t="shared" ref="AS513:AS541" si="335">(IF(A513="Д",ТКЛД,IF(A513="В",ТКЛВ,IF(A513="З",ТКЛЗ,0))))*(IF(G513="ФТД",0,IF(B513="ЦМ",O513*M513,AM513)))*AA513</f>
        <v>0.60000000000000009</v>
      </c>
      <c r="AT513" s="48">
        <f t="shared" ref="AT513:AT541" si="336">IF(S513="К",AB513*ВПКР,IF(S513="М",AB513*ВПИБ,0))</f>
        <v>0</v>
      </c>
      <c r="AU513" s="48">
        <f t="shared" ref="AU513:AU541" si="337">IF(OR(N513="лаб",N513="пр"),IF(T513="К",AB513*ВПКП,0),0)</f>
        <v>0</v>
      </c>
      <c r="AV513" s="48">
        <f t="shared" ref="AV513:AV541" si="338">IF(N513="УП",U513/1.5*AB513*РУП,IF(N513="УПМ",U513/1.5*AB513*РУПЛеч,0))</f>
        <v>0</v>
      </c>
      <c r="AW513" s="48">
        <f>IF(N513="ПП",РПП*AB513*(V513/1.5),IF(N513="ВП",ВПр*AB513*(V513/1.5),IF(N513="РПА",РПА*AB513*(V513/1.5),IF(N513="КПА",кпа*AB513*(V513/1.5),0))))</f>
        <v>0</v>
      </c>
      <c r="AX513" s="48">
        <f t="shared" ref="AX513:AX541" si="339">IF(N513="НР",(AC513*НИРМ+AD513*НИРМИн)*(W513/1.5),IF(N513="НИ",(AC513*НИРА+AD513*НИРАИ)*(W513/1.5),0))</f>
        <v>0</v>
      </c>
      <c r="AY513" s="48">
        <f t="shared" ref="AY513:AY541" si="340">IF(AND(N513="ЦП",B513="ЦМ"),AB513*ЦП,0)</f>
        <v>0</v>
      </c>
      <c r="AZ513" s="48">
        <f t="shared" ref="AZ513:AZ541" si="341">IF(B513="А",IF(N513="РР",AB513*РефАсп,IF(N513="РРФ",AB513*РефФил,0)),0)</f>
        <v>0</v>
      </c>
      <c r="BA513" s="48">
        <f t="shared" ref="BA513:BA541" si="342">IF(AND(R513="КЭ",N513="ЧК"),AB513*КдЭк,0)</f>
        <v>0</v>
      </c>
      <c r="BB513" s="48">
        <f t="shared" ref="BB513:BB541" si="343">IF(AND(N513="НКД",B513="Д"),AB513*НКД,0)+IF(AND(N513="РПЛ",B513="А"),AB513*РукПЛ,0)+IF(AND(N513="РСтж",B513="А"),AC513*РукСт+AD513*РукИСт,0)+IF(N513="ФГТ",AC513*РукРФа+AD513*РукИна,0)</f>
        <v>0</v>
      </c>
      <c r="BC513" s="48">
        <f t="shared" ref="BC513:BC541" si="344">IF(N513="РК",IF(OR(B513="С",B513="М",B513="ЦМ"),(AC513*РСМ+AD513*РСМИ),0),0)+IF(N513="РК",IF(B513="Б",(AC513*РБ+AD513*РБИ),0),0)+IF(N513="РК",IF(B513="А",(AC513*РНКР+AD513*РНКРИн),0),0)+IF(AND(R513="ПАкр"),AB513*0.3)</f>
        <v>0</v>
      </c>
      <c r="BD513" s="48">
        <f t="shared" ref="BD513:BD541" si="345">IF(N513="РДП",IF(B513="А",AB513*РРА,IF(OR(B513="С",B513="М",B513="ЦМ"),AB513*РРСМ,IF(B513="Б",AB513*РРБ,0))),IF(N513="РДИ",AB513*РДП,0))</f>
        <v>0</v>
      </c>
      <c r="BE513" s="48">
        <f t="shared" ref="BE513:BE541" si="346">IF(N513="ЧГ",AB513*ЧГ,IF(N513="ПГ",AB513*ПГ,IF(N513="ТЕСТ",ТГИЭ*AF513,IF(N513="СГ",AB513*СГ,0))))</f>
        <v>0</v>
      </c>
      <c r="BF513" s="49">
        <f t="shared" ref="BF513:BF541" si="347">SUM(AM513:BE513)</f>
        <v>12.6</v>
      </c>
      <c r="BG513" s="50"/>
      <c r="BH513" s="51">
        <f t="shared" ref="BH513:BH541" si="348">IF(OR(L513="1;1",L513="1;2",L513=1,L513="3;1",L513="3;2",L513=3,L513="5;1",L513="5;2",L513=5,L513="7;1",L513="7;2",L513=7,L513="9;1",L513="9;2",L513=9,L513=11),SUM(AM513:AO513),0)</f>
        <v>0</v>
      </c>
      <c r="BI513" s="51">
        <f t="shared" ref="BI513:BI541" si="349">IF(BH513&lt;&gt;0,SUM(O513:Q513)/2,0)</f>
        <v>0</v>
      </c>
      <c r="BJ513" s="51">
        <f t="shared" ref="BJ513:BJ541" si="350">IF(OR(L513="1;1",L513="1;2",L513=1,L513="3;1",L513="3;2",L513=3,L513="5;1",L513="5;2",L513=5,L513="7;1",L513="7;2",L513=7,L513="9;1",L513="9;2",L513=9,L513=11),SUM(AP513:BE513),0)</f>
        <v>0</v>
      </c>
      <c r="BK513" s="52">
        <f t="shared" ref="BK513:BK541" si="351">IF(OR(L513="2;3",L513="2;4",L513=2,L513="4;3",L513="4;4",L513=4,L513="6;3",L513="6;4",L513=6,L513="8;3",L513="8;4",L513=8,L513="10;3",L513="10;4",L513=10,L513=12),SUM(AM513:AO513),0)</f>
        <v>12</v>
      </c>
      <c r="BL513" s="52">
        <f t="shared" ref="BL513:BL541" si="352">IF(BK513&lt;&gt;0,SUM(O513:Q513)/2,0)</f>
        <v>6</v>
      </c>
      <c r="BM513" s="52">
        <f t="shared" ref="BM513:BM541" si="353">IF(OR(L513="2;3",L513="2;4",L513=2,L513="4;3",L513="4;4",L513=4,L513="6;3",L513="6;4",L513=6,L513="8;3",L513="8;4",L513=8,L513="10;3",L513="10;4",L513=10,L513=12),SUM(AP513:BE513),0)</f>
        <v>0.60000000000000009</v>
      </c>
    </row>
    <row r="514" spans="1:65" ht="30" customHeight="1" x14ac:dyDescent="0.25">
      <c r="A514" s="31" t="str">
        <f t="shared" si="319"/>
        <v>Д</v>
      </c>
      <c r="B514" s="31" t="str">
        <f t="shared" si="320"/>
        <v>А</v>
      </c>
      <c r="C514" s="32" t="s">
        <v>278</v>
      </c>
      <c r="D514" s="33" t="str">
        <f t="shared" si="321"/>
        <v>Факультет физико-математических и естественных наук</v>
      </c>
      <c r="E514" s="34" t="str">
        <f t="shared" si="322"/>
        <v>'1.2.2.</v>
      </c>
      <c r="F514" s="35" t="str">
        <f t="shared" si="323"/>
        <v>Математическое моделирование, численные методы и комплексы программ</v>
      </c>
      <c r="G514" s="36" t="s">
        <v>76</v>
      </c>
      <c r="H514" s="36"/>
      <c r="I514" s="37"/>
      <c r="J514" s="37"/>
      <c r="K514" s="38" t="s">
        <v>271</v>
      </c>
      <c r="L514" s="39">
        <v>2</v>
      </c>
      <c r="M514" s="61">
        <v>1</v>
      </c>
      <c r="N514" s="40" t="s">
        <v>86</v>
      </c>
      <c r="O514" s="39"/>
      <c r="P514" s="39"/>
      <c r="Q514" s="39">
        <v>6</v>
      </c>
      <c r="R514" s="40" t="s">
        <v>95</v>
      </c>
      <c r="S514" s="41"/>
      <c r="T514" s="41"/>
      <c r="U514" s="41"/>
      <c r="V514" s="41"/>
      <c r="W514" s="41"/>
      <c r="X514" s="42" t="str">
        <f t="shared" si="324"/>
        <v>НЧМад</v>
      </c>
      <c r="Y514" s="43" t="s">
        <v>87</v>
      </c>
      <c r="Z514" s="39"/>
      <c r="AA514" s="39">
        <v>1</v>
      </c>
      <c r="AB514" s="42">
        <f t="shared" si="325"/>
        <v>1</v>
      </c>
      <c r="AC514" s="39">
        <v>1</v>
      </c>
      <c r="AD514" s="39"/>
      <c r="AE514" s="44">
        <f t="shared" si="326"/>
        <v>12</v>
      </c>
      <c r="AF514" s="45">
        <f t="shared" si="327"/>
        <v>8.3333333333333329E-2</v>
      </c>
      <c r="AG514" s="45">
        <f t="shared" si="328"/>
        <v>8.3333333333333329E-2</v>
      </c>
      <c r="AH514" s="46" t="s">
        <v>82</v>
      </c>
      <c r="AI514" s="40" t="s">
        <v>115</v>
      </c>
      <c r="AJ514" s="40" t="s">
        <v>84</v>
      </c>
      <c r="AK514" s="47" t="s">
        <v>147</v>
      </c>
      <c r="AL514" s="40"/>
      <c r="AM514" s="48">
        <f t="shared" si="329"/>
        <v>0</v>
      </c>
      <c r="AN514" s="48">
        <f t="shared" si="330"/>
        <v>0.5</v>
      </c>
      <c r="AO514" s="48">
        <f t="shared" si="331"/>
        <v>0</v>
      </c>
      <c r="AP514" s="48">
        <f t="shared" si="332"/>
        <v>0.33</v>
      </c>
      <c r="AQ514" s="48">
        <f t="shared" si="333"/>
        <v>0.5</v>
      </c>
      <c r="AR514" s="48">
        <f t="shared" si="334"/>
        <v>8.3333333333333329E-2</v>
      </c>
      <c r="AS514" s="48">
        <f t="shared" si="335"/>
        <v>0</v>
      </c>
      <c r="AT514" s="48">
        <f t="shared" si="336"/>
        <v>0</v>
      </c>
      <c r="AU514" s="48">
        <f t="shared" si="337"/>
        <v>0</v>
      </c>
      <c r="AV514" s="48">
        <f t="shared" si="338"/>
        <v>0</v>
      </c>
      <c r="AW514" s="48">
        <f>IF(N514="ПП",РПП*AB514*(V514/1.5),IF(N514="ВП",ВПр*AB514*(V514/1.5),IF(N514="РПА",РПА*AB514*(V514/1.5),IF(N514="КПА",кпа*AB514*(V514/1.5),0))))</f>
        <v>0</v>
      </c>
      <c r="AX514" s="48">
        <f t="shared" si="339"/>
        <v>0</v>
      </c>
      <c r="AY514" s="48">
        <f t="shared" si="340"/>
        <v>0</v>
      </c>
      <c r="AZ514" s="48">
        <f t="shared" si="341"/>
        <v>0</v>
      </c>
      <c r="BA514" s="48">
        <f t="shared" si="342"/>
        <v>0</v>
      </c>
      <c r="BB514" s="48">
        <f t="shared" si="343"/>
        <v>0</v>
      </c>
      <c r="BC514" s="48">
        <f t="shared" si="344"/>
        <v>0</v>
      </c>
      <c r="BD514" s="48">
        <f t="shared" si="345"/>
        <v>0</v>
      </c>
      <c r="BE514" s="48">
        <f t="shared" si="346"/>
        <v>0</v>
      </c>
      <c r="BF514" s="49">
        <f t="shared" si="347"/>
        <v>1.4133333333333333</v>
      </c>
      <c r="BG514" s="50"/>
      <c r="BH514" s="51">
        <f t="shared" si="348"/>
        <v>0</v>
      </c>
      <c r="BI514" s="51">
        <f t="shared" si="349"/>
        <v>0</v>
      </c>
      <c r="BJ514" s="51">
        <f t="shared" si="350"/>
        <v>0</v>
      </c>
      <c r="BK514" s="52">
        <f t="shared" si="351"/>
        <v>0.5</v>
      </c>
      <c r="BL514" s="52">
        <f t="shared" si="352"/>
        <v>3</v>
      </c>
      <c r="BM514" s="52">
        <f t="shared" si="353"/>
        <v>0.91333333333333344</v>
      </c>
    </row>
    <row r="515" spans="1:65" ht="30" customHeight="1" x14ac:dyDescent="0.25">
      <c r="A515" s="31" t="str">
        <f t="shared" si="319"/>
        <v>Д</v>
      </c>
      <c r="B515" s="31" t="str">
        <f t="shared" si="320"/>
        <v>А</v>
      </c>
      <c r="C515" s="32" t="s">
        <v>278</v>
      </c>
      <c r="D515" s="33" t="str">
        <f t="shared" si="321"/>
        <v>Факультет физико-математических и естественных наук</v>
      </c>
      <c r="E515" s="34" t="str">
        <f t="shared" si="322"/>
        <v>'1.2.2.</v>
      </c>
      <c r="F515" s="35" t="str">
        <f t="shared" si="323"/>
        <v>Математическое моделирование, численные методы и комплексы программ</v>
      </c>
      <c r="G515" s="36" t="s">
        <v>166</v>
      </c>
      <c r="H515" s="36"/>
      <c r="I515" s="37"/>
      <c r="J515" s="37"/>
      <c r="K515" s="38" t="s">
        <v>273</v>
      </c>
      <c r="L515" s="39">
        <v>2</v>
      </c>
      <c r="M515" s="39"/>
      <c r="N515" s="40" t="s">
        <v>274</v>
      </c>
      <c r="O515" s="39"/>
      <c r="P515" s="39"/>
      <c r="Q515" s="39"/>
      <c r="R515" s="40"/>
      <c r="S515" s="41"/>
      <c r="T515" s="41"/>
      <c r="U515" s="41"/>
      <c r="V515" s="41"/>
      <c r="W515" s="41"/>
      <c r="X515" s="42" t="str">
        <f t="shared" si="324"/>
        <v>НЧМад</v>
      </c>
      <c r="Y515" s="43" t="s">
        <v>87</v>
      </c>
      <c r="Z515" s="39"/>
      <c r="AA515" s="39"/>
      <c r="AB515" s="42">
        <f t="shared" si="325"/>
        <v>0</v>
      </c>
      <c r="AC515" s="39">
        <v>0</v>
      </c>
      <c r="AD515" s="39"/>
      <c r="AE515" s="44">
        <f t="shared" si="326"/>
        <v>1</v>
      </c>
      <c r="AF515" s="45">
        <f t="shared" si="327"/>
        <v>0</v>
      </c>
      <c r="AG515" s="45">
        <f t="shared" si="328"/>
        <v>0</v>
      </c>
      <c r="AH515" s="46" t="s">
        <v>82</v>
      </c>
      <c r="AI515" s="40" t="s">
        <v>115</v>
      </c>
      <c r="AJ515" s="40" t="s">
        <v>84</v>
      </c>
      <c r="AK515" s="47" t="s">
        <v>147</v>
      </c>
      <c r="AL515" s="40"/>
      <c r="AM515" s="48">
        <f t="shared" si="329"/>
        <v>0</v>
      </c>
      <c r="AN515" s="48">
        <f t="shared" si="330"/>
        <v>0</v>
      </c>
      <c r="AO515" s="48">
        <f t="shared" si="331"/>
        <v>0</v>
      </c>
      <c r="AP515" s="48">
        <f t="shared" si="332"/>
        <v>0</v>
      </c>
      <c r="AQ515" s="48">
        <f t="shared" si="333"/>
        <v>0</v>
      </c>
      <c r="AR515" s="48">
        <f t="shared" si="334"/>
        <v>0</v>
      </c>
      <c r="AS515" s="48">
        <f t="shared" si="335"/>
        <v>0</v>
      </c>
      <c r="AT515" s="48">
        <f t="shared" si="336"/>
        <v>0</v>
      </c>
      <c r="AU515" s="48">
        <f t="shared" si="337"/>
        <v>0</v>
      </c>
      <c r="AV515" s="48">
        <f t="shared" si="338"/>
        <v>0</v>
      </c>
      <c r="AW515" s="48">
        <f>IF(N515="ПП",РПП*AB515*(V515/1.5),IF(N515="ВП",ВПр*AB515*(V515/1.5),IF(N515="РПА",РПА*AB515*(V515/1.5),IF(N515="КПА",кпа*AB515*(V515/1.5),0))))</f>
        <v>0</v>
      </c>
      <c r="AX515" s="48">
        <f t="shared" si="339"/>
        <v>0</v>
      </c>
      <c r="AY515" s="48">
        <f t="shared" si="340"/>
        <v>0</v>
      </c>
      <c r="AZ515" s="48">
        <f t="shared" si="341"/>
        <v>0</v>
      </c>
      <c r="BA515" s="48">
        <f t="shared" si="342"/>
        <v>0</v>
      </c>
      <c r="BB515" s="48">
        <f t="shared" si="343"/>
        <v>0</v>
      </c>
      <c r="BC515" s="48">
        <f t="shared" si="344"/>
        <v>0</v>
      </c>
      <c r="BD515" s="48">
        <f t="shared" si="345"/>
        <v>0</v>
      </c>
      <c r="BE515" s="48">
        <f t="shared" si="346"/>
        <v>0</v>
      </c>
      <c r="BF515" s="49">
        <f t="shared" si="347"/>
        <v>0</v>
      </c>
      <c r="BG515" s="50"/>
      <c r="BH515" s="51">
        <f t="shared" si="348"/>
        <v>0</v>
      </c>
      <c r="BI515" s="51">
        <f t="shared" si="349"/>
        <v>0</v>
      </c>
      <c r="BJ515" s="51">
        <f t="shared" si="350"/>
        <v>0</v>
      </c>
      <c r="BK515" s="52">
        <f t="shared" si="351"/>
        <v>0</v>
      </c>
      <c r="BL515" s="52">
        <f t="shared" si="352"/>
        <v>0</v>
      </c>
      <c r="BM515" s="52">
        <f t="shared" si="353"/>
        <v>0</v>
      </c>
    </row>
    <row r="516" spans="1:65" ht="30" customHeight="1" x14ac:dyDescent="0.25">
      <c r="A516" s="31" t="str">
        <f t="shared" si="319"/>
        <v>Д</v>
      </c>
      <c r="B516" s="31" t="str">
        <f t="shared" si="320"/>
        <v>А</v>
      </c>
      <c r="C516" s="32" t="s">
        <v>278</v>
      </c>
      <c r="D516" s="33" t="str">
        <f t="shared" si="321"/>
        <v>Факультет физико-математических и естественных наук</v>
      </c>
      <c r="E516" s="34" t="str">
        <f t="shared" si="322"/>
        <v>'1.2.2.</v>
      </c>
      <c r="F516" s="35" t="str">
        <f t="shared" si="323"/>
        <v>Математическое моделирование, численные методы и комплексы программ</v>
      </c>
      <c r="G516" s="36" t="s">
        <v>76</v>
      </c>
      <c r="H516" s="36"/>
      <c r="I516" s="37"/>
      <c r="J516" s="37"/>
      <c r="K516" s="38" t="s">
        <v>279</v>
      </c>
      <c r="L516" s="39">
        <v>3</v>
      </c>
      <c r="M516" s="61">
        <v>1</v>
      </c>
      <c r="N516" s="40" t="s">
        <v>79</v>
      </c>
      <c r="O516" s="39">
        <v>20</v>
      </c>
      <c r="P516" s="39"/>
      <c r="Q516" s="39"/>
      <c r="R516" s="40" t="s">
        <v>80</v>
      </c>
      <c r="S516" s="41"/>
      <c r="T516" s="41"/>
      <c r="U516" s="41"/>
      <c r="V516" s="41"/>
      <c r="W516" s="41"/>
      <c r="X516" s="42" t="str">
        <f t="shared" si="324"/>
        <v>НЧМад</v>
      </c>
      <c r="Y516" s="43" t="s">
        <v>107</v>
      </c>
      <c r="Z516" s="39"/>
      <c r="AA516" s="39">
        <v>1</v>
      </c>
      <c r="AB516" s="42">
        <f t="shared" si="325"/>
        <v>2</v>
      </c>
      <c r="AC516" s="39">
        <v>2</v>
      </c>
      <c r="AD516" s="39"/>
      <c r="AE516" s="44">
        <f t="shared" si="326"/>
        <v>2</v>
      </c>
      <c r="AF516" s="45">
        <f t="shared" si="327"/>
        <v>1</v>
      </c>
      <c r="AG516" s="45">
        <f t="shared" si="328"/>
        <v>1</v>
      </c>
      <c r="AH516" s="46" t="s">
        <v>82</v>
      </c>
      <c r="AI516" s="40" t="s">
        <v>83</v>
      </c>
      <c r="AJ516" s="40" t="s">
        <v>84</v>
      </c>
      <c r="AK516" s="47" t="s">
        <v>97</v>
      </c>
      <c r="AL516" s="40"/>
      <c r="AM516" s="48">
        <f t="shared" si="329"/>
        <v>20</v>
      </c>
      <c r="AN516" s="48">
        <f t="shared" si="330"/>
        <v>0</v>
      </c>
      <c r="AO516" s="48">
        <f t="shared" si="331"/>
        <v>0</v>
      </c>
      <c r="AP516" s="48">
        <f t="shared" si="332"/>
        <v>0.66</v>
      </c>
      <c r="AQ516" s="48">
        <f t="shared" si="333"/>
        <v>1</v>
      </c>
      <c r="AR516" s="48">
        <f t="shared" si="334"/>
        <v>1</v>
      </c>
      <c r="AS516" s="48">
        <f t="shared" si="335"/>
        <v>1</v>
      </c>
      <c r="AT516" s="48">
        <f t="shared" si="336"/>
        <v>0</v>
      </c>
      <c r="AU516" s="48">
        <f t="shared" si="337"/>
        <v>0</v>
      </c>
      <c r="AV516" s="48">
        <f t="shared" si="338"/>
        <v>0</v>
      </c>
      <c r="AW516" s="48">
        <f>IF(N516="ПП",РПП*AB516*(V516/1.5),IF(N516="ВП",ВПр*AB516*(V516/1.5),IF(N516="РПА",РПА*AB516*(V516/1.5),IF(N516="КПА",кпа*AB516*(V516/1.5),0))))</f>
        <v>0</v>
      </c>
      <c r="AX516" s="48">
        <f t="shared" si="339"/>
        <v>0</v>
      </c>
      <c r="AY516" s="48">
        <f t="shared" si="340"/>
        <v>0</v>
      </c>
      <c r="AZ516" s="48">
        <f t="shared" si="341"/>
        <v>0</v>
      </c>
      <c r="BA516" s="48">
        <f t="shared" si="342"/>
        <v>0</v>
      </c>
      <c r="BB516" s="48">
        <f t="shared" si="343"/>
        <v>0</v>
      </c>
      <c r="BC516" s="48">
        <f t="shared" si="344"/>
        <v>0</v>
      </c>
      <c r="BD516" s="48">
        <f t="shared" si="345"/>
        <v>0</v>
      </c>
      <c r="BE516" s="48">
        <f t="shared" si="346"/>
        <v>0</v>
      </c>
      <c r="BF516" s="49">
        <f t="shared" si="347"/>
        <v>23.66</v>
      </c>
      <c r="BG516" s="50"/>
      <c r="BH516" s="51">
        <f t="shared" si="348"/>
        <v>20</v>
      </c>
      <c r="BI516" s="51">
        <f t="shared" si="349"/>
        <v>10</v>
      </c>
      <c r="BJ516" s="51">
        <f t="shared" si="350"/>
        <v>3.66</v>
      </c>
      <c r="BK516" s="52">
        <f t="shared" si="351"/>
        <v>0</v>
      </c>
      <c r="BL516" s="52">
        <f t="shared" si="352"/>
        <v>0</v>
      </c>
      <c r="BM516" s="52">
        <f t="shared" si="353"/>
        <v>0</v>
      </c>
    </row>
    <row r="517" spans="1:65" ht="30" customHeight="1" x14ac:dyDescent="0.25">
      <c r="A517" s="31" t="str">
        <f t="shared" si="319"/>
        <v>Д</v>
      </c>
      <c r="B517" s="31" t="str">
        <f t="shared" si="320"/>
        <v>А</v>
      </c>
      <c r="C517" s="32" t="s">
        <v>278</v>
      </c>
      <c r="D517" s="33" t="str">
        <f t="shared" si="321"/>
        <v>Факультет физико-математических и естественных наук</v>
      </c>
      <c r="E517" s="34" t="str">
        <f t="shared" si="322"/>
        <v>'1.2.2.</v>
      </c>
      <c r="F517" s="35" t="str">
        <f t="shared" si="323"/>
        <v>Математическое моделирование, численные методы и комплексы программ</v>
      </c>
      <c r="G517" s="36" t="s">
        <v>76</v>
      </c>
      <c r="H517" s="36"/>
      <c r="I517" s="37"/>
      <c r="J517" s="37"/>
      <c r="K517" s="38" t="s">
        <v>279</v>
      </c>
      <c r="L517" s="39">
        <v>3</v>
      </c>
      <c r="M517" s="61">
        <v>1</v>
      </c>
      <c r="N517" s="40" t="s">
        <v>86</v>
      </c>
      <c r="O517" s="39"/>
      <c r="P517" s="39"/>
      <c r="Q517" s="39">
        <v>40</v>
      </c>
      <c r="R517" s="40"/>
      <c r="S517" s="41"/>
      <c r="T517" s="41"/>
      <c r="U517" s="41"/>
      <c r="V517" s="41"/>
      <c r="W517" s="41"/>
      <c r="X517" s="42" t="str">
        <f t="shared" si="324"/>
        <v>НЧМад</v>
      </c>
      <c r="Y517" s="43" t="s">
        <v>107</v>
      </c>
      <c r="Z517" s="39"/>
      <c r="AA517" s="39">
        <v>1</v>
      </c>
      <c r="AB517" s="42">
        <f t="shared" si="325"/>
        <v>2</v>
      </c>
      <c r="AC517" s="39">
        <v>2</v>
      </c>
      <c r="AD517" s="39"/>
      <c r="AE517" s="44">
        <f t="shared" si="326"/>
        <v>12</v>
      </c>
      <c r="AF517" s="45">
        <f t="shared" si="327"/>
        <v>0.16666666666666666</v>
      </c>
      <c r="AG517" s="45">
        <f t="shared" si="328"/>
        <v>0.16666666666666666</v>
      </c>
      <c r="AH517" s="46" t="s">
        <v>82</v>
      </c>
      <c r="AI517" s="40" t="s">
        <v>83</v>
      </c>
      <c r="AJ517" s="40" t="s">
        <v>84</v>
      </c>
      <c r="AK517" s="47" t="s">
        <v>97</v>
      </c>
      <c r="AL517" s="40"/>
      <c r="AM517" s="48">
        <f t="shared" si="329"/>
        <v>0</v>
      </c>
      <c r="AN517" s="48">
        <f t="shared" si="330"/>
        <v>6.6666666666666661</v>
      </c>
      <c r="AO517" s="48">
        <f t="shared" si="331"/>
        <v>0</v>
      </c>
      <c r="AP517" s="48">
        <f t="shared" si="332"/>
        <v>0</v>
      </c>
      <c r="AQ517" s="48">
        <f t="shared" si="333"/>
        <v>0</v>
      </c>
      <c r="AR517" s="48">
        <f t="shared" si="334"/>
        <v>0</v>
      </c>
      <c r="AS517" s="48">
        <f t="shared" si="335"/>
        <v>0</v>
      </c>
      <c r="AT517" s="48">
        <f t="shared" si="336"/>
        <v>0</v>
      </c>
      <c r="AU517" s="48">
        <f t="shared" si="337"/>
        <v>0</v>
      </c>
      <c r="AV517" s="48">
        <f t="shared" si="338"/>
        <v>0</v>
      </c>
      <c r="AW517" s="48">
        <f>IF(N517="ПП",РПП*AB517*(V517/1.5),IF(N517="ВП",ВПр*AB517*(V517/1.5),IF(N517="РПА",РПА*AB517*(V517/1.5),IF(N517="КПА",кпа*AB517*(V517/1.5),0))))</f>
        <v>0</v>
      </c>
      <c r="AX517" s="48">
        <f t="shared" si="339"/>
        <v>0</v>
      </c>
      <c r="AY517" s="48">
        <f t="shared" si="340"/>
        <v>0</v>
      </c>
      <c r="AZ517" s="48">
        <f t="shared" si="341"/>
        <v>0</v>
      </c>
      <c r="BA517" s="48">
        <f t="shared" si="342"/>
        <v>0</v>
      </c>
      <c r="BB517" s="48">
        <f t="shared" si="343"/>
        <v>0</v>
      </c>
      <c r="BC517" s="48">
        <f t="shared" si="344"/>
        <v>0</v>
      </c>
      <c r="BD517" s="48">
        <f t="shared" si="345"/>
        <v>0</v>
      </c>
      <c r="BE517" s="48">
        <f t="shared" si="346"/>
        <v>0</v>
      </c>
      <c r="BF517" s="49">
        <f t="shared" si="347"/>
        <v>6.6666666666666661</v>
      </c>
      <c r="BG517" s="50"/>
      <c r="BH517" s="51">
        <f t="shared" si="348"/>
        <v>6.6666666666666661</v>
      </c>
      <c r="BI517" s="51">
        <f t="shared" si="349"/>
        <v>20</v>
      </c>
      <c r="BJ517" s="51">
        <f t="shared" si="350"/>
        <v>0</v>
      </c>
      <c r="BK517" s="52">
        <f t="shared" si="351"/>
        <v>0</v>
      </c>
      <c r="BL517" s="52">
        <f t="shared" si="352"/>
        <v>0</v>
      </c>
      <c r="BM517" s="52">
        <f t="shared" si="353"/>
        <v>0</v>
      </c>
    </row>
    <row r="518" spans="1:65" ht="30" customHeight="1" x14ac:dyDescent="0.25">
      <c r="A518" s="31" t="str">
        <f t="shared" si="319"/>
        <v>Д</v>
      </c>
      <c r="B518" s="31" t="str">
        <f t="shared" si="320"/>
        <v>А</v>
      </c>
      <c r="C518" s="32" t="s">
        <v>278</v>
      </c>
      <c r="D518" s="33" t="str">
        <f t="shared" si="321"/>
        <v>Факультет физико-математических и естественных наук</v>
      </c>
      <c r="E518" s="34" t="str">
        <f t="shared" si="322"/>
        <v>'1.2.2.</v>
      </c>
      <c r="F518" s="35" t="str">
        <f t="shared" si="323"/>
        <v>Математическое моделирование, численные методы и комплексы программ</v>
      </c>
      <c r="G518" s="36" t="s">
        <v>153</v>
      </c>
      <c r="H518" s="36"/>
      <c r="I518" s="37"/>
      <c r="J518" s="37"/>
      <c r="K518" s="38" t="s">
        <v>275</v>
      </c>
      <c r="L518" s="39">
        <v>3</v>
      </c>
      <c r="M518" s="61">
        <v>1</v>
      </c>
      <c r="N518" s="40" t="s">
        <v>276</v>
      </c>
      <c r="O518" s="39"/>
      <c r="P518" s="39"/>
      <c r="Q518" s="39"/>
      <c r="R518" s="40"/>
      <c r="S518" s="41"/>
      <c r="T518" s="41"/>
      <c r="U518" s="41"/>
      <c r="V518" s="41">
        <v>2</v>
      </c>
      <c r="W518" s="41"/>
      <c r="X518" s="42" t="str">
        <f t="shared" si="324"/>
        <v>НЧМад</v>
      </c>
      <c r="Y518" s="43" t="s">
        <v>107</v>
      </c>
      <c r="Z518" s="39"/>
      <c r="AA518" s="39">
        <v>1</v>
      </c>
      <c r="AB518" s="42">
        <f t="shared" si="325"/>
        <v>2</v>
      </c>
      <c r="AC518" s="39">
        <v>2</v>
      </c>
      <c r="AD518" s="39"/>
      <c r="AE518" s="44">
        <f t="shared" si="326"/>
        <v>1</v>
      </c>
      <c r="AF518" s="45">
        <f t="shared" si="327"/>
        <v>1</v>
      </c>
      <c r="AG518" s="45">
        <f t="shared" si="328"/>
        <v>2</v>
      </c>
      <c r="AH518" s="46" t="s">
        <v>82</v>
      </c>
      <c r="AI518" s="40" t="s">
        <v>112</v>
      </c>
      <c r="AJ518" s="40" t="s">
        <v>84</v>
      </c>
      <c r="AK518" s="47" t="s">
        <v>113</v>
      </c>
      <c r="AL518" s="40"/>
      <c r="AM518" s="48">
        <f t="shared" si="329"/>
        <v>0</v>
      </c>
      <c r="AN518" s="48">
        <f t="shared" si="330"/>
        <v>0</v>
      </c>
      <c r="AO518" s="48">
        <f t="shared" si="331"/>
        <v>0</v>
      </c>
      <c r="AP518" s="48">
        <f t="shared" si="332"/>
        <v>0</v>
      </c>
      <c r="AQ518" s="48">
        <f t="shared" si="333"/>
        <v>0</v>
      </c>
      <c r="AR518" s="48">
        <f t="shared" si="334"/>
        <v>0</v>
      </c>
      <c r="AS518" s="48">
        <f t="shared" si="335"/>
        <v>0</v>
      </c>
      <c r="AT518" s="48">
        <f t="shared" si="336"/>
        <v>0</v>
      </c>
      <c r="AU518" s="48">
        <f t="shared" si="337"/>
        <v>0</v>
      </c>
      <c r="AV518" s="48">
        <f t="shared" si="338"/>
        <v>0</v>
      </c>
      <c r="AW518" s="48">
        <f>IF(N518="ПП",РПП*AB518*(V518/1.5),IF(N518="ВП",ВПр*AB518*(V518/1.5),IF(N518="РПА",РПА*AB518*(V518/1.5),IF(N518="КПА",кпа*AB518*(V518/1.5),0))))</f>
        <v>4</v>
      </c>
      <c r="AX518" s="48">
        <f t="shared" si="339"/>
        <v>0</v>
      </c>
      <c r="AY518" s="48">
        <f t="shared" si="340"/>
        <v>0</v>
      </c>
      <c r="AZ518" s="48">
        <f t="shared" si="341"/>
        <v>0</v>
      </c>
      <c r="BA518" s="48">
        <f t="shared" si="342"/>
        <v>0</v>
      </c>
      <c r="BB518" s="48">
        <f t="shared" si="343"/>
        <v>0</v>
      </c>
      <c r="BC518" s="48">
        <f t="shared" si="344"/>
        <v>0</v>
      </c>
      <c r="BD518" s="48">
        <f t="shared" si="345"/>
        <v>0</v>
      </c>
      <c r="BE518" s="48">
        <f t="shared" si="346"/>
        <v>0</v>
      </c>
      <c r="BF518" s="49">
        <f t="shared" si="347"/>
        <v>4</v>
      </c>
      <c r="BG518" s="50"/>
      <c r="BH518" s="51">
        <f t="shared" si="348"/>
        <v>0</v>
      </c>
      <c r="BI518" s="51">
        <f t="shared" si="349"/>
        <v>0</v>
      </c>
      <c r="BJ518" s="51">
        <f t="shared" si="350"/>
        <v>4</v>
      </c>
      <c r="BK518" s="52">
        <f t="shared" si="351"/>
        <v>0</v>
      </c>
      <c r="BL518" s="52">
        <f t="shared" si="352"/>
        <v>0</v>
      </c>
      <c r="BM518" s="52">
        <f t="shared" si="353"/>
        <v>0</v>
      </c>
    </row>
    <row r="519" spans="1:65" ht="30" customHeight="1" x14ac:dyDescent="0.25">
      <c r="A519" s="31" t="str">
        <f t="shared" si="319"/>
        <v>Д</v>
      </c>
      <c r="B519" s="31" t="str">
        <f t="shared" si="320"/>
        <v>А</v>
      </c>
      <c r="C519" s="32" t="s">
        <v>278</v>
      </c>
      <c r="D519" s="33" t="str">
        <f t="shared" si="321"/>
        <v>Факультет физико-математических и естественных наук</v>
      </c>
      <c r="E519" s="34" t="str">
        <f t="shared" si="322"/>
        <v>'1.2.2.</v>
      </c>
      <c r="F519" s="35" t="str">
        <f t="shared" si="323"/>
        <v>Математическое моделирование, численные методы и комплексы программ</v>
      </c>
      <c r="G519" s="36" t="s">
        <v>166</v>
      </c>
      <c r="H519" s="36"/>
      <c r="I519" s="37"/>
      <c r="J519" s="37"/>
      <c r="K519" s="38" t="s">
        <v>273</v>
      </c>
      <c r="L519" s="39">
        <v>3</v>
      </c>
      <c r="M519" s="39"/>
      <c r="N519" s="40" t="s">
        <v>274</v>
      </c>
      <c r="O519" s="39"/>
      <c r="P519" s="39"/>
      <c r="Q519" s="39"/>
      <c r="R519" s="40"/>
      <c r="S519" s="41"/>
      <c r="T519" s="41"/>
      <c r="U519" s="41"/>
      <c r="V519" s="41"/>
      <c r="W519" s="41"/>
      <c r="X519" s="42" t="str">
        <f t="shared" si="324"/>
        <v>НЧМад</v>
      </c>
      <c r="Y519" s="43" t="s">
        <v>107</v>
      </c>
      <c r="Z519" s="39"/>
      <c r="AA519" s="39">
        <v>1</v>
      </c>
      <c r="AB519" s="42">
        <f t="shared" si="325"/>
        <v>2</v>
      </c>
      <c r="AC519" s="39">
        <v>2</v>
      </c>
      <c r="AD519" s="39"/>
      <c r="AE519" s="44">
        <f t="shared" si="326"/>
        <v>1</v>
      </c>
      <c r="AF519" s="45">
        <f t="shared" si="327"/>
        <v>1</v>
      </c>
      <c r="AG519" s="45">
        <f t="shared" si="328"/>
        <v>2</v>
      </c>
      <c r="AH519" s="46" t="s">
        <v>82</v>
      </c>
      <c r="AI519" s="40" t="s">
        <v>115</v>
      </c>
      <c r="AJ519" s="40" t="s">
        <v>84</v>
      </c>
      <c r="AK519" s="47" t="s">
        <v>147</v>
      </c>
      <c r="AL519" s="40"/>
      <c r="AM519" s="48">
        <f t="shared" si="329"/>
        <v>0</v>
      </c>
      <c r="AN519" s="48">
        <f t="shared" si="330"/>
        <v>0</v>
      </c>
      <c r="AO519" s="48">
        <f t="shared" si="331"/>
        <v>0</v>
      </c>
      <c r="AP519" s="48">
        <f t="shared" si="332"/>
        <v>0</v>
      </c>
      <c r="AQ519" s="48">
        <f t="shared" si="333"/>
        <v>0</v>
      </c>
      <c r="AR519" s="48">
        <f t="shared" si="334"/>
        <v>0</v>
      </c>
      <c r="AS519" s="48">
        <f t="shared" si="335"/>
        <v>0</v>
      </c>
      <c r="AT519" s="48">
        <f t="shared" si="336"/>
        <v>0</v>
      </c>
      <c r="AU519" s="48">
        <f t="shared" si="337"/>
        <v>0</v>
      </c>
      <c r="AV519" s="48">
        <f t="shared" si="338"/>
        <v>0</v>
      </c>
      <c r="AW519" s="48">
        <f>IF(N519="ПП",РПП*AB519*(V519/1.5),IF(N519="ВП",ВПр*AB519*(V519/1.5),IF(N519="РПА",РПА*AB519*(V519/1.5),IF(N519="КПА",кпа*AB519*(V519/1.5),0))))</f>
        <v>0</v>
      </c>
      <c r="AX519" s="48">
        <f t="shared" si="339"/>
        <v>0</v>
      </c>
      <c r="AY519" s="48">
        <f t="shared" si="340"/>
        <v>0</v>
      </c>
      <c r="AZ519" s="48">
        <f t="shared" si="341"/>
        <v>0</v>
      </c>
      <c r="BA519" s="48">
        <f t="shared" si="342"/>
        <v>0</v>
      </c>
      <c r="BB519" s="48">
        <f t="shared" si="343"/>
        <v>150</v>
      </c>
      <c r="BC519" s="48">
        <f t="shared" si="344"/>
        <v>0</v>
      </c>
      <c r="BD519" s="48">
        <f t="shared" si="345"/>
        <v>0</v>
      </c>
      <c r="BE519" s="48">
        <f t="shared" si="346"/>
        <v>0</v>
      </c>
      <c r="BF519" s="49">
        <f t="shared" si="347"/>
        <v>150</v>
      </c>
      <c r="BG519" s="50"/>
      <c r="BH519" s="51">
        <f t="shared" si="348"/>
        <v>0</v>
      </c>
      <c r="BI519" s="51">
        <f t="shared" si="349"/>
        <v>0</v>
      </c>
      <c r="BJ519" s="51">
        <f t="shared" si="350"/>
        <v>150</v>
      </c>
      <c r="BK519" s="52">
        <f t="shared" si="351"/>
        <v>0</v>
      </c>
      <c r="BL519" s="52">
        <f t="shared" si="352"/>
        <v>0</v>
      </c>
      <c r="BM519" s="52">
        <f t="shared" si="353"/>
        <v>0</v>
      </c>
    </row>
    <row r="520" spans="1:65" ht="30" customHeight="1" x14ac:dyDescent="0.25">
      <c r="A520" s="31" t="str">
        <f t="shared" si="319"/>
        <v>Д</v>
      </c>
      <c r="B520" s="31" t="str">
        <f t="shared" si="320"/>
        <v>А</v>
      </c>
      <c r="C520" s="32" t="s">
        <v>278</v>
      </c>
      <c r="D520" s="33" t="str">
        <f t="shared" si="321"/>
        <v>Факультет физико-математических и естественных наук</v>
      </c>
      <c r="E520" s="34" t="str">
        <f t="shared" si="322"/>
        <v>'1.2.2.</v>
      </c>
      <c r="F520" s="35" t="str">
        <f t="shared" si="323"/>
        <v>Математическое моделирование, численные методы и комплексы программ</v>
      </c>
      <c r="G520" s="36" t="s">
        <v>153</v>
      </c>
      <c r="H520" s="36"/>
      <c r="I520" s="37"/>
      <c r="J520" s="37"/>
      <c r="K520" s="38" t="s">
        <v>275</v>
      </c>
      <c r="L520" s="39">
        <v>4</v>
      </c>
      <c r="M520" s="61">
        <v>1</v>
      </c>
      <c r="N520" s="40" t="s">
        <v>276</v>
      </c>
      <c r="O520" s="39"/>
      <c r="P520" s="39"/>
      <c r="Q520" s="39"/>
      <c r="R520" s="40"/>
      <c r="S520" s="41"/>
      <c r="T520" s="41"/>
      <c r="U520" s="41"/>
      <c r="V520" s="41">
        <v>3</v>
      </c>
      <c r="W520" s="41"/>
      <c r="X520" s="42" t="str">
        <f t="shared" si="324"/>
        <v>НЧМад</v>
      </c>
      <c r="Y520" s="43" t="s">
        <v>107</v>
      </c>
      <c r="Z520" s="39"/>
      <c r="AA520" s="39">
        <v>1</v>
      </c>
      <c r="AB520" s="42">
        <f t="shared" si="325"/>
        <v>2</v>
      </c>
      <c r="AC520" s="39">
        <v>2</v>
      </c>
      <c r="AD520" s="39"/>
      <c r="AE520" s="44">
        <f t="shared" si="326"/>
        <v>1</v>
      </c>
      <c r="AF520" s="45">
        <f t="shared" si="327"/>
        <v>1</v>
      </c>
      <c r="AG520" s="45">
        <f t="shared" si="328"/>
        <v>2</v>
      </c>
      <c r="AH520" s="46" t="s">
        <v>82</v>
      </c>
      <c r="AI520" s="40" t="s">
        <v>112</v>
      </c>
      <c r="AJ520" s="40" t="s">
        <v>84</v>
      </c>
      <c r="AK520" s="47" t="s">
        <v>113</v>
      </c>
      <c r="AL520" s="40"/>
      <c r="AM520" s="48">
        <f t="shared" si="329"/>
        <v>0</v>
      </c>
      <c r="AN520" s="48">
        <f t="shared" si="330"/>
        <v>0</v>
      </c>
      <c r="AO520" s="48">
        <f t="shared" si="331"/>
        <v>0</v>
      </c>
      <c r="AP520" s="48">
        <f t="shared" si="332"/>
        <v>0</v>
      </c>
      <c r="AQ520" s="48">
        <f t="shared" si="333"/>
        <v>0</v>
      </c>
      <c r="AR520" s="48">
        <f t="shared" si="334"/>
        <v>0</v>
      </c>
      <c r="AS520" s="48">
        <f t="shared" si="335"/>
        <v>0</v>
      </c>
      <c r="AT520" s="48">
        <f t="shared" si="336"/>
        <v>0</v>
      </c>
      <c r="AU520" s="48">
        <f t="shared" si="337"/>
        <v>0</v>
      </c>
      <c r="AV520" s="48">
        <f t="shared" si="338"/>
        <v>0</v>
      </c>
      <c r="AW520" s="48">
        <f>IF(N520="ПП",РПП*AB520*(V520/1.5),IF(N520="ВП",ВПр*AB520*(V520/1.5),IF(N520="РПА",РПА*AB520*(V520/1.5),IF(N520="КПА",кпа*AB520*(V520/1.5),0))))</f>
        <v>6</v>
      </c>
      <c r="AX520" s="48">
        <f t="shared" si="339"/>
        <v>0</v>
      </c>
      <c r="AY520" s="48">
        <f t="shared" si="340"/>
        <v>0</v>
      </c>
      <c r="AZ520" s="48">
        <f t="shared" si="341"/>
        <v>0</v>
      </c>
      <c r="BA520" s="48">
        <f t="shared" si="342"/>
        <v>0</v>
      </c>
      <c r="BB520" s="48">
        <f t="shared" si="343"/>
        <v>0</v>
      </c>
      <c r="BC520" s="48">
        <f t="shared" si="344"/>
        <v>0</v>
      </c>
      <c r="BD520" s="48">
        <f t="shared" si="345"/>
        <v>0</v>
      </c>
      <c r="BE520" s="48">
        <f t="shared" si="346"/>
        <v>0</v>
      </c>
      <c r="BF520" s="49">
        <f t="shared" si="347"/>
        <v>6</v>
      </c>
      <c r="BG520" s="50"/>
      <c r="BH520" s="51">
        <f t="shared" si="348"/>
        <v>0</v>
      </c>
      <c r="BI520" s="51">
        <f t="shared" si="349"/>
        <v>0</v>
      </c>
      <c r="BJ520" s="51">
        <f t="shared" si="350"/>
        <v>0</v>
      </c>
      <c r="BK520" s="52">
        <f t="shared" si="351"/>
        <v>0</v>
      </c>
      <c r="BL520" s="52">
        <f t="shared" si="352"/>
        <v>0</v>
      </c>
      <c r="BM520" s="52">
        <f t="shared" si="353"/>
        <v>6</v>
      </c>
    </row>
    <row r="521" spans="1:65" ht="30" customHeight="1" x14ac:dyDescent="0.25">
      <c r="A521" s="31" t="str">
        <f t="shared" si="319"/>
        <v>Д</v>
      </c>
      <c r="B521" s="31" t="str">
        <f t="shared" si="320"/>
        <v>А</v>
      </c>
      <c r="C521" s="32" t="s">
        <v>278</v>
      </c>
      <c r="D521" s="33" t="str">
        <f t="shared" si="321"/>
        <v>Факультет физико-математических и естественных наук</v>
      </c>
      <c r="E521" s="34" t="str">
        <f t="shared" si="322"/>
        <v>'1.2.2.</v>
      </c>
      <c r="F521" s="35" t="str">
        <f t="shared" si="323"/>
        <v>Математическое моделирование, численные методы и комплексы программ</v>
      </c>
      <c r="G521" s="36" t="s">
        <v>153</v>
      </c>
      <c r="H521" s="36"/>
      <c r="I521" s="37"/>
      <c r="J521" s="37"/>
      <c r="K521" s="60" t="s">
        <v>277</v>
      </c>
      <c r="L521" s="39">
        <v>4</v>
      </c>
      <c r="M521" s="61">
        <v>1</v>
      </c>
      <c r="N521" s="40" t="s">
        <v>276</v>
      </c>
      <c r="O521" s="39"/>
      <c r="P521" s="39"/>
      <c r="Q521" s="39"/>
      <c r="R521" s="40"/>
      <c r="S521" s="41"/>
      <c r="T521" s="41"/>
      <c r="U521" s="41"/>
      <c r="V521" s="41">
        <v>1</v>
      </c>
      <c r="W521" s="41"/>
      <c r="X521" s="42" t="str">
        <f t="shared" si="324"/>
        <v>НЧМад</v>
      </c>
      <c r="Y521" s="43" t="s">
        <v>107</v>
      </c>
      <c r="Z521" s="39"/>
      <c r="AA521" s="39">
        <v>1</v>
      </c>
      <c r="AB521" s="42">
        <v>1</v>
      </c>
      <c r="AC521" s="39"/>
      <c r="AD521" s="39"/>
      <c r="AE521" s="44">
        <f t="shared" si="326"/>
        <v>1</v>
      </c>
      <c r="AF521" s="45">
        <f t="shared" si="327"/>
        <v>1</v>
      </c>
      <c r="AG521" s="45">
        <f t="shared" si="328"/>
        <v>1</v>
      </c>
      <c r="AH521" s="46" t="s">
        <v>82</v>
      </c>
      <c r="AI521" s="40" t="s">
        <v>148</v>
      </c>
      <c r="AJ521" s="40"/>
      <c r="AK521" s="47" t="s">
        <v>149</v>
      </c>
      <c r="AL521" s="40"/>
      <c r="AM521" s="48">
        <f t="shared" si="329"/>
        <v>0</v>
      </c>
      <c r="AN521" s="48">
        <f t="shared" si="330"/>
        <v>0</v>
      </c>
      <c r="AO521" s="48">
        <f t="shared" si="331"/>
        <v>0</v>
      </c>
      <c r="AP521" s="48">
        <f t="shared" si="332"/>
        <v>0</v>
      </c>
      <c r="AQ521" s="48">
        <f t="shared" si="333"/>
        <v>0</v>
      </c>
      <c r="AR521" s="48">
        <f t="shared" si="334"/>
        <v>0</v>
      </c>
      <c r="AS521" s="48">
        <f t="shared" si="335"/>
        <v>0</v>
      </c>
      <c r="AT521" s="48">
        <f t="shared" si="336"/>
        <v>0</v>
      </c>
      <c r="AU521" s="48">
        <f t="shared" si="337"/>
        <v>0</v>
      </c>
      <c r="AV521" s="48">
        <f t="shared" si="338"/>
        <v>0</v>
      </c>
      <c r="AW521" s="48">
        <f>IF(N521="ПП",РПП*AB521*(V521/1.5),IF(N521="ВП",ВПр*AB521*(V521/1.5),IF(N521="РПА",РПА*AB521*(V521/1.5),IF(N521="КПА",кпа*AB521*(V521/1.5),0))))</f>
        <v>1</v>
      </c>
      <c r="AX521" s="48">
        <f t="shared" si="339"/>
        <v>0</v>
      </c>
      <c r="AY521" s="48">
        <f t="shared" si="340"/>
        <v>0</v>
      </c>
      <c r="AZ521" s="48">
        <f t="shared" si="341"/>
        <v>0</v>
      </c>
      <c r="BA521" s="48">
        <f t="shared" si="342"/>
        <v>0</v>
      </c>
      <c r="BB521" s="48">
        <f t="shared" si="343"/>
        <v>0</v>
      </c>
      <c r="BC521" s="48">
        <f t="shared" si="344"/>
        <v>0</v>
      </c>
      <c r="BD521" s="48">
        <f t="shared" si="345"/>
        <v>0</v>
      </c>
      <c r="BE521" s="48">
        <f t="shared" si="346"/>
        <v>0</v>
      </c>
      <c r="BF521" s="49">
        <f t="shared" si="347"/>
        <v>1</v>
      </c>
      <c r="BG521" s="50"/>
      <c r="BH521" s="51">
        <f t="shared" si="348"/>
        <v>0</v>
      </c>
      <c r="BI521" s="51">
        <f t="shared" si="349"/>
        <v>0</v>
      </c>
      <c r="BJ521" s="51">
        <f t="shared" si="350"/>
        <v>0</v>
      </c>
      <c r="BK521" s="52">
        <f t="shared" si="351"/>
        <v>0</v>
      </c>
      <c r="BL521" s="52">
        <f t="shared" si="352"/>
        <v>0</v>
      </c>
      <c r="BM521" s="52">
        <f t="shared" si="353"/>
        <v>1</v>
      </c>
    </row>
    <row r="522" spans="1:65" ht="30" customHeight="1" x14ac:dyDescent="0.25">
      <c r="A522" s="31" t="str">
        <f t="shared" si="319"/>
        <v>Д</v>
      </c>
      <c r="B522" s="31" t="str">
        <f t="shared" si="320"/>
        <v>А</v>
      </c>
      <c r="C522" s="32" t="s">
        <v>278</v>
      </c>
      <c r="D522" s="33" t="str">
        <f t="shared" si="321"/>
        <v>Факультет физико-математических и естественных наук</v>
      </c>
      <c r="E522" s="34" t="str">
        <f t="shared" si="322"/>
        <v>'1.2.2.</v>
      </c>
      <c r="F522" s="35" t="str">
        <f t="shared" si="323"/>
        <v>Математическое моделирование, численные методы и комплексы программ</v>
      </c>
      <c r="G522" s="36" t="s">
        <v>166</v>
      </c>
      <c r="H522" s="36"/>
      <c r="I522" s="37"/>
      <c r="J522" s="37"/>
      <c r="K522" s="38" t="s">
        <v>273</v>
      </c>
      <c r="L522" s="39">
        <v>5</v>
      </c>
      <c r="M522" s="39"/>
      <c r="N522" s="40" t="s">
        <v>274</v>
      </c>
      <c r="O522" s="39"/>
      <c r="P522" s="39"/>
      <c r="Q522" s="39"/>
      <c r="R522" s="40"/>
      <c r="S522" s="41"/>
      <c r="T522" s="41"/>
      <c r="U522" s="41"/>
      <c r="V522" s="41"/>
      <c r="W522" s="41"/>
      <c r="X522" s="42" t="str">
        <f t="shared" si="324"/>
        <v>НЧМад</v>
      </c>
      <c r="Y522" s="43" t="s">
        <v>128</v>
      </c>
      <c r="Z522" s="39"/>
      <c r="AA522" s="39">
        <v>1</v>
      </c>
      <c r="AB522" s="42">
        <f t="shared" si="325"/>
        <v>2</v>
      </c>
      <c r="AC522" s="39">
        <v>2</v>
      </c>
      <c r="AD522" s="39">
        <v>0</v>
      </c>
      <c r="AE522" s="44">
        <f t="shared" si="326"/>
        <v>1</v>
      </c>
      <c r="AF522" s="45">
        <f t="shared" si="327"/>
        <v>1</v>
      </c>
      <c r="AG522" s="45">
        <f t="shared" si="328"/>
        <v>2</v>
      </c>
      <c r="AH522" s="46" t="s">
        <v>82</v>
      </c>
      <c r="AI522" s="40" t="s">
        <v>83</v>
      </c>
      <c r="AJ522" s="40" t="s">
        <v>84</v>
      </c>
      <c r="AK522" s="47" t="s">
        <v>97</v>
      </c>
      <c r="AL522" s="40"/>
      <c r="AM522" s="48">
        <f t="shared" si="329"/>
        <v>0</v>
      </c>
      <c r="AN522" s="48">
        <f t="shared" si="330"/>
        <v>0</v>
      </c>
      <c r="AO522" s="48">
        <f t="shared" si="331"/>
        <v>0</v>
      </c>
      <c r="AP522" s="48">
        <f t="shared" si="332"/>
        <v>0</v>
      </c>
      <c r="AQ522" s="48">
        <f t="shared" si="333"/>
        <v>0</v>
      </c>
      <c r="AR522" s="48">
        <f t="shared" si="334"/>
        <v>0</v>
      </c>
      <c r="AS522" s="48">
        <f t="shared" si="335"/>
        <v>0</v>
      </c>
      <c r="AT522" s="48">
        <f t="shared" si="336"/>
        <v>0</v>
      </c>
      <c r="AU522" s="48">
        <f t="shared" si="337"/>
        <v>0</v>
      </c>
      <c r="AV522" s="48">
        <f t="shared" si="338"/>
        <v>0</v>
      </c>
      <c r="AW522" s="48">
        <f>IF(N522="ПП",РПП*AB522*(V522/1.5),IF(N522="ВП",ВПр*AB522*(V522/1.5),IF(N522="РПА",РПА*AB522*(V522/1.5),IF(N522="КПА",кпа*AB522*(V522/1.5),0))))</f>
        <v>0</v>
      </c>
      <c r="AX522" s="48">
        <f t="shared" si="339"/>
        <v>0</v>
      </c>
      <c r="AY522" s="48">
        <f t="shared" si="340"/>
        <v>0</v>
      </c>
      <c r="AZ522" s="48">
        <f t="shared" si="341"/>
        <v>0</v>
      </c>
      <c r="BA522" s="48">
        <f t="shared" si="342"/>
        <v>0</v>
      </c>
      <c r="BB522" s="48">
        <f t="shared" si="343"/>
        <v>150</v>
      </c>
      <c r="BC522" s="48">
        <f t="shared" si="344"/>
        <v>0</v>
      </c>
      <c r="BD522" s="48">
        <f t="shared" si="345"/>
        <v>0</v>
      </c>
      <c r="BE522" s="48">
        <f t="shared" si="346"/>
        <v>0</v>
      </c>
      <c r="BF522" s="49">
        <f t="shared" si="347"/>
        <v>150</v>
      </c>
      <c r="BG522" s="50"/>
      <c r="BH522" s="51">
        <f t="shared" si="348"/>
        <v>0</v>
      </c>
      <c r="BI522" s="51">
        <f t="shared" si="349"/>
        <v>0</v>
      </c>
      <c r="BJ522" s="51">
        <f t="shared" si="350"/>
        <v>150</v>
      </c>
      <c r="BK522" s="52">
        <f t="shared" si="351"/>
        <v>0</v>
      </c>
      <c r="BL522" s="52">
        <f t="shared" si="352"/>
        <v>0</v>
      </c>
      <c r="BM522" s="52">
        <f t="shared" si="353"/>
        <v>0</v>
      </c>
    </row>
    <row r="523" spans="1:65" ht="30" customHeight="1" x14ac:dyDescent="0.25">
      <c r="A523" s="31" t="str">
        <f t="shared" si="319"/>
        <v>Д</v>
      </c>
      <c r="B523" s="31" t="str">
        <f t="shared" si="320"/>
        <v>А</v>
      </c>
      <c r="C523" s="32" t="s">
        <v>278</v>
      </c>
      <c r="D523" s="33" t="str">
        <f t="shared" si="321"/>
        <v>Факультет физико-математических и естественных наук</v>
      </c>
      <c r="E523" s="34" t="str">
        <f t="shared" si="322"/>
        <v>'1.2.2.</v>
      </c>
      <c r="F523" s="35" t="str">
        <f t="shared" si="323"/>
        <v>Математическое моделирование, численные методы и комплексы программ</v>
      </c>
      <c r="G523" s="36" t="s">
        <v>166</v>
      </c>
      <c r="H523" s="36"/>
      <c r="I523" s="37"/>
      <c r="J523" s="37"/>
      <c r="K523" s="38" t="s">
        <v>273</v>
      </c>
      <c r="L523" s="39">
        <v>6</v>
      </c>
      <c r="M523" s="39"/>
      <c r="N523" s="40" t="s">
        <v>274</v>
      </c>
      <c r="O523" s="39"/>
      <c r="P523" s="39"/>
      <c r="Q523" s="39"/>
      <c r="R523" s="40"/>
      <c r="S523" s="41"/>
      <c r="T523" s="41"/>
      <c r="U523" s="41"/>
      <c r="V523" s="41"/>
      <c r="W523" s="41"/>
      <c r="X523" s="42" t="str">
        <f t="shared" si="324"/>
        <v>НЧМад</v>
      </c>
      <c r="Y523" s="43" t="s">
        <v>161</v>
      </c>
      <c r="Z523" s="39"/>
      <c r="AA523" s="39">
        <v>1</v>
      </c>
      <c r="AB523" s="42">
        <f t="shared" si="325"/>
        <v>2</v>
      </c>
      <c r="AC523" s="39">
        <v>2</v>
      </c>
      <c r="AD523" s="39">
        <v>0</v>
      </c>
      <c r="AE523" s="44">
        <f t="shared" si="326"/>
        <v>1</v>
      </c>
      <c r="AF523" s="45">
        <f t="shared" si="327"/>
        <v>1</v>
      </c>
      <c r="AG523" s="45">
        <f t="shared" si="328"/>
        <v>2</v>
      </c>
      <c r="AH523" s="46" t="s">
        <v>82</v>
      </c>
      <c r="AI523" s="40" t="s">
        <v>83</v>
      </c>
      <c r="AJ523" s="40" t="s">
        <v>84</v>
      </c>
      <c r="AK523" s="47" t="s">
        <v>97</v>
      </c>
      <c r="AL523" s="40"/>
      <c r="AM523" s="48">
        <f t="shared" si="329"/>
        <v>0</v>
      </c>
      <c r="AN523" s="48">
        <f t="shared" si="330"/>
        <v>0</v>
      </c>
      <c r="AO523" s="48">
        <f t="shared" si="331"/>
        <v>0</v>
      </c>
      <c r="AP523" s="48">
        <f t="shared" si="332"/>
        <v>0</v>
      </c>
      <c r="AQ523" s="48">
        <f t="shared" si="333"/>
        <v>0</v>
      </c>
      <c r="AR523" s="48">
        <f t="shared" si="334"/>
        <v>0</v>
      </c>
      <c r="AS523" s="48">
        <f t="shared" si="335"/>
        <v>0</v>
      </c>
      <c r="AT523" s="48">
        <f t="shared" si="336"/>
        <v>0</v>
      </c>
      <c r="AU523" s="48">
        <f t="shared" si="337"/>
        <v>0</v>
      </c>
      <c r="AV523" s="48">
        <f t="shared" si="338"/>
        <v>0</v>
      </c>
      <c r="AW523" s="48">
        <f>IF(N523="ПП",РПП*AB523*(V523/1.5),IF(N523="ВП",ВПр*AB523*(V523/1.5),IF(N523="РПА",РПА*AB523*(V523/1.5),IF(N523="КПА",кпа*AB523*(V523/1.5),0))))</f>
        <v>0</v>
      </c>
      <c r="AX523" s="48">
        <f t="shared" si="339"/>
        <v>0</v>
      </c>
      <c r="AY523" s="48">
        <f t="shared" si="340"/>
        <v>0</v>
      </c>
      <c r="AZ523" s="48">
        <f t="shared" si="341"/>
        <v>0</v>
      </c>
      <c r="BA523" s="48">
        <f t="shared" si="342"/>
        <v>0</v>
      </c>
      <c r="BB523" s="48">
        <f t="shared" si="343"/>
        <v>150</v>
      </c>
      <c r="BC523" s="48">
        <f t="shared" si="344"/>
        <v>0</v>
      </c>
      <c r="BD523" s="48">
        <f t="shared" si="345"/>
        <v>0</v>
      </c>
      <c r="BE523" s="48">
        <f t="shared" si="346"/>
        <v>0</v>
      </c>
      <c r="BF523" s="49">
        <f t="shared" si="347"/>
        <v>150</v>
      </c>
      <c r="BG523" s="50"/>
      <c r="BH523" s="51">
        <f t="shared" si="348"/>
        <v>0</v>
      </c>
      <c r="BI523" s="51">
        <f t="shared" si="349"/>
        <v>0</v>
      </c>
      <c r="BJ523" s="51">
        <f t="shared" si="350"/>
        <v>0</v>
      </c>
      <c r="BK523" s="52">
        <f t="shared" si="351"/>
        <v>0</v>
      </c>
      <c r="BL523" s="52">
        <f t="shared" si="352"/>
        <v>0</v>
      </c>
      <c r="BM523" s="52">
        <f t="shared" si="353"/>
        <v>150</v>
      </c>
    </row>
    <row r="524" spans="1:65" ht="30" customHeight="1" x14ac:dyDescent="0.25">
      <c r="A524" s="31" t="str">
        <f t="shared" si="319"/>
        <v>Д</v>
      </c>
      <c r="B524" s="31" t="str">
        <f t="shared" si="320"/>
        <v>А</v>
      </c>
      <c r="C524" s="32" t="s">
        <v>270</v>
      </c>
      <c r="D524" s="33" t="str">
        <f t="shared" si="321"/>
        <v>Факультет физико-математических и естественных наук</v>
      </c>
      <c r="E524" s="34" t="str">
        <f t="shared" si="322"/>
        <v>'1.2.3.</v>
      </c>
      <c r="F524" s="35" t="str">
        <f t="shared" si="323"/>
        <v>Теоретическая информатика, кибернетика</v>
      </c>
      <c r="G524" s="36" t="s">
        <v>76</v>
      </c>
      <c r="H524" s="36" t="s">
        <v>77</v>
      </c>
      <c r="I524" s="37"/>
      <c r="J524" s="37"/>
      <c r="K524" s="38" t="s">
        <v>271</v>
      </c>
      <c r="L524" s="39">
        <v>2</v>
      </c>
      <c r="M524" s="39">
        <v>1</v>
      </c>
      <c r="N524" s="40" t="s">
        <v>79</v>
      </c>
      <c r="O524" s="39">
        <v>12</v>
      </c>
      <c r="P524" s="39"/>
      <c r="Q524" s="39"/>
      <c r="R524" s="40"/>
      <c r="S524" s="41"/>
      <c r="T524" s="41"/>
      <c r="U524" s="41"/>
      <c r="V524" s="41"/>
      <c r="W524" s="41"/>
      <c r="X524" s="42" t="str">
        <f t="shared" si="324"/>
        <v>НТКад</v>
      </c>
      <c r="Y524" s="43" t="s">
        <v>87</v>
      </c>
      <c r="Z524" s="39"/>
      <c r="AA524" s="39"/>
      <c r="AB524" s="42">
        <f t="shared" si="325"/>
        <v>0</v>
      </c>
      <c r="AC524" s="39"/>
      <c r="AD524" s="39"/>
      <c r="AE524" s="44">
        <f t="shared" si="326"/>
        <v>0</v>
      </c>
      <c r="AF524" s="45" t="e">
        <f t="shared" si="327"/>
        <v>#DIV/0!</v>
      </c>
      <c r="AG524" s="45" t="e">
        <f t="shared" si="328"/>
        <v>#DIV/0!</v>
      </c>
      <c r="AH524" s="46" t="s">
        <v>82</v>
      </c>
      <c r="AI524" s="40" t="s">
        <v>115</v>
      </c>
      <c r="AJ524" s="40" t="s">
        <v>84</v>
      </c>
      <c r="AK524" s="47" t="s">
        <v>147</v>
      </c>
      <c r="AL524" s="40"/>
      <c r="AM524" s="48">
        <f t="shared" si="329"/>
        <v>0</v>
      </c>
      <c r="AN524" s="48">
        <f t="shared" si="330"/>
        <v>0</v>
      </c>
      <c r="AO524" s="48">
        <f t="shared" si="331"/>
        <v>0</v>
      </c>
      <c r="AP524" s="48">
        <f t="shared" si="332"/>
        <v>0</v>
      </c>
      <c r="AQ524" s="48">
        <f t="shared" si="333"/>
        <v>0</v>
      </c>
      <c r="AR524" s="48">
        <f t="shared" si="334"/>
        <v>0</v>
      </c>
      <c r="AS524" s="48">
        <f t="shared" si="335"/>
        <v>0</v>
      </c>
      <c r="AT524" s="48">
        <f t="shared" si="336"/>
        <v>0</v>
      </c>
      <c r="AU524" s="48">
        <f t="shared" si="337"/>
        <v>0</v>
      </c>
      <c r="AV524" s="48">
        <f t="shared" si="338"/>
        <v>0</v>
      </c>
      <c r="AW524" s="48">
        <f>IF(N524="ПП",РПП*AB524*(V524/1.5),IF(N524="ВП",ВПр*AB524*(V524/1.5),IF(N524="РПА",РПА*AB524*(V524/1.5),IF(N524="КПА",кпа*AB524*(V524/1.5),0))))</f>
        <v>0</v>
      </c>
      <c r="AX524" s="48">
        <f t="shared" si="339"/>
        <v>0</v>
      </c>
      <c r="AY524" s="48">
        <f t="shared" si="340"/>
        <v>0</v>
      </c>
      <c r="AZ524" s="48">
        <f t="shared" si="341"/>
        <v>0</v>
      </c>
      <c r="BA524" s="48">
        <f t="shared" si="342"/>
        <v>0</v>
      </c>
      <c r="BB524" s="48">
        <f t="shared" si="343"/>
        <v>0</v>
      </c>
      <c r="BC524" s="48">
        <f t="shared" si="344"/>
        <v>0</v>
      </c>
      <c r="BD524" s="48">
        <f t="shared" si="345"/>
        <v>0</v>
      </c>
      <c r="BE524" s="48">
        <f t="shared" si="346"/>
        <v>0</v>
      </c>
      <c r="BF524" s="49">
        <f t="shared" si="347"/>
        <v>0</v>
      </c>
      <c r="BG524" s="50"/>
      <c r="BH524" s="51">
        <f t="shared" si="348"/>
        <v>0</v>
      </c>
      <c r="BI524" s="51">
        <f t="shared" si="349"/>
        <v>0</v>
      </c>
      <c r="BJ524" s="51">
        <f t="shared" si="350"/>
        <v>0</v>
      </c>
      <c r="BK524" s="52">
        <f t="shared" si="351"/>
        <v>0</v>
      </c>
      <c r="BL524" s="52">
        <f t="shared" si="352"/>
        <v>0</v>
      </c>
      <c r="BM524" s="52">
        <f t="shared" si="353"/>
        <v>0</v>
      </c>
    </row>
    <row r="525" spans="1:65" ht="30" customHeight="1" x14ac:dyDescent="0.25">
      <c r="A525" s="31" t="str">
        <f t="shared" si="319"/>
        <v>Д</v>
      </c>
      <c r="B525" s="31" t="str">
        <f t="shared" si="320"/>
        <v>А</v>
      </c>
      <c r="C525" s="32" t="s">
        <v>270</v>
      </c>
      <c r="D525" s="33" t="str">
        <f t="shared" si="321"/>
        <v>Факультет физико-математических и естественных наук</v>
      </c>
      <c r="E525" s="34" t="str">
        <f t="shared" si="322"/>
        <v>'1.2.3.</v>
      </c>
      <c r="F525" s="35" t="str">
        <f t="shared" si="323"/>
        <v>Теоретическая информатика, кибернетика</v>
      </c>
      <c r="G525" s="36" t="s">
        <v>76</v>
      </c>
      <c r="H525" s="36" t="s">
        <v>77</v>
      </c>
      <c r="I525" s="37"/>
      <c r="J525" s="37"/>
      <c r="K525" s="38" t="s">
        <v>271</v>
      </c>
      <c r="L525" s="39">
        <v>2</v>
      </c>
      <c r="M525" s="39">
        <v>1</v>
      </c>
      <c r="N525" s="40" t="s">
        <v>86</v>
      </c>
      <c r="O525" s="39"/>
      <c r="P525" s="39"/>
      <c r="Q525" s="39">
        <v>6</v>
      </c>
      <c r="R525" s="40" t="s">
        <v>95</v>
      </c>
      <c r="S525" s="41"/>
      <c r="T525" s="41"/>
      <c r="U525" s="41"/>
      <c r="V525" s="41"/>
      <c r="W525" s="41"/>
      <c r="X525" s="42" t="str">
        <f t="shared" si="324"/>
        <v>НТКад</v>
      </c>
      <c r="Y525" s="43" t="s">
        <v>87</v>
      </c>
      <c r="Z525" s="39"/>
      <c r="AA525" s="39"/>
      <c r="AB525" s="42">
        <f t="shared" si="325"/>
        <v>0</v>
      </c>
      <c r="AC525" s="39"/>
      <c r="AD525" s="39"/>
      <c r="AE525" s="44">
        <f t="shared" si="326"/>
        <v>12</v>
      </c>
      <c r="AF525" s="45">
        <f t="shared" si="327"/>
        <v>0</v>
      </c>
      <c r="AG525" s="45">
        <f t="shared" si="328"/>
        <v>0</v>
      </c>
      <c r="AH525" s="46" t="s">
        <v>82</v>
      </c>
      <c r="AI525" s="40" t="s">
        <v>115</v>
      </c>
      <c r="AJ525" s="40" t="s">
        <v>84</v>
      </c>
      <c r="AK525" s="47" t="s">
        <v>147</v>
      </c>
      <c r="AL525" s="40"/>
      <c r="AM525" s="48">
        <f t="shared" si="329"/>
        <v>0</v>
      </c>
      <c r="AN525" s="48">
        <f t="shared" si="330"/>
        <v>0</v>
      </c>
      <c r="AO525" s="48">
        <f t="shared" si="331"/>
        <v>0</v>
      </c>
      <c r="AP525" s="48">
        <f t="shared" si="332"/>
        <v>0</v>
      </c>
      <c r="AQ525" s="48">
        <f t="shared" si="333"/>
        <v>0</v>
      </c>
      <c r="AR525" s="48">
        <f t="shared" si="334"/>
        <v>0</v>
      </c>
      <c r="AS525" s="48">
        <f t="shared" si="335"/>
        <v>0</v>
      </c>
      <c r="AT525" s="48">
        <f t="shared" si="336"/>
        <v>0</v>
      </c>
      <c r="AU525" s="48">
        <f t="shared" si="337"/>
        <v>0</v>
      </c>
      <c r="AV525" s="48">
        <f t="shared" si="338"/>
        <v>0</v>
      </c>
      <c r="AW525" s="48">
        <f>IF(N525="ПП",РПП*AB525*(V525/1.5),IF(N525="ВП",ВПр*AB525*(V525/1.5),IF(N525="РПА",РПА*AB525*(V525/1.5),IF(N525="КПА",кпа*AB525*(V525/1.5),0))))</f>
        <v>0</v>
      </c>
      <c r="AX525" s="48">
        <f t="shared" si="339"/>
        <v>0</v>
      </c>
      <c r="AY525" s="48">
        <f t="shared" si="340"/>
        <v>0</v>
      </c>
      <c r="AZ525" s="48">
        <f t="shared" si="341"/>
        <v>0</v>
      </c>
      <c r="BA525" s="48">
        <f t="shared" si="342"/>
        <v>0</v>
      </c>
      <c r="BB525" s="48">
        <f t="shared" si="343"/>
        <v>0</v>
      </c>
      <c r="BC525" s="48">
        <f t="shared" si="344"/>
        <v>0</v>
      </c>
      <c r="BD525" s="48">
        <f t="shared" si="345"/>
        <v>0</v>
      </c>
      <c r="BE525" s="48">
        <f t="shared" si="346"/>
        <v>0</v>
      </c>
      <c r="BF525" s="49">
        <f t="shared" si="347"/>
        <v>0</v>
      </c>
      <c r="BG525" s="50"/>
      <c r="BH525" s="51">
        <f t="shared" si="348"/>
        <v>0</v>
      </c>
      <c r="BI525" s="51">
        <f t="shared" si="349"/>
        <v>0</v>
      </c>
      <c r="BJ525" s="51">
        <f t="shared" si="350"/>
        <v>0</v>
      </c>
      <c r="BK525" s="52">
        <f t="shared" si="351"/>
        <v>0</v>
      </c>
      <c r="BL525" s="52">
        <f t="shared" si="352"/>
        <v>0</v>
      </c>
      <c r="BM525" s="52">
        <f t="shared" si="353"/>
        <v>0</v>
      </c>
    </row>
    <row r="526" spans="1:65" ht="30" customHeight="1" x14ac:dyDescent="0.25">
      <c r="A526" s="31" t="str">
        <f t="shared" si="319"/>
        <v>Д</v>
      </c>
      <c r="B526" s="31" t="str">
        <f t="shared" si="320"/>
        <v>А</v>
      </c>
      <c r="C526" s="32" t="s">
        <v>270</v>
      </c>
      <c r="D526" s="33" t="str">
        <f t="shared" si="321"/>
        <v>Факультет физико-математических и естественных наук</v>
      </c>
      <c r="E526" s="34" t="str">
        <f t="shared" si="322"/>
        <v>'1.2.3.</v>
      </c>
      <c r="F526" s="35" t="str">
        <f t="shared" si="323"/>
        <v>Теоретическая информатика, кибернетика</v>
      </c>
      <c r="G526" s="36" t="s">
        <v>166</v>
      </c>
      <c r="H526" s="36" t="s">
        <v>77</v>
      </c>
      <c r="I526" s="37"/>
      <c r="J526" s="37"/>
      <c r="K526" s="38" t="s">
        <v>273</v>
      </c>
      <c r="L526" s="39">
        <v>3</v>
      </c>
      <c r="M526" s="39"/>
      <c r="N526" s="40" t="s">
        <v>274</v>
      </c>
      <c r="O526" s="39"/>
      <c r="P526" s="39"/>
      <c r="Q526" s="39"/>
      <c r="R526" s="40"/>
      <c r="S526" s="41"/>
      <c r="T526" s="41"/>
      <c r="U526" s="41"/>
      <c r="V526" s="41"/>
      <c r="W526" s="41"/>
      <c r="X526" s="42" t="str">
        <f t="shared" si="324"/>
        <v>НТКад</v>
      </c>
      <c r="Y526" s="43" t="s">
        <v>107</v>
      </c>
      <c r="Z526" s="39"/>
      <c r="AA526" s="39"/>
      <c r="AB526" s="42">
        <f t="shared" si="325"/>
        <v>1</v>
      </c>
      <c r="AC526" s="39">
        <v>1</v>
      </c>
      <c r="AD526" s="39"/>
      <c r="AE526" s="44">
        <f t="shared" si="326"/>
        <v>1</v>
      </c>
      <c r="AF526" s="45">
        <f t="shared" si="327"/>
        <v>1</v>
      </c>
      <c r="AG526" s="45">
        <f t="shared" si="328"/>
        <v>1</v>
      </c>
      <c r="AH526" s="46" t="s">
        <v>82</v>
      </c>
      <c r="AI526" s="40" t="s">
        <v>148</v>
      </c>
      <c r="AJ526" s="40"/>
      <c r="AK526" s="47" t="s">
        <v>149</v>
      </c>
      <c r="AL526" s="40"/>
      <c r="AM526" s="48">
        <f t="shared" si="329"/>
        <v>0</v>
      </c>
      <c r="AN526" s="48">
        <f t="shared" si="330"/>
        <v>0</v>
      </c>
      <c r="AO526" s="48">
        <f t="shared" si="331"/>
        <v>0</v>
      </c>
      <c r="AP526" s="48">
        <f t="shared" si="332"/>
        <v>0</v>
      </c>
      <c r="AQ526" s="48">
        <f t="shared" si="333"/>
        <v>0</v>
      </c>
      <c r="AR526" s="48">
        <f t="shared" si="334"/>
        <v>0</v>
      </c>
      <c r="AS526" s="48">
        <f t="shared" si="335"/>
        <v>0</v>
      </c>
      <c r="AT526" s="48">
        <f t="shared" si="336"/>
        <v>0</v>
      </c>
      <c r="AU526" s="48">
        <f t="shared" si="337"/>
        <v>0</v>
      </c>
      <c r="AV526" s="48">
        <f t="shared" si="338"/>
        <v>0</v>
      </c>
      <c r="AW526" s="48">
        <f>IF(N526="ПП",РПП*AB526*(V526/1.5),IF(N526="ВП",ВПр*AB526*(V526/1.5),IF(N526="РПА",РПА*AB526*(V526/1.5),IF(N526="КПА",кпа*AB526*(V526/1.5),0))))</f>
        <v>0</v>
      </c>
      <c r="AX526" s="48">
        <f t="shared" si="339"/>
        <v>0</v>
      </c>
      <c r="AY526" s="48">
        <f t="shared" si="340"/>
        <v>0</v>
      </c>
      <c r="AZ526" s="48">
        <f t="shared" si="341"/>
        <v>0</v>
      </c>
      <c r="BA526" s="48">
        <f t="shared" si="342"/>
        <v>0</v>
      </c>
      <c r="BB526" s="48">
        <f t="shared" si="343"/>
        <v>75</v>
      </c>
      <c r="BC526" s="48">
        <f t="shared" si="344"/>
        <v>0</v>
      </c>
      <c r="BD526" s="48">
        <f t="shared" si="345"/>
        <v>0</v>
      </c>
      <c r="BE526" s="48">
        <f t="shared" si="346"/>
        <v>0</v>
      </c>
      <c r="BF526" s="49">
        <f t="shared" si="347"/>
        <v>75</v>
      </c>
      <c r="BG526" s="50"/>
      <c r="BH526" s="51">
        <f t="shared" si="348"/>
        <v>0</v>
      </c>
      <c r="BI526" s="51">
        <f t="shared" si="349"/>
        <v>0</v>
      </c>
      <c r="BJ526" s="51">
        <f t="shared" si="350"/>
        <v>75</v>
      </c>
      <c r="BK526" s="52">
        <f t="shared" si="351"/>
        <v>0</v>
      </c>
      <c r="BL526" s="52">
        <f t="shared" si="352"/>
        <v>0</v>
      </c>
      <c r="BM526" s="52">
        <f t="shared" si="353"/>
        <v>0</v>
      </c>
    </row>
    <row r="527" spans="1:65" ht="30" customHeight="1" x14ac:dyDescent="0.25">
      <c r="A527" s="31" t="str">
        <f t="shared" si="319"/>
        <v>Д</v>
      </c>
      <c r="B527" s="31" t="str">
        <f t="shared" si="320"/>
        <v>А</v>
      </c>
      <c r="C527" s="32" t="s">
        <v>270</v>
      </c>
      <c r="D527" s="33" t="str">
        <f t="shared" si="321"/>
        <v>Факультет физико-математических и естественных наук</v>
      </c>
      <c r="E527" s="34" t="str">
        <f t="shared" si="322"/>
        <v>'1.2.3.</v>
      </c>
      <c r="F527" s="35" t="str">
        <f t="shared" si="323"/>
        <v>Теоретическая информатика, кибернетика</v>
      </c>
      <c r="G527" s="36" t="s">
        <v>153</v>
      </c>
      <c r="H527" s="36" t="s">
        <v>183</v>
      </c>
      <c r="I527" s="37"/>
      <c r="J527" s="37"/>
      <c r="K527" s="38" t="s">
        <v>275</v>
      </c>
      <c r="L527" s="39">
        <v>3</v>
      </c>
      <c r="M527" s="39"/>
      <c r="N527" s="40" t="s">
        <v>276</v>
      </c>
      <c r="O527" s="39"/>
      <c r="P527" s="39"/>
      <c r="Q527" s="39"/>
      <c r="R527" s="40"/>
      <c r="S527" s="41"/>
      <c r="T527" s="41"/>
      <c r="U527" s="41"/>
      <c r="V527" s="41">
        <v>2</v>
      </c>
      <c r="W527" s="41"/>
      <c r="X527" s="42" t="str">
        <f t="shared" si="324"/>
        <v>НТКад</v>
      </c>
      <c r="Y527" s="43" t="s">
        <v>107</v>
      </c>
      <c r="Z527" s="39"/>
      <c r="AA527" s="39">
        <v>1</v>
      </c>
      <c r="AB527" s="42">
        <f t="shared" si="325"/>
        <v>1</v>
      </c>
      <c r="AC527" s="39">
        <v>1</v>
      </c>
      <c r="AD527" s="39"/>
      <c r="AE527" s="44">
        <f t="shared" si="326"/>
        <v>1</v>
      </c>
      <c r="AF527" s="45">
        <f t="shared" si="327"/>
        <v>1</v>
      </c>
      <c r="AG527" s="45">
        <f t="shared" si="328"/>
        <v>1</v>
      </c>
      <c r="AH527" s="46" t="s">
        <v>82</v>
      </c>
      <c r="AI527" s="40" t="s">
        <v>112</v>
      </c>
      <c r="AJ527" s="40" t="s">
        <v>84</v>
      </c>
      <c r="AK527" s="47" t="s">
        <v>113</v>
      </c>
      <c r="AL527" s="40"/>
      <c r="AM527" s="48">
        <f t="shared" si="329"/>
        <v>0</v>
      </c>
      <c r="AN527" s="48">
        <f t="shared" si="330"/>
        <v>0</v>
      </c>
      <c r="AO527" s="48">
        <f t="shared" si="331"/>
        <v>0</v>
      </c>
      <c r="AP527" s="48">
        <f t="shared" si="332"/>
        <v>0</v>
      </c>
      <c r="AQ527" s="48">
        <f t="shared" si="333"/>
        <v>0</v>
      </c>
      <c r="AR527" s="48">
        <f t="shared" si="334"/>
        <v>0</v>
      </c>
      <c r="AS527" s="48">
        <f t="shared" si="335"/>
        <v>0</v>
      </c>
      <c r="AT527" s="48">
        <f t="shared" si="336"/>
        <v>0</v>
      </c>
      <c r="AU527" s="48">
        <f t="shared" si="337"/>
        <v>0</v>
      </c>
      <c r="AV527" s="48">
        <f t="shared" si="338"/>
        <v>0</v>
      </c>
      <c r="AW527" s="48">
        <f>IF(N527="ПП",РПП*AB527*(V527/1.5),IF(N527="ВП",ВПр*AB527*(V527/1.5),IF(N527="РПА",РПА*AB527*(V527/1.5),IF(N527="КПА",кпа*AB527*(V527/1.5),0))))</f>
        <v>2</v>
      </c>
      <c r="AX527" s="48">
        <f t="shared" si="339"/>
        <v>0</v>
      </c>
      <c r="AY527" s="48">
        <f t="shared" si="340"/>
        <v>0</v>
      </c>
      <c r="AZ527" s="48">
        <f t="shared" si="341"/>
        <v>0</v>
      </c>
      <c r="BA527" s="48">
        <f t="shared" si="342"/>
        <v>0</v>
      </c>
      <c r="BB527" s="48">
        <f t="shared" si="343"/>
        <v>0</v>
      </c>
      <c r="BC527" s="48">
        <f t="shared" si="344"/>
        <v>0</v>
      </c>
      <c r="BD527" s="48">
        <f t="shared" si="345"/>
        <v>0</v>
      </c>
      <c r="BE527" s="48">
        <f t="shared" si="346"/>
        <v>0</v>
      </c>
      <c r="BF527" s="49">
        <f t="shared" si="347"/>
        <v>2</v>
      </c>
      <c r="BG527" s="50"/>
      <c r="BH527" s="51">
        <f t="shared" si="348"/>
        <v>0</v>
      </c>
      <c r="BI527" s="51">
        <f t="shared" si="349"/>
        <v>0</v>
      </c>
      <c r="BJ527" s="51">
        <f t="shared" si="350"/>
        <v>2</v>
      </c>
      <c r="BK527" s="52">
        <f t="shared" si="351"/>
        <v>0</v>
      </c>
      <c r="BL527" s="52">
        <f t="shared" si="352"/>
        <v>0</v>
      </c>
      <c r="BM527" s="52">
        <f t="shared" si="353"/>
        <v>0</v>
      </c>
    </row>
    <row r="528" spans="1:65" ht="30" customHeight="1" x14ac:dyDescent="0.25">
      <c r="A528" s="31" t="str">
        <f t="shared" si="319"/>
        <v>Д</v>
      </c>
      <c r="B528" s="31" t="str">
        <f t="shared" si="320"/>
        <v>А</v>
      </c>
      <c r="C528" s="32" t="s">
        <v>270</v>
      </c>
      <c r="D528" s="33" t="str">
        <f t="shared" si="321"/>
        <v>Факультет физико-математических и естественных наук</v>
      </c>
      <c r="E528" s="34" t="str">
        <f t="shared" si="322"/>
        <v>'1.2.3.</v>
      </c>
      <c r="F528" s="35" t="str">
        <f t="shared" si="323"/>
        <v>Теоретическая информатика, кибернетика</v>
      </c>
      <c r="G528" s="36" t="s">
        <v>153</v>
      </c>
      <c r="H528" s="36" t="s">
        <v>183</v>
      </c>
      <c r="I528" s="37"/>
      <c r="J528" s="37"/>
      <c r="K528" s="38" t="s">
        <v>275</v>
      </c>
      <c r="L528" s="39">
        <v>4</v>
      </c>
      <c r="M528" s="39"/>
      <c r="N528" s="40" t="s">
        <v>276</v>
      </c>
      <c r="O528" s="39"/>
      <c r="P528" s="39"/>
      <c r="Q528" s="39"/>
      <c r="R528" s="40"/>
      <c r="S528" s="41"/>
      <c r="T528" s="41"/>
      <c r="U528" s="41"/>
      <c r="V528" s="41">
        <v>3</v>
      </c>
      <c r="W528" s="41"/>
      <c r="X528" s="42" t="str">
        <f t="shared" si="324"/>
        <v>НТКад</v>
      </c>
      <c r="Y528" s="43" t="s">
        <v>107</v>
      </c>
      <c r="Z528" s="39"/>
      <c r="AA528" s="39">
        <v>1</v>
      </c>
      <c r="AB528" s="42">
        <f t="shared" si="325"/>
        <v>1</v>
      </c>
      <c r="AC528" s="39">
        <v>1</v>
      </c>
      <c r="AD528" s="39"/>
      <c r="AE528" s="44">
        <f t="shared" si="326"/>
        <v>1</v>
      </c>
      <c r="AF528" s="45">
        <f t="shared" si="327"/>
        <v>1</v>
      </c>
      <c r="AG528" s="45">
        <f t="shared" si="328"/>
        <v>1</v>
      </c>
      <c r="AH528" s="46" t="s">
        <v>82</v>
      </c>
      <c r="AI528" s="40" t="s">
        <v>112</v>
      </c>
      <c r="AJ528" s="40" t="s">
        <v>84</v>
      </c>
      <c r="AK528" s="47" t="s">
        <v>113</v>
      </c>
      <c r="AL528" s="40"/>
      <c r="AM528" s="48">
        <f t="shared" si="329"/>
        <v>0</v>
      </c>
      <c r="AN528" s="48">
        <f t="shared" si="330"/>
        <v>0</v>
      </c>
      <c r="AO528" s="48">
        <f t="shared" si="331"/>
        <v>0</v>
      </c>
      <c r="AP528" s="48">
        <f t="shared" si="332"/>
        <v>0</v>
      </c>
      <c r="AQ528" s="48">
        <f t="shared" si="333"/>
        <v>0</v>
      </c>
      <c r="AR528" s="48">
        <f t="shared" si="334"/>
        <v>0</v>
      </c>
      <c r="AS528" s="48">
        <f t="shared" si="335"/>
        <v>0</v>
      </c>
      <c r="AT528" s="48">
        <f t="shared" si="336"/>
        <v>0</v>
      </c>
      <c r="AU528" s="48">
        <f t="shared" si="337"/>
        <v>0</v>
      </c>
      <c r="AV528" s="48">
        <f t="shared" si="338"/>
        <v>0</v>
      </c>
      <c r="AW528" s="48">
        <f>IF(N528="ПП",РПП*AB528*(V528/1.5),IF(N528="ВП",ВПр*AB528*(V528/1.5),IF(N528="РПА",РПА*AB528*(V528/1.5),IF(N528="КПА",кпа*AB528*(V528/1.5),0))))</f>
        <v>3</v>
      </c>
      <c r="AX528" s="48">
        <f t="shared" si="339"/>
        <v>0</v>
      </c>
      <c r="AY528" s="48">
        <f t="shared" si="340"/>
        <v>0</v>
      </c>
      <c r="AZ528" s="48">
        <f t="shared" si="341"/>
        <v>0</v>
      </c>
      <c r="BA528" s="48">
        <f t="shared" si="342"/>
        <v>0</v>
      </c>
      <c r="BB528" s="48">
        <f t="shared" si="343"/>
        <v>0</v>
      </c>
      <c r="BC528" s="48">
        <f t="shared" si="344"/>
        <v>0</v>
      </c>
      <c r="BD528" s="48">
        <f t="shared" si="345"/>
        <v>0</v>
      </c>
      <c r="BE528" s="48">
        <f t="shared" si="346"/>
        <v>0</v>
      </c>
      <c r="BF528" s="49">
        <f t="shared" si="347"/>
        <v>3</v>
      </c>
      <c r="BG528" s="50"/>
      <c r="BH528" s="51">
        <f t="shared" si="348"/>
        <v>0</v>
      </c>
      <c r="BI528" s="51">
        <f t="shared" si="349"/>
        <v>0</v>
      </c>
      <c r="BJ528" s="51">
        <f t="shared" si="350"/>
        <v>0</v>
      </c>
      <c r="BK528" s="52">
        <f t="shared" si="351"/>
        <v>0</v>
      </c>
      <c r="BL528" s="52">
        <f t="shared" si="352"/>
        <v>0</v>
      </c>
      <c r="BM528" s="52">
        <f t="shared" si="353"/>
        <v>3</v>
      </c>
    </row>
    <row r="529" spans="1:65" ht="30" customHeight="1" x14ac:dyDescent="0.25">
      <c r="A529" s="31" t="str">
        <f t="shared" si="319"/>
        <v>Д</v>
      </c>
      <c r="B529" s="31" t="str">
        <f t="shared" si="320"/>
        <v>А</v>
      </c>
      <c r="C529" s="32" t="s">
        <v>270</v>
      </c>
      <c r="D529" s="33" t="str">
        <f t="shared" si="321"/>
        <v>Факультет физико-математических и естественных наук</v>
      </c>
      <c r="E529" s="34" t="str">
        <f t="shared" si="322"/>
        <v>'1.2.3.</v>
      </c>
      <c r="F529" s="35" t="str">
        <f t="shared" si="323"/>
        <v>Теоретическая информатика, кибернетика</v>
      </c>
      <c r="G529" s="36" t="s">
        <v>153</v>
      </c>
      <c r="H529" s="36" t="s">
        <v>183</v>
      </c>
      <c r="I529" s="37"/>
      <c r="J529" s="37"/>
      <c r="K529" s="60" t="s">
        <v>277</v>
      </c>
      <c r="L529" s="39">
        <v>4</v>
      </c>
      <c r="M529" s="39"/>
      <c r="N529" s="40" t="s">
        <v>276</v>
      </c>
      <c r="O529" s="39"/>
      <c r="P529" s="39"/>
      <c r="Q529" s="39"/>
      <c r="R529" s="40"/>
      <c r="S529" s="41"/>
      <c r="T529" s="41"/>
      <c r="U529" s="41"/>
      <c r="V529" s="41">
        <v>1</v>
      </c>
      <c r="W529" s="41"/>
      <c r="X529" s="42" t="str">
        <f t="shared" si="324"/>
        <v>НТКад</v>
      </c>
      <c r="Y529" s="43" t="s">
        <v>107</v>
      </c>
      <c r="Z529" s="39"/>
      <c r="AA529" s="39">
        <v>1</v>
      </c>
      <c r="AB529" s="42">
        <f t="shared" si="325"/>
        <v>1</v>
      </c>
      <c r="AC529" s="39">
        <v>1</v>
      </c>
      <c r="AD529" s="39"/>
      <c r="AE529" s="44">
        <f t="shared" si="326"/>
        <v>1</v>
      </c>
      <c r="AF529" s="45">
        <f t="shared" si="327"/>
        <v>1</v>
      </c>
      <c r="AG529" s="45">
        <f t="shared" si="328"/>
        <v>1</v>
      </c>
      <c r="AH529" s="46" t="s">
        <v>82</v>
      </c>
      <c r="AI529" s="40" t="s">
        <v>112</v>
      </c>
      <c r="AJ529" s="40" t="s">
        <v>84</v>
      </c>
      <c r="AK529" s="47" t="s">
        <v>113</v>
      </c>
      <c r="AL529" s="40"/>
      <c r="AM529" s="48">
        <f t="shared" si="329"/>
        <v>0</v>
      </c>
      <c r="AN529" s="48">
        <f t="shared" si="330"/>
        <v>0</v>
      </c>
      <c r="AO529" s="48">
        <f t="shared" si="331"/>
        <v>0</v>
      </c>
      <c r="AP529" s="48">
        <f t="shared" si="332"/>
        <v>0</v>
      </c>
      <c r="AQ529" s="48">
        <f t="shared" si="333"/>
        <v>0</v>
      </c>
      <c r="AR529" s="48">
        <f t="shared" si="334"/>
        <v>0</v>
      </c>
      <c r="AS529" s="48">
        <f t="shared" si="335"/>
        <v>0</v>
      </c>
      <c r="AT529" s="48">
        <f t="shared" si="336"/>
        <v>0</v>
      </c>
      <c r="AU529" s="48">
        <f t="shared" si="337"/>
        <v>0</v>
      </c>
      <c r="AV529" s="48">
        <f t="shared" si="338"/>
        <v>0</v>
      </c>
      <c r="AW529" s="48">
        <f>IF(N529="ПП",РПП*AB529*(V529/1.5),IF(N529="ВП",ВПр*AB529*(V529/1.5),IF(N529="РПА",РПА*AB529*(V529/1.5),IF(N529="КПА",кпа*AB529*(V529/1.5),0))))</f>
        <v>1</v>
      </c>
      <c r="AX529" s="48">
        <f t="shared" si="339"/>
        <v>0</v>
      </c>
      <c r="AY529" s="48">
        <f t="shared" si="340"/>
        <v>0</v>
      </c>
      <c r="AZ529" s="48">
        <f t="shared" si="341"/>
        <v>0</v>
      </c>
      <c r="BA529" s="48">
        <f t="shared" si="342"/>
        <v>0</v>
      </c>
      <c r="BB529" s="48">
        <f t="shared" si="343"/>
        <v>0</v>
      </c>
      <c r="BC529" s="48">
        <f t="shared" si="344"/>
        <v>0</v>
      </c>
      <c r="BD529" s="48">
        <f t="shared" si="345"/>
        <v>0</v>
      </c>
      <c r="BE529" s="48">
        <f t="shared" si="346"/>
        <v>0</v>
      </c>
      <c r="BF529" s="49">
        <f t="shared" si="347"/>
        <v>1</v>
      </c>
      <c r="BG529" s="50"/>
      <c r="BH529" s="51">
        <f t="shared" si="348"/>
        <v>0</v>
      </c>
      <c r="BI529" s="51">
        <f t="shared" si="349"/>
        <v>0</v>
      </c>
      <c r="BJ529" s="51">
        <f t="shared" si="350"/>
        <v>0</v>
      </c>
      <c r="BK529" s="52">
        <f t="shared" si="351"/>
        <v>0</v>
      </c>
      <c r="BL529" s="52">
        <f t="shared" si="352"/>
        <v>0</v>
      </c>
      <c r="BM529" s="52">
        <f t="shared" si="353"/>
        <v>1</v>
      </c>
    </row>
    <row r="530" spans="1:65" ht="30" customHeight="1" x14ac:dyDescent="0.25">
      <c r="A530" s="31" t="str">
        <f t="shared" si="319"/>
        <v>Д</v>
      </c>
      <c r="B530" s="31" t="str">
        <f t="shared" si="320"/>
        <v>А</v>
      </c>
      <c r="C530" s="32" t="s">
        <v>270</v>
      </c>
      <c r="D530" s="33" t="str">
        <f t="shared" si="321"/>
        <v>Факультет физико-математических и естественных наук</v>
      </c>
      <c r="E530" s="34" t="str">
        <f t="shared" si="322"/>
        <v>'1.2.3.</v>
      </c>
      <c r="F530" s="35" t="str">
        <f t="shared" si="323"/>
        <v>Теоретическая информатика, кибернетика</v>
      </c>
      <c r="G530" s="36" t="s">
        <v>166</v>
      </c>
      <c r="H530" s="36" t="s">
        <v>183</v>
      </c>
      <c r="I530" s="37"/>
      <c r="J530" s="37"/>
      <c r="K530" s="38" t="s">
        <v>273</v>
      </c>
      <c r="L530" s="39">
        <v>4</v>
      </c>
      <c r="M530" s="39"/>
      <c r="N530" s="40" t="s">
        <v>274</v>
      </c>
      <c r="O530" s="39"/>
      <c r="P530" s="39"/>
      <c r="Q530" s="39"/>
      <c r="R530" s="40"/>
      <c r="S530" s="41"/>
      <c r="T530" s="41"/>
      <c r="U530" s="41"/>
      <c r="V530" s="41"/>
      <c r="W530" s="41"/>
      <c r="X530" s="42" t="str">
        <f t="shared" si="324"/>
        <v>НТКад</v>
      </c>
      <c r="Y530" s="43" t="s">
        <v>107</v>
      </c>
      <c r="Z530" s="39"/>
      <c r="AA530" s="39">
        <v>1</v>
      </c>
      <c r="AB530" s="42">
        <f t="shared" si="325"/>
        <v>1</v>
      </c>
      <c r="AC530" s="39">
        <v>1</v>
      </c>
      <c r="AD530" s="39">
        <v>0</v>
      </c>
      <c r="AE530" s="44">
        <f t="shared" si="326"/>
        <v>1</v>
      </c>
      <c r="AF530" s="45">
        <f t="shared" si="327"/>
        <v>1</v>
      </c>
      <c r="AG530" s="45">
        <f t="shared" si="328"/>
        <v>1</v>
      </c>
      <c r="AH530" s="46" t="s">
        <v>82</v>
      </c>
      <c r="AI530" s="40" t="s">
        <v>148</v>
      </c>
      <c r="AJ530" s="40"/>
      <c r="AK530" s="47" t="s">
        <v>149</v>
      </c>
      <c r="AL530" s="40"/>
      <c r="AM530" s="48">
        <f t="shared" si="329"/>
        <v>0</v>
      </c>
      <c r="AN530" s="48">
        <f t="shared" si="330"/>
        <v>0</v>
      </c>
      <c r="AO530" s="48">
        <f t="shared" si="331"/>
        <v>0</v>
      </c>
      <c r="AP530" s="48">
        <f t="shared" si="332"/>
        <v>0</v>
      </c>
      <c r="AQ530" s="48">
        <f t="shared" si="333"/>
        <v>0</v>
      </c>
      <c r="AR530" s="48">
        <f t="shared" si="334"/>
        <v>0</v>
      </c>
      <c r="AS530" s="48">
        <f t="shared" si="335"/>
        <v>0</v>
      </c>
      <c r="AT530" s="48">
        <f t="shared" si="336"/>
        <v>0</v>
      </c>
      <c r="AU530" s="48">
        <f t="shared" si="337"/>
        <v>0</v>
      </c>
      <c r="AV530" s="48">
        <f t="shared" si="338"/>
        <v>0</v>
      </c>
      <c r="AW530" s="48">
        <f>IF(N530="ПП",РПП*AB530*(V530/1.5),IF(N530="ВП",ВПр*AB530*(V530/1.5),IF(N530="РПА",РПА*AB530*(V530/1.5),IF(N530="КПА",кпа*AB530*(V530/1.5),0))))</f>
        <v>0</v>
      </c>
      <c r="AX530" s="48">
        <f t="shared" si="339"/>
        <v>0</v>
      </c>
      <c r="AY530" s="48">
        <f t="shared" si="340"/>
        <v>0</v>
      </c>
      <c r="AZ530" s="48">
        <f t="shared" si="341"/>
        <v>0</v>
      </c>
      <c r="BA530" s="48">
        <f t="shared" si="342"/>
        <v>0</v>
      </c>
      <c r="BB530" s="48">
        <f t="shared" si="343"/>
        <v>75</v>
      </c>
      <c r="BC530" s="48">
        <f t="shared" si="344"/>
        <v>0</v>
      </c>
      <c r="BD530" s="48">
        <f t="shared" si="345"/>
        <v>0</v>
      </c>
      <c r="BE530" s="48">
        <f t="shared" si="346"/>
        <v>0</v>
      </c>
      <c r="BF530" s="49">
        <f t="shared" si="347"/>
        <v>75</v>
      </c>
      <c r="BG530" s="50"/>
      <c r="BH530" s="51">
        <f t="shared" si="348"/>
        <v>0</v>
      </c>
      <c r="BI530" s="51">
        <f t="shared" si="349"/>
        <v>0</v>
      </c>
      <c r="BJ530" s="51">
        <f t="shared" si="350"/>
        <v>0</v>
      </c>
      <c r="BK530" s="52">
        <f t="shared" si="351"/>
        <v>0</v>
      </c>
      <c r="BL530" s="52">
        <f t="shared" si="352"/>
        <v>0</v>
      </c>
      <c r="BM530" s="52">
        <f t="shared" si="353"/>
        <v>75</v>
      </c>
    </row>
    <row r="531" spans="1:65" ht="30" customHeight="1" x14ac:dyDescent="0.25">
      <c r="A531" s="31" t="str">
        <f t="shared" si="319"/>
        <v>Д</v>
      </c>
      <c r="B531" s="31" t="str">
        <f t="shared" si="320"/>
        <v>А</v>
      </c>
      <c r="C531" s="32" t="s">
        <v>270</v>
      </c>
      <c r="D531" s="33" t="str">
        <f t="shared" si="321"/>
        <v>Факультет физико-математических и естественных наук</v>
      </c>
      <c r="E531" s="34" t="str">
        <f t="shared" si="322"/>
        <v>'1.2.3.</v>
      </c>
      <c r="F531" s="35" t="str">
        <f t="shared" si="323"/>
        <v>Теоретическая информатика, кибернетика</v>
      </c>
      <c r="G531" s="36" t="s">
        <v>166</v>
      </c>
      <c r="H531" s="36" t="s">
        <v>183</v>
      </c>
      <c r="I531" s="37"/>
      <c r="J531" s="37"/>
      <c r="K531" s="38" t="s">
        <v>273</v>
      </c>
      <c r="L531" s="39">
        <v>5</v>
      </c>
      <c r="M531" s="39"/>
      <c r="N531" s="40" t="s">
        <v>274</v>
      </c>
      <c r="O531" s="39"/>
      <c r="P531" s="39"/>
      <c r="Q531" s="39"/>
      <c r="R531" s="40"/>
      <c r="S531" s="41"/>
      <c r="T531" s="41"/>
      <c r="U531" s="41"/>
      <c r="V531" s="41"/>
      <c r="W531" s="41"/>
      <c r="X531" s="42" t="str">
        <f t="shared" si="324"/>
        <v>НТКад</v>
      </c>
      <c r="Y531" s="43" t="s">
        <v>128</v>
      </c>
      <c r="Z531" s="39"/>
      <c r="AA531" s="39">
        <v>1</v>
      </c>
      <c r="AB531" s="42">
        <f t="shared" si="325"/>
        <v>3</v>
      </c>
      <c r="AC531" s="39">
        <v>3</v>
      </c>
      <c r="AD531" s="39"/>
      <c r="AE531" s="44">
        <f t="shared" si="326"/>
        <v>1</v>
      </c>
      <c r="AF531" s="45">
        <f t="shared" si="327"/>
        <v>1</v>
      </c>
      <c r="AG531" s="45">
        <f t="shared" si="328"/>
        <v>3</v>
      </c>
      <c r="AH531" s="46" t="s">
        <v>82</v>
      </c>
      <c r="AI531" s="40" t="s">
        <v>148</v>
      </c>
      <c r="AJ531" s="40"/>
      <c r="AK531" s="47" t="s">
        <v>149</v>
      </c>
      <c r="AL531" s="40"/>
      <c r="AM531" s="48">
        <f t="shared" si="329"/>
        <v>0</v>
      </c>
      <c r="AN531" s="48">
        <f t="shared" si="330"/>
        <v>0</v>
      </c>
      <c r="AO531" s="48">
        <f t="shared" si="331"/>
        <v>0</v>
      </c>
      <c r="AP531" s="48">
        <f t="shared" si="332"/>
        <v>0</v>
      </c>
      <c r="AQ531" s="48">
        <f t="shared" si="333"/>
        <v>0</v>
      </c>
      <c r="AR531" s="48">
        <f t="shared" si="334"/>
        <v>0</v>
      </c>
      <c r="AS531" s="48">
        <f t="shared" si="335"/>
        <v>0</v>
      </c>
      <c r="AT531" s="48">
        <f t="shared" si="336"/>
        <v>0</v>
      </c>
      <c r="AU531" s="48">
        <f t="shared" si="337"/>
        <v>0</v>
      </c>
      <c r="AV531" s="48">
        <f t="shared" si="338"/>
        <v>0</v>
      </c>
      <c r="AW531" s="48">
        <f>IF(N531="ПП",РПП*AB531*(V531/1.5),IF(N531="ВП",ВПр*AB531*(V531/1.5),IF(N531="РПА",РПА*AB531*(V531/1.5),IF(N531="КПА",кпа*AB531*(V531/1.5),0))))</f>
        <v>0</v>
      </c>
      <c r="AX531" s="48">
        <f t="shared" si="339"/>
        <v>0</v>
      </c>
      <c r="AY531" s="48">
        <f t="shared" si="340"/>
        <v>0</v>
      </c>
      <c r="AZ531" s="48">
        <f t="shared" si="341"/>
        <v>0</v>
      </c>
      <c r="BA531" s="48">
        <f t="shared" si="342"/>
        <v>0</v>
      </c>
      <c r="BB531" s="48">
        <f t="shared" si="343"/>
        <v>225</v>
      </c>
      <c r="BC531" s="48">
        <f t="shared" si="344"/>
        <v>0</v>
      </c>
      <c r="BD531" s="48">
        <f t="shared" si="345"/>
        <v>0</v>
      </c>
      <c r="BE531" s="48">
        <f t="shared" si="346"/>
        <v>0</v>
      </c>
      <c r="BF531" s="49">
        <f t="shared" si="347"/>
        <v>225</v>
      </c>
      <c r="BG531" s="50"/>
      <c r="BH531" s="51">
        <f t="shared" si="348"/>
        <v>0</v>
      </c>
      <c r="BI531" s="51">
        <f t="shared" si="349"/>
        <v>0</v>
      </c>
      <c r="BJ531" s="51">
        <f t="shared" si="350"/>
        <v>225</v>
      </c>
      <c r="BK531" s="52">
        <f t="shared" si="351"/>
        <v>0</v>
      </c>
      <c r="BL531" s="52">
        <f t="shared" si="352"/>
        <v>0</v>
      </c>
      <c r="BM531" s="52">
        <f t="shared" si="353"/>
        <v>0</v>
      </c>
    </row>
    <row r="532" spans="1:65" ht="30" customHeight="1" x14ac:dyDescent="0.25">
      <c r="A532" s="31" t="str">
        <f t="shared" si="319"/>
        <v>Д</v>
      </c>
      <c r="B532" s="31" t="str">
        <f t="shared" si="320"/>
        <v>А</v>
      </c>
      <c r="C532" s="32" t="s">
        <v>270</v>
      </c>
      <c r="D532" s="33" t="str">
        <f t="shared" si="321"/>
        <v>Факультет физико-математических и естественных наук</v>
      </c>
      <c r="E532" s="34" t="str">
        <f t="shared" si="322"/>
        <v>'1.2.3.</v>
      </c>
      <c r="F532" s="35" t="str">
        <f t="shared" si="323"/>
        <v>Теоретическая информатика, кибернетика</v>
      </c>
      <c r="G532" s="36" t="s">
        <v>166</v>
      </c>
      <c r="H532" s="36" t="s">
        <v>183</v>
      </c>
      <c r="I532" s="37"/>
      <c r="J532" s="37"/>
      <c r="K532" s="38" t="s">
        <v>273</v>
      </c>
      <c r="L532" s="39">
        <v>6</v>
      </c>
      <c r="M532" s="39"/>
      <c r="N532" s="40" t="s">
        <v>274</v>
      </c>
      <c r="O532" s="39"/>
      <c r="P532" s="39"/>
      <c r="Q532" s="39"/>
      <c r="R532" s="40"/>
      <c r="S532" s="41"/>
      <c r="T532" s="41"/>
      <c r="U532" s="41"/>
      <c r="V532" s="41"/>
      <c r="W532" s="41"/>
      <c r="X532" s="42" t="str">
        <f t="shared" si="324"/>
        <v>НТКад</v>
      </c>
      <c r="Y532" s="43" t="s">
        <v>161</v>
      </c>
      <c r="Z532" s="39"/>
      <c r="AA532" s="39">
        <v>1</v>
      </c>
      <c r="AB532" s="42">
        <f t="shared" si="325"/>
        <v>1</v>
      </c>
      <c r="AC532" s="39">
        <v>1</v>
      </c>
      <c r="AD532" s="39"/>
      <c r="AE532" s="44">
        <f t="shared" si="326"/>
        <v>1</v>
      </c>
      <c r="AF532" s="45">
        <f t="shared" si="327"/>
        <v>1</v>
      </c>
      <c r="AG532" s="45">
        <f t="shared" si="328"/>
        <v>1</v>
      </c>
      <c r="AH532" s="46" t="s">
        <v>82</v>
      </c>
      <c r="AI532" s="40" t="s">
        <v>148</v>
      </c>
      <c r="AJ532" s="40"/>
      <c r="AK532" s="47" t="s">
        <v>149</v>
      </c>
      <c r="AL532" s="40"/>
      <c r="AM532" s="48">
        <f t="shared" si="329"/>
        <v>0</v>
      </c>
      <c r="AN532" s="48">
        <f t="shared" si="330"/>
        <v>0</v>
      </c>
      <c r="AO532" s="48">
        <f t="shared" si="331"/>
        <v>0</v>
      </c>
      <c r="AP532" s="48">
        <f t="shared" si="332"/>
        <v>0</v>
      </c>
      <c r="AQ532" s="48">
        <f t="shared" si="333"/>
        <v>0</v>
      </c>
      <c r="AR532" s="48">
        <f t="shared" si="334"/>
        <v>0</v>
      </c>
      <c r="AS532" s="48">
        <f t="shared" si="335"/>
        <v>0</v>
      </c>
      <c r="AT532" s="48">
        <f t="shared" si="336"/>
        <v>0</v>
      </c>
      <c r="AU532" s="48">
        <f t="shared" si="337"/>
        <v>0</v>
      </c>
      <c r="AV532" s="48">
        <f t="shared" si="338"/>
        <v>0</v>
      </c>
      <c r="AW532" s="48">
        <f>IF(N532="ПП",РПП*AB532*(V532/1.5),IF(N532="ВП",ВПр*AB532*(V532/1.5),IF(N532="РПА",РПА*AB532*(V532/1.5),IF(N532="КПА",кпа*AB532*(V532/1.5),0))))</f>
        <v>0</v>
      </c>
      <c r="AX532" s="48">
        <f t="shared" si="339"/>
        <v>0</v>
      </c>
      <c r="AY532" s="48">
        <f t="shared" si="340"/>
        <v>0</v>
      </c>
      <c r="AZ532" s="48">
        <f t="shared" si="341"/>
        <v>0</v>
      </c>
      <c r="BA532" s="48">
        <f t="shared" si="342"/>
        <v>0</v>
      </c>
      <c r="BB532" s="48">
        <f t="shared" si="343"/>
        <v>75</v>
      </c>
      <c r="BC532" s="48">
        <f t="shared" si="344"/>
        <v>0</v>
      </c>
      <c r="BD532" s="48">
        <f t="shared" si="345"/>
        <v>0</v>
      </c>
      <c r="BE532" s="48">
        <f t="shared" si="346"/>
        <v>0</v>
      </c>
      <c r="BF532" s="49">
        <f t="shared" si="347"/>
        <v>75</v>
      </c>
      <c r="BG532" s="50"/>
      <c r="BH532" s="51">
        <f t="shared" si="348"/>
        <v>0</v>
      </c>
      <c r="BI532" s="51">
        <f t="shared" si="349"/>
        <v>0</v>
      </c>
      <c r="BJ532" s="51">
        <f t="shared" si="350"/>
        <v>0</v>
      </c>
      <c r="BK532" s="52">
        <f t="shared" si="351"/>
        <v>0</v>
      </c>
      <c r="BL532" s="52">
        <f t="shared" si="352"/>
        <v>0</v>
      </c>
      <c r="BM532" s="52">
        <f t="shared" si="353"/>
        <v>75</v>
      </c>
    </row>
    <row r="533" spans="1:65" ht="30" customHeight="1" x14ac:dyDescent="0.25">
      <c r="A533" s="31" t="str">
        <f t="shared" si="319"/>
        <v>Д</v>
      </c>
      <c r="B533" s="31" t="str">
        <f t="shared" si="320"/>
        <v>А</v>
      </c>
      <c r="C533" s="62" t="s">
        <v>280</v>
      </c>
      <c r="D533" s="33" t="str">
        <f t="shared" si="321"/>
        <v>Факультет физико-математических и естественных наук</v>
      </c>
      <c r="E533" s="34" t="str">
        <f t="shared" si="322"/>
        <v>'2.3.1.</v>
      </c>
      <c r="F533" s="35" t="str">
        <f t="shared" si="323"/>
        <v>Системный анализ, управление и обработка информации, статистика</v>
      </c>
      <c r="G533" s="36" t="s">
        <v>76</v>
      </c>
      <c r="H533" s="36"/>
      <c r="I533" s="37"/>
      <c r="J533" s="37"/>
      <c r="K533" s="38" t="s">
        <v>271</v>
      </c>
      <c r="L533" s="39">
        <v>2</v>
      </c>
      <c r="M533" s="39">
        <v>1</v>
      </c>
      <c r="N533" s="40" t="s">
        <v>79</v>
      </c>
      <c r="O533" s="39">
        <v>12</v>
      </c>
      <c r="P533" s="39"/>
      <c r="Q533" s="39"/>
      <c r="R533" s="40"/>
      <c r="S533" s="41"/>
      <c r="T533" s="41"/>
      <c r="U533" s="41"/>
      <c r="V533" s="41"/>
      <c r="W533" s="41"/>
      <c r="X533" s="42" t="str">
        <f t="shared" si="324"/>
        <v>НСАад</v>
      </c>
      <c r="Y533" s="43" t="s">
        <v>87</v>
      </c>
      <c r="Z533" s="39"/>
      <c r="AA533" s="39">
        <v>1</v>
      </c>
      <c r="AB533" s="42">
        <f t="shared" si="325"/>
        <v>0</v>
      </c>
      <c r="AC533" s="39"/>
      <c r="AD533" s="39"/>
      <c r="AE533" s="44">
        <f t="shared" si="326"/>
        <v>0</v>
      </c>
      <c r="AF533" s="45" t="e">
        <f t="shared" si="327"/>
        <v>#DIV/0!</v>
      </c>
      <c r="AG533" s="45" t="e">
        <f t="shared" si="328"/>
        <v>#DIV/0!</v>
      </c>
      <c r="AH533" s="46" t="s">
        <v>82</v>
      </c>
      <c r="AI533" s="40" t="s">
        <v>115</v>
      </c>
      <c r="AJ533" s="40" t="s">
        <v>84</v>
      </c>
      <c r="AK533" s="47" t="s">
        <v>147</v>
      </c>
      <c r="AL533" s="40"/>
      <c r="AM533" s="48">
        <f t="shared" si="329"/>
        <v>0</v>
      </c>
      <c r="AN533" s="48">
        <f t="shared" si="330"/>
        <v>0</v>
      </c>
      <c r="AO533" s="48">
        <f t="shared" si="331"/>
        <v>0</v>
      </c>
      <c r="AP533" s="48">
        <f t="shared" si="332"/>
        <v>0</v>
      </c>
      <c r="AQ533" s="48">
        <f t="shared" si="333"/>
        <v>0</v>
      </c>
      <c r="AR533" s="48">
        <f t="shared" si="334"/>
        <v>0</v>
      </c>
      <c r="AS533" s="48">
        <f t="shared" si="335"/>
        <v>0</v>
      </c>
      <c r="AT533" s="48">
        <f t="shared" si="336"/>
        <v>0</v>
      </c>
      <c r="AU533" s="48">
        <f t="shared" si="337"/>
        <v>0</v>
      </c>
      <c r="AV533" s="48">
        <f t="shared" si="338"/>
        <v>0</v>
      </c>
      <c r="AW533" s="48">
        <f>IF(N533="ПП",РПП*AB533*(V533/1.5),IF(N533="ВП",ВПр*AB533*(V533/1.5),IF(N533="РПА",РПА*AB533*(V533/1.5),IF(N533="КПА",кпа*AB533*(V533/1.5),0))))</f>
        <v>0</v>
      </c>
      <c r="AX533" s="48">
        <f t="shared" si="339"/>
        <v>0</v>
      </c>
      <c r="AY533" s="48">
        <f t="shared" si="340"/>
        <v>0</v>
      </c>
      <c r="AZ533" s="48">
        <f t="shared" si="341"/>
        <v>0</v>
      </c>
      <c r="BA533" s="48">
        <f t="shared" si="342"/>
        <v>0</v>
      </c>
      <c r="BB533" s="48">
        <f t="shared" si="343"/>
        <v>0</v>
      </c>
      <c r="BC533" s="48">
        <f t="shared" si="344"/>
        <v>0</v>
      </c>
      <c r="BD533" s="48">
        <f t="shared" si="345"/>
        <v>0</v>
      </c>
      <c r="BE533" s="48">
        <f t="shared" si="346"/>
        <v>0</v>
      </c>
      <c r="BF533" s="49">
        <f t="shared" si="347"/>
        <v>0</v>
      </c>
      <c r="BG533" s="50"/>
      <c r="BH533" s="51">
        <f t="shared" si="348"/>
        <v>0</v>
      </c>
      <c r="BI533" s="51">
        <f t="shared" si="349"/>
        <v>0</v>
      </c>
      <c r="BJ533" s="51">
        <f t="shared" si="350"/>
        <v>0</v>
      </c>
      <c r="BK533" s="52">
        <f t="shared" si="351"/>
        <v>0</v>
      </c>
      <c r="BL533" s="52">
        <f t="shared" si="352"/>
        <v>0</v>
      </c>
      <c r="BM533" s="52">
        <f t="shared" si="353"/>
        <v>0</v>
      </c>
    </row>
    <row r="534" spans="1:65" ht="30" customHeight="1" x14ac:dyDescent="0.25">
      <c r="A534" s="31" t="str">
        <f t="shared" si="319"/>
        <v>Д</v>
      </c>
      <c r="B534" s="31" t="str">
        <f t="shared" si="320"/>
        <v>А</v>
      </c>
      <c r="C534" s="62" t="s">
        <v>280</v>
      </c>
      <c r="D534" s="33" t="str">
        <f t="shared" si="321"/>
        <v>Факультет физико-математических и естественных наук</v>
      </c>
      <c r="E534" s="34" t="str">
        <f t="shared" si="322"/>
        <v>'2.3.1.</v>
      </c>
      <c r="F534" s="35" t="str">
        <f t="shared" si="323"/>
        <v>Системный анализ, управление и обработка информации, статистика</v>
      </c>
      <c r="G534" s="36" t="s">
        <v>76</v>
      </c>
      <c r="H534" s="36"/>
      <c r="I534" s="37"/>
      <c r="J534" s="37"/>
      <c r="K534" s="38" t="s">
        <v>271</v>
      </c>
      <c r="L534" s="39">
        <v>2</v>
      </c>
      <c r="M534" s="39">
        <v>1</v>
      </c>
      <c r="N534" s="40" t="s">
        <v>86</v>
      </c>
      <c r="O534" s="39"/>
      <c r="P534" s="39"/>
      <c r="Q534" s="39">
        <v>6</v>
      </c>
      <c r="R534" s="40"/>
      <c r="S534" s="41"/>
      <c r="T534" s="41"/>
      <c r="U534" s="41"/>
      <c r="V534" s="41"/>
      <c r="W534" s="41"/>
      <c r="X534" s="42" t="str">
        <f t="shared" si="324"/>
        <v>НСАад</v>
      </c>
      <c r="Y534" s="43" t="s">
        <v>87</v>
      </c>
      <c r="Z534" s="39"/>
      <c r="AA534" s="39">
        <v>1</v>
      </c>
      <c r="AB534" s="42">
        <f t="shared" si="325"/>
        <v>0</v>
      </c>
      <c r="AC534" s="39"/>
      <c r="AD534" s="39"/>
      <c r="AE534" s="44">
        <f t="shared" si="326"/>
        <v>12</v>
      </c>
      <c r="AF534" s="45">
        <f t="shared" si="327"/>
        <v>0</v>
      </c>
      <c r="AG534" s="45">
        <f t="shared" si="328"/>
        <v>0</v>
      </c>
      <c r="AH534" s="46" t="s">
        <v>82</v>
      </c>
      <c r="AI534" s="40" t="s">
        <v>115</v>
      </c>
      <c r="AJ534" s="40" t="s">
        <v>84</v>
      </c>
      <c r="AK534" s="47" t="s">
        <v>147</v>
      </c>
      <c r="AL534" s="40"/>
      <c r="AM534" s="48">
        <f t="shared" si="329"/>
        <v>0</v>
      </c>
      <c r="AN534" s="48">
        <f t="shared" si="330"/>
        <v>0</v>
      </c>
      <c r="AO534" s="48">
        <f t="shared" si="331"/>
        <v>0</v>
      </c>
      <c r="AP534" s="48">
        <f t="shared" si="332"/>
        <v>0</v>
      </c>
      <c r="AQ534" s="48">
        <f t="shared" si="333"/>
        <v>0</v>
      </c>
      <c r="AR534" s="48">
        <f t="shared" si="334"/>
        <v>0</v>
      </c>
      <c r="AS534" s="48">
        <f t="shared" si="335"/>
        <v>0</v>
      </c>
      <c r="AT534" s="48">
        <f t="shared" si="336"/>
        <v>0</v>
      </c>
      <c r="AU534" s="48">
        <f t="shared" si="337"/>
        <v>0</v>
      </c>
      <c r="AV534" s="48">
        <f t="shared" si="338"/>
        <v>0</v>
      </c>
      <c r="AW534" s="48">
        <f>IF(N534="ПП",РПП*AB534*(V534/1.5),IF(N534="ВП",ВПр*AB534*(V534/1.5),IF(N534="РПА",РПА*AB534*(V534/1.5),IF(N534="КПА",кпа*AB534*(V534/1.5),0))))</f>
        <v>0</v>
      </c>
      <c r="AX534" s="48">
        <f t="shared" si="339"/>
        <v>0</v>
      </c>
      <c r="AY534" s="48">
        <f t="shared" si="340"/>
        <v>0</v>
      </c>
      <c r="AZ534" s="48">
        <f t="shared" si="341"/>
        <v>0</v>
      </c>
      <c r="BA534" s="48">
        <f t="shared" si="342"/>
        <v>0</v>
      </c>
      <c r="BB534" s="48">
        <f t="shared" si="343"/>
        <v>0</v>
      </c>
      <c r="BC534" s="48">
        <f t="shared" si="344"/>
        <v>0</v>
      </c>
      <c r="BD534" s="48">
        <f t="shared" si="345"/>
        <v>0</v>
      </c>
      <c r="BE534" s="48">
        <f t="shared" si="346"/>
        <v>0</v>
      </c>
      <c r="BF534" s="49">
        <f t="shared" si="347"/>
        <v>0</v>
      </c>
      <c r="BG534" s="50"/>
      <c r="BH534" s="51">
        <f t="shared" si="348"/>
        <v>0</v>
      </c>
      <c r="BI534" s="51">
        <f t="shared" si="349"/>
        <v>0</v>
      </c>
      <c r="BJ534" s="51">
        <f t="shared" si="350"/>
        <v>0</v>
      </c>
      <c r="BK534" s="52">
        <f t="shared" si="351"/>
        <v>0</v>
      </c>
      <c r="BL534" s="52">
        <f t="shared" si="352"/>
        <v>0</v>
      </c>
      <c r="BM534" s="52">
        <f t="shared" si="353"/>
        <v>0</v>
      </c>
    </row>
    <row r="535" spans="1:65" ht="30" customHeight="1" x14ac:dyDescent="0.25">
      <c r="A535" s="31" t="str">
        <f t="shared" si="319"/>
        <v>Д</v>
      </c>
      <c r="B535" s="31" t="str">
        <f t="shared" si="320"/>
        <v>А</v>
      </c>
      <c r="C535" s="62" t="s">
        <v>280</v>
      </c>
      <c r="D535" s="33" t="str">
        <f t="shared" si="321"/>
        <v>Факультет физико-математических и естественных наук</v>
      </c>
      <c r="E535" s="34" t="str">
        <f t="shared" si="322"/>
        <v>'2.3.1.</v>
      </c>
      <c r="F535" s="35" t="str">
        <f t="shared" si="323"/>
        <v>Системный анализ, управление и обработка информации, статистика</v>
      </c>
      <c r="G535" s="36" t="s">
        <v>153</v>
      </c>
      <c r="H535" s="36"/>
      <c r="I535" s="37"/>
      <c r="J535" s="37"/>
      <c r="K535" s="38" t="s">
        <v>273</v>
      </c>
      <c r="L535" s="39">
        <v>3</v>
      </c>
      <c r="M535" s="39"/>
      <c r="N535" s="40" t="s">
        <v>274</v>
      </c>
      <c r="O535" s="39"/>
      <c r="P535" s="39"/>
      <c r="Q535" s="39"/>
      <c r="R535" s="40"/>
      <c r="S535" s="41"/>
      <c r="T535" s="41"/>
      <c r="U535" s="41"/>
      <c r="V535" s="41"/>
      <c r="W535" s="41"/>
      <c r="X535" s="42" t="str">
        <f t="shared" si="324"/>
        <v>НСАад</v>
      </c>
      <c r="Y535" s="43" t="s">
        <v>107</v>
      </c>
      <c r="Z535" s="39"/>
      <c r="AA535" s="39">
        <v>1</v>
      </c>
      <c r="AB535" s="42">
        <f t="shared" si="325"/>
        <v>0</v>
      </c>
      <c r="AC535" s="39"/>
      <c r="AD535" s="39"/>
      <c r="AE535" s="44">
        <f t="shared" si="326"/>
        <v>1</v>
      </c>
      <c r="AF535" s="45">
        <f t="shared" si="327"/>
        <v>0</v>
      </c>
      <c r="AG535" s="45">
        <f t="shared" si="328"/>
        <v>0</v>
      </c>
      <c r="AH535" s="46" t="s">
        <v>82</v>
      </c>
      <c r="AI535" s="40" t="s">
        <v>83</v>
      </c>
      <c r="AJ535" s="40" t="s">
        <v>84</v>
      </c>
      <c r="AK535" s="47" t="s">
        <v>97</v>
      </c>
      <c r="AL535" s="40"/>
      <c r="AM535" s="48">
        <f t="shared" si="329"/>
        <v>0</v>
      </c>
      <c r="AN535" s="48">
        <f t="shared" si="330"/>
        <v>0</v>
      </c>
      <c r="AO535" s="48">
        <f t="shared" si="331"/>
        <v>0</v>
      </c>
      <c r="AP535" s="48">
        <f t="shared" si="332"/>
        <v>0</v>
      </c>
      <c r="AQ535" s="48">
        <f t="shared" si="333"/>
        <v>0</v>
      </c>
      <c r="AR535" s="48">
        <f t="shared" si="334"/>
        <v>0</v>
      </c>
      <c r="AS535" s="48">
        <f t="shared" si="335"/>
        <v>0</v>
      </c>
      <c r="AT535" s="48">
        <f t="shared" si="336"/>
        <v>0</v>
      </c>
      <c r="AU535" s="48">
        <f t="shared" si="337"/>
        <v>0</v>
      </c>
      <c r="AV535" s="48">
        <f t="shared" si="338"/>
        <v>0</v>
      </c>
      <c r="AW535" s="48">
        <f>IF(N535="ПП",РПП*AB535*(V535/1.5),IF(N535="ВП",ВПр*AB535*(V535/1.5),IF(N535="РПА",РПА*AB535*(V535/1.5),IF(N535="КПА",кпа*AB535*(V535/1.5),0))))</f>
        <v>0</v>
      </c>
      <c r="AX535" s="48">
        <f t="shared" si="339"/>
        <v>0</v>
      </c>
      <c r="AY535" s="48">
        <f t="shared" si="340"/>
        <v>0</v>
      </c>
      <c r="AZ535" s="48">
        <f t="shared" si="341"/>
        <v>0</v>
      </c>
      <c r="BA535" s="48">
        <f t="shared" si="342"/>
        <v>0</v>
      </c>
      <c r="BB535" s="48">
        <f t="shared" si="343"/>
        <v>0</v>
      </c>
      <c r="BC535" s="48">
        <f t="shared" si="344"/>
        <v>0</v>
      </c>
      <c r="BD535" s="48">
        <f t="shared" si="345"/>
        <v>0</v>
      </c>
      <c r="BE535" s="48">
        <f t="shared" si="346"/>
        <v>0</v>
      </c>
      <c r="BF535" s="49">
        <f t="shared" si="347"/>
        <v>0</v>
      </c>
      <c r="BG535" s="50"/>
      <c r="BH535" s="51">
        <f t="shared" si="348"/>
        <v>0</v>
      </c>
      <c r="BI535" s="51">
        <f t="shared" si="349"/>
        <v>0</v>
      </c>
      <c r="BJ535" s="51">
        <f t="shared" si="350"/>
        <v>0</v>
      </c>
      <c r="BK535" s="52">
        <f t="shared" si="351"/>
        <v>0</v>
      </c>
      <c r="BL535" s="52">
        <f t="shared" si="352"/>
        <v>0</v>
      </c>
      <c r="BM535" s="52">
        <f t="shared" si="353"/>
        <v>0</v>
      </c>
    </row>
    <row r="536" spans="1:65" ht="30" customHeight="1" x14ac:dyDescent="0.25">
      <c r="A536" s="31" t="str">
        <f t="shared" si="319"/>
        <v>Д</v>
      </c>
      <c r="B536" s="31" t="str">
        <f t="shared" si="320"/>
        <v>А</v>
      </c>
      <c r="C536" s="62" t="s">
        <v>280</v>
      </c>
      <c r="D536" s="33" t="str">
        <f t="shared" si="321"/>
        <v>Факультет физико-математических и естественных наук</v>
      </c>
      <c r="E536" s="34" t="str">
        <f t="shared" si="322"/>
        <v>'2.3.1.</v>
      </c>
      <c r="F536" s="35" t="str">
        <f t="shared" si="323"/>
        <v>Системный анализ, управление и обработка информации, статистика</v>
      </c>
      <c r="G536" s="36" t="s">
        <v>153</v>
      </c>
      <c r="H536" s="36"/>
      <c r="I536" s="37"/>
      <c r="J536" s="37"/>
      <c r="K536" s="38" t="s">
        <v>275</v>
      </c>
      <c r="L536" s="39">
        <v>3</v>
      </c>
      <c r="M536" s="39"/>
      <c r="N536" s="40" t="s">
        <v>276</v>
      </c>
      <c r="O536" s="39"/>
      <c r="P536" s="39"/>
      <c r="Q536" s="39"/>
      <c r="R536" s="40"/>
      <c r="S536" s="41"/>
      <c r="T536" s="41"/>
      <c r="U536" s="41"/>
      <c r="V536" s="41">
        <v>2</v>
      </c>
      <c r="W536" s="41"/>
      <c r="X536" s="42" t="str">
        <f t="shared" si="324"/>
        <v>НСАад</v>
      </c>
      <c r="Y536" s="43" t="s">
        <v>107</v>
      </c>
      <c r="Z536" s="39"/>
      <c r="AA536" s="39">
        <v>1</v>
      </c>
      <c r="AB536" s="42">
        <f t="shared" si="325"/>
        <v>0</v>
      </c>
      <c r="AC536" s="39"/>
      <c r="AD536" s="39"/>
      <c r="AE536" s="44">
        <f t="shared" si="326"/>
        <v>1</v>
      </c>
      <c r="AF536" s="45">
        <f t="shared" si="327"/>
        <v>0</v>
      </c>
      <c r="AG536" s="45">
        <f t="shared" si="328"/>
        <v>0</v>
      </c>
      <c r="AH536" s="46" t="s">
        <v>82</v>
      </c>
      <c r="AI536" s="40" t="s">
        <v>112</v>
      </c>
      <c r="AJ536" s="40" t="s">
        <v>84</v>
      </c>
      <c r="AK536" s="47" t="s">
        <v>113</v>
      </c>
      <c r="AL536" s="40"/>
      <c r="AM536" s="48">
        <f t="shared" si="329"/>
        <v>0</v>
      </c>
      <c r="AN536" s="48">
        <f t="shared" si="330"/>
        <v>0</v>
      </c>
      <c r="AO536" s="48">
        <f t="shared" si="331"/>
        <v>0</v>
      </c>
      <c r="AP536" s="48">
        <f t="shared" si="332"/>
        <v>0</v>
      </c>
      <c r="AQ536" s="48">
        <f t="shared" si="333"/>
        <v>0</v>
      </c>
      <c r="AR536" s="48">
        <f t="shared" si="334"/>
        <v>0</v>
      </c>
      <c r="AS536" s="48">
        <f t="shared" si="335"/>
        <v>0</v>
      </c>
      <c r="AT536" s="48">
        <f t="shared" si="336"/>
        <v>0</v>
      </c>
      <c r="AU536" s="48">
        <f t="shared" si="337"/>
        <v>0</v>
      </c>
      <c r="AV536" s="48">
        <f t="shared" si="338"/>
        <v>0</v>
      </c>
      <c r="AW536" s="48">
        <f>IF(N536="ПП",РПП*AB536*(V536/1.5),IF(N536="ВП",ВПр*AB536*(V536/1.5),IF(N536="РПА",РПА*AB536*(V536/1.5),IF(N536="КПА",кпа*AB536*(V536/1.5),0))))</f>
        <v>0</v>
      </c>
      <c r="AX536" s="48">
        <f t="shared" si="339"/>
        <v>0</v>
      </c>
      <c r="AY536" s="48">
        <f t="shared" si="340"/>
        <v>0</v>
      </c>
      <c r="AZ536" s="48">
        <f t="shared" si="341"/>
        <v>0</v>
      </c>
      <c r="BA536" s="48">
        <f t="shared" si="342"/>
        <v>0</v>
      </c>
      <c r="BB536" s="48">
        <f t="shared" si="343"/>
        <v>0</v>
      </c>
      <c r="BC536" s="48">
        <f t="shared" si="344"/>
        <v>0</v>
      </c>
      <c r="BD536" s="48">
        <f t="shared" si="345"/>
        <v>0</v>
      </c>
      <c r="BE536" s="48">
        <f t="shared" si="346"/>
        <v>0</v>
      </c>
      <c r="BF536" s="49">
        <f t="shared" si="347"/>
        <v>0</v>
      </c>
      <c r="BG536" s="50"/>
      <c r="BH536" s="51">
        <f t="shared" si="348"/>
        <v>0</v>
      </c>
      <c r="BI536" s="51">
        <f t="shared" si="349"/>
        <v>0</v>
      </c>
      <c r="BJ536" s="51">
        <f t="shared" si="350"/>
        <v>0</v>
      </c>
      <c r="BK536" s="52">
        <f t="shared" si="351"/>
        <v>0</v>
      </c>
      <c r="BL536" s="52">
        <f t="shared" si="352"/>
        <v>0</v>
      </c>
      <c r="BM536" s="52">
        <f t="shared" si="353"/>
        <v>0</v>
      </c>
    </row>
    <row r="537" spans="1:65" ht="30" customHeight="1" x14ac:dyDescent="0.25">
      <c r="A537" s="31" t="str">
        <f t="shared" si="319"/>
        <v>Д</v>
      </c>
      <c r="B537" s="31" t="str">
        <f t="shared" si="320"/>
        <v>А</v>
      </c>
      <c r="C537" s="62" t="s">
        <v>280</v>
      </c>
      <c r="D537" s="33" t="str">
        <f t="shared" si="321"/>
        <v>Факультет физико-математических и естественных наук</v>
      </c>
      <c r="E537" s="34" t="str">
        <f t="shared" si="322"/>
        <v>'2.3.1.</v>
      </c>
      <c r="F537" s="35" t="str">
        <f t="shared" si="323"/>
        <v>Системный анализ, управление и обработка информации, статистика</v>
      </c>
      <c r="G537" s="36" t="s">
        <v>153</v>
      </c>
      <c r="H537" s="36"/>
      <c r="I537" s="37"/>
      <c r="J537" s="37"/>
      <c r="K537" s="38" t="s">
        <v>275</v>
      </c>
      <c r="L537" s="39">
        <v>4</v>
      </c>
      <c r="M537" s="39"/>
      <c r="N537" s="40" t="s">
        <v>276</v>
      </c>
      <c r="O537" s="39"/>
      <c r="P537" s="39"/>
      <c r="Q537" s="39"/>
      <c r="R537" s="40"/>
      <c r="S537" s="41"/>
      <c r="T537" s="41"/>
      <c r="U537" s="41"/>
      <c r="V537" s="41">
        <v>3</v>
      </c>
      <c r="W537" s="41"/>
      <c r="X537" s="42" t="str">
        <f t="shared" si="324"/>
        <v>НСАад</v>
      </c>
      <c r="Y537" s="43" t="s">
        <v>107</v>
      </c>
      <c r="Z537" s="39"/>
      <c r="AA537" s="39">
        <v>1</v>
      </c>
      <c r="AB537" s="42">
        <f t="shared" si="325"/>
        <v>0</v>
      </c>
      <c r="AC537" s="39"/>
      <c r="AD537" s="39"/>
      <c r="AE537" s="44">
        <f t="shared" si="326"/>
        <v>1</v>
      </c>
      <c r="AF537" s="45">
        <f t="shared" si="327"/>
        <v>0</v>
      </c>
      <c r="AG537" s="45">
        <f t="shared" si="328"/>
        <v>0</v>
      </c>
      <c r="AH537" s="46" t="s">
        <v>82</v>
      </c>
      <c r="AI537" s="40" t="s">
        <v>112</v>
      </c>
      <c r="AJ537" s="40" t="s">
        <v>84</v>
      </c>
      <c r="AK537" s="47" t="s">
        <v>113</v>
      </c>
      <c r="AL537" s="40"/>
      <c r="AM537" s="48">
        <f t="shared" si="329"/>
        <v>0</v>
      </c>
      <c r="AN537" s="48">
        <f t="shared" si="330"/>
        <v>0</v>
      </c>
      <c r="AO537" s="48">
        <f t="shared" si="331"/>
        <v>0</v>
      </c>
      <c r="AP537" s="48">
        <f t="shared" si="332"/>
        <v>0</v>
      </c>
      <c r="AQ537" s="48">
        <f t="shared" si="333"/>
        <v>0</v>
      </c>
      <c r="AR537" s="48">
        <f t="shared" si="334"/>
        <v>0</v>
      </c>
      <c r="AS537" s="48">
        <f t="shared" si="335"/>
        <v>0</v>
      </c>
      <c r="AT537" s="48">
        <f t="shared" si="336"/>
        <v>0</v>
      </c>
      <c r="AU537" s="48">
        <f t="shared" si="337"/>
        <v>0</v>
      </c>
      <c r="AV537" s="48">
        <f t="shared" si="338"/>
        <v>0</v>
      </c>
      <c r="AW537" s="48">
        <f>IF(N537="ПП",РПП*AB537*(V537/1.5),IF(N537="ВП",ВПр*AB537*(V537/1.5),IF(N537="РПА",РПА*AB537*(V537/1.5),IF(N537="КПА",кпа*AB537*(V537/1.5),0))))</f>
        <v>0</v>
      </c>
      <c r="AX537" s="48">
        <f t="shared" si="339"/>
        <v>0</v>
      </c>
      <c r="AY537" s="48">
        <f t="shared" si="340"/>
        <v>0</v>
      </c>
      <c r="AZ537" s="48">
        <f t="shared" si="341"/>
        <v>0</v>
      </c>
      <c r="BA537" s="48">
        <f t="shared" si="342"/>
        <v>0</v>
      </c>
      <c r="BB537" s="48">
        <f t="shared" si="343"/>
        <v>0</v>
      </c>
      <c r="BC537" s="48">
        <f t="shared" si="344"/>
        <v>0</v>
      </c>
      <c r="BD537" s="48">
        <f t="shared" si="345"/>
        <v>0</v>
      </c>
      <c r="BE537" s="48">
        <f t="shared" si="346"/>
        <v>0</v>
      </c>
      <c r="BF537" s="49">
        <f t="shared" si="347"/>
        <v>0</v>
      </c>
      <c r="BG537" s="50"/>
      <c r="BH537" s="51">
        <f t="shared" si="348"/>
        <v>0</v>
      </c>
      <c r="BI537" s="51">
        <f t="shared" si="349"/>
        <v>0</v>
      </c>
      <c r="BJ537" s="51">
        <f t="shared" si="350"/>
        <v>0</v>
      </c>
      <c r="BK537" s="52">
        <f t="shared" si="351"/>
        <v>0</v>
      </c>
      <c r="BL537" s="52">
        <f t="shared" si="352"/>
        <v>0</v>
      </c>
      <c r="BM537" s="52">
        <f t="shared" si="353"/>
        <v>0</v>
      </c>
    </row>
    <row r="538" spans="1:65" ht="30" customHeight="1" x14ac:dyDescent="0.25">
      <c r="A538" s="31" t="str">
        <f t="shared" si="319"/>
        <v>Д</v>
      </c>
      <c r="B538" s="31" t="str">
        <f t="shared" si="320"/>
        <v>А</v>
      </c>
      <c r="C538" s="62" t="s">
        <v>280</v>
      </c>
      <c r="D538" s="33" t="str">
        <f t="shared" si="321"/>
        <v>Факультет физико-математических и естественных наук</v>
      </c>
      <c r="E538" s="34" t="str">
        <f t="shared" si="322"/>
        <v>'2.3.1.</v>
      </c>
      <c r="F538" s="35" t="str">
        <f t="shared" si="323"/>
        <v>Системный анализ, управление и обработка информации, статистика</v>
      </c>
      <c r="G538" s="36" t="s">
        <v>153</v>
      </c>
      <c r="H538" s="36"/>
      <c r="I538" s="37"/>
      <c r="J538" s="37"/>
      <c r="K538" s="60" t="s">
        <v>277</v>
      </c>
      <c r="L538" s="39">
        <v>4</v>
      </c>
      <c r="M538" s="39"/>
      <c r="N538" s="40" t="s">
        <v>276</v>
      </c>
      <c r="O538" s="39"/>
      <c r="P538" s="39"/>
      <c r="Q538" s="39"/>
      <c r="R538" s="40"/>
      <c r="S538" s="41"/>
      <c r="T538" s="41"/>
      <c r="U538" s="41"/>
      <c r="V538" s="41">
        <v>1</v>
      </c>
      <c r="W538" s="41"/>
      <c r="X538" s="42" t="str">
        <f t="shared" si="324"/>
        <v>НСАад</v>
      </c>
      <c r="Y538" s="43" t="s">
        <v>107</v>
      </c>
      <c r="Z538" s="39"/>
      <c r="AA538" s="39">
        <v>1</v>
      </c>
      <c r="AB538" s="42">
        <f t="shared" si="325"/>
        <v>0</v>
      </c>
      <c r="AC538" s="39"/>
      <c r="AD538" s="39"/>
      <c r="AE538" s="44">
        <f t="shared" si="326"/>
        <v>1</v>
      </c>
      <c r="AF538" s="45">
        <f t="shared" si="327"/>
        <v>0</v>
      </c>
      <c r="AG538" s="45">
        <f t="shared" si="328"/>
        <v>0</v>
      </c>
      <c r="AH538" s="46" t="s">
        <v>82</v>
      </c>
      <c r="AI538" s="40" t="s">
        <v>112</v>
      </c>
      <c r="AJ538" s="40" t="s">
        <v>84</v>
      </c>
      <c r="AK538" s="47" t="s">
        <v>113</v>
      </c>
      <c r="AL538" s="40"/>
      <c r="AM538" s="48">
        <f t="shared" si="329"/>
        <v>0</v>
      </c>
      <c r="AN538" s="48">
        <f t="shared" si="330"/>
        <v>0</v>
      </c>
      <c r="AO538" s="48">
        <f t="shared" si="331"/>
        <v>0</v>
      </c>
      <c r="AP538" s="48">
        <f t="shared" si="332"/>
        <v>0</v>
      </c>
      <c r="AQ538" s="48">
        <f t="shared" si="333"/>
        <v>0</v>
      </c>
      <c r="AR538" s="48">
        <f t="shared" si="334"/>
        <v>0</v>
      </c>
      <c r="AS538" s="48">
        <f t="shared" si="335"/>
        <v>0</v>
      </c>
      <c r="AT538" s="48">
        <f t="shared" si="336"/>
        <v>0</v>
      </c>
      <c r="AU538" s="48">
        <f t="shared" si="337"/>
        <v>0</v>
      </c>
      <c r="AV538" s="48">
        <f t="shared" si="338"/>
        <v>0</v>
      </c>
      <c r="AW538" s="48">
        <f>IF(N538="ПП",РПП*AB538*(V538/1.5),IF(N538="ВП",ВПр*AB538*(V538/1.5),IF(N538="РПА",РПА*AB538*(V538/1.5),IF(N538="КПА",кпа*AB538*(V538/1.5),0))))</f>
        <v>0</v>
      </c>
      <c r="AX538" s="48">
        <f t="shared" si="339"/>
        <v>0</v>
      </c>
      <c r="AY538" s="48">
        <f t="shared" si="340"/>
        <v>0</v>
      </c>
      <c r="AZ538" s="48">
        <f t="shared" si="341"/>
        <v>0</v>
      </c>
      <c r="BA538" s="48">
        <f t="shared" si="342"/>
        <v>0</v>
      </c>
      <c r="BB538" s="48">
        <f t="shared" si="343"/>
        <v>0</v>
      </c>
      <c r="BC538" s="48">
        <f t="shared" si="344"/>
        <v>0</v>
      </c>
      <c r="BD538" s="48">
        <f t="shared" si="345"/>
        <v>0</v>
      </c>
      <c r="BE538" s="48">
        <f t="shared" si="346"/>
        <v>0</v>
      </c>
      <c r="BF538" s="49">
        <f t="shared" si="347"/>
        <v>0</v>
      </c>
      <c r="BG538" s="50"/>
      <c r="BH538" s="51">
        <f t="shared" si="348"/>
        <v>0</v>
      </c>
      <c r="BI538" s="51">
        <f t="shared" si="349"/>
        <v>0</v>
      </c>
      <c r="BJ538" s="51">
        <f t="shared" si="350"/>
        <v>0</v>
      </c>
      <c r="BK538" s="52">
        <f t="shared" si="351"/>
        <v>0</v>
      </c>
      <c r="BL538" s="52">
        <f t="shared" si="352"/>
        <v>0</v>
      </c>
      <c r="BM538" s="52">
        <f t="shared" si="353"/>
        <v>0</v>
      </c>
    </row>
    <row r="539" spans="1:65" ht="30" customHeight="1" x14ac:dyDescent="0.25">
      <c r="A539" s="31" t="str">
        <f t="shared" si="319"/>
        <v>Д</v>
      </c>
      <c r="B539" s="31" t="str">
        <f t="shared" si="320"/>
        <v>А</v>
      </c>
      <c r="C539" s="62" t="s">
        <v>280</v>
      </c>
      <c r="D539" s="33" t="str">
        <f t="shared" si="321"/>
        <v>Факультет физико-математических и естественных наук</v>
      </c>
      <c r="E539" s="34" t="str">
        <f t="shared" si="322"/>
        <v>'2.3.1.</v>
      </c>
      <c r="F539" s="35" t="str">
        <f t="shared" si="323"/>
        <v>Системный анализ, управление и обработка информации, статистика</v>
      </c>
      <c r="G539" s="36" t="s">
        <v>153</v>
      </c>
      <c r="H539" s="36"/>
      <c r="I539" s="37"/>
      <c r="J539" s="37"/>
      <c r="K539" s="38" t="s">
        <v>273</v>
      </c>
      <c r="L539" s="39">
        <v>4</v>
      </c>
      <c r="M539" s="39"/>
      <c r="N539" s="40" t="s">
        <v>274</v>
      </c>
      <c r="O539" s="39"/>
      <c r="P539" s="39"/>
      <c r="Q539" s="39"/>
      <c r="R539" s="40"/>
      <c r="S539" s="41"/>
      <c r="T539" s="41"/>
      <c r="U539" s="41"/>
      <c r="V539" s="41"/>
      <c r="W539" s="41"/>
      <c r="X539" s="42" t="str">
        <f t="shared" si="324"/>
        <v>НСАад</v>
      </c>
      <c r="Y539" s="43" t="s">
        <v>107</v>
      </c>
      <c r="Z539" s="39"/>
      <c r="AA539" s="39">
        <v>1</v>
      </c>
      <c r="AB539" s="42">
        <f t="shared" si="325"/>
        <v>0</v>
      </c>
      <c r="AC539" s="39"/>
      <c r="AD539" s="39"/>
      <c r="AE539" s="44">
        <f t="shared" si="326"/>
        <v>1</v>
      </c>
      <c r="AF539" s="45">
        <f t="shared" si="327"/>
        <v>0</v>
      </c>
      <c r="AG539" s="45">
        <f t="shared" si="328"/>
        <v>0</v>
      </c>
      <c r="AH539" s="46" t="s">
        <v>82</v>
      </c>
      <c r="AI539" s="40" t="s">
        <v>83</v>
      </c>
      <c r="AJ539" s="40" t="s">
        <v>84</v>
      </c>
      <c r="AK539" s="47" t="s">
        <v>97</v>
      </c>
      <c r="AL539" s="40"/>
      <c r="AM539" s="48">
        <f t="shared" si="329"/>
        <v>0</v>
      </c>
      <c r="AN539" s="48">
        <f t="shared" si="330"/>
        <v>0</v>
      </c>
      <c r="AO539" s="48">
        <f t="shared" si="331"/>
        <v>0</v>
      </c>
      <c r="AP539" s="48">
        <f t="shared" si="332"/>
        <v>0</v>
      </c>
      <c r="AQ539" s="48">
        <f t="shared" si="333"/>
        <v>0</v>
      </c>
      <c r="AR539" s="48">
        <f t="shared" si="334"/>
        <v>0</v>
      </c>
      <c r="AS539" s="48">
        <f t="shared" si="335"/>
        <v>0</v>
      </c>
      <c r="AT539" s="48">
        <f t="shared" si="336"/>
        <v>0</v>
      </c>
      <c r="AU539" s="48">
        <f t="shared" si="337"/>
        <v>0</v>
      </c>
      <c r="AV539" s="48">
        <f t="shared" si="338"/>
        <v>0</v>
      </c>
      <c r="AW539" s="48">
        <f>IF(N539="ПП",РПП*AB539*(V539/1.5),IF(N539="ВП",ВПр*AB539*(V539/1.5),IF(N539="РПА",РПА*AB539*(V539/1.5),IF(N539="КПА",кпа*AB539*(V539/1.5),0))))</f>
        <v>0</v>
      </c>
      <c r="AX539" s="48">
        <f t="shared" si="339"/>
        <v>0</v>
      </c>
      <c r="AY539" s="48">
        <f t="shared" si="340"/>
        <v>0</v>
      </c>
      <c r="AZ539" s="48">
        <f t="shared" si="341"/>
        <v>0</v>
      </c>
      <c r="BA539" s="48">
        <f t="shared" si="342"/>
        <v>0</v>
      </c>
      <c r="BB539" s="48">
        <f t="shared" si="343"/>
        <v>0</v>
      </c>
      <c r="BC539" s="48">
        <f t="shared" si="344"/>
        <v>0</v>
      </c>
      <c r="BD539" s="48">
        <f t="shared" si="345"/>
        <v>0</v>
      </c>
      <c r="BE539" s="48">
        <f t="shared" si="346"/>
        <v>0</v>
      </c>
      <c r="BF539" s="49">
        <f t="shared" si="347"/>
        <v>0</v>
      </c>
      <c r="BG539" s="50"/>
      <c r="BH539" s="51">
        <f t="shared" si="348"/>
        <v>0</v>
      </c>
      <c r="BI539" s="51">
        <f t="shared" si="349"/>
        <v>0</v>
      </c>
      <c r="BJ539" s="51">
        <f t="shared" si="350"/>
        <v>0</v>
      </c>
      <c r="BK539" s="52">
        <f t="shared" si="351"/>
        <v>0</v>
      </c>
      <c r="BL539" s="52">
        <f t="shared" si="352"/>
        <v>0</v>
      </c>
      <c r="BM539" s="52">
        <f t="shared" si="353"/>
        <v>0</v>
      </c>
    </row>
    <row r="540" spans="1:65" ht="30" customHeight="1" x14ac:dyDescent="0.25">
      <c r="A540" s="31" t="str">
        <f t="shared" si="319"/>
        <v>Д</v>
      </c>
      <c r="B540" s="31" t="str">
        <f t="shared" si="320"/>
        <v>А</v>
      </c>
      <c r="C540" s="62" t="s">
        <v>280</v>
      </c>
      <c r="D540" s="33" t="str">
        <f t="shared" si="321"/>
        <v>Факультет физико-математических и естественных наук</v>
      </c>
      <c r="E540" s="34" t="str">
        <f t="shared" si="322"/>
        <v>'2.3.1.</v>
      </c>
      <c r="F540" s="35" t="str">
        <f t="shared" si="323"/>
        <v>Системный анализ, управление и обработка информации, статистика</v>
      </c>
      <c r="G540" s="36" t="s">
        <v>153</v>
      </c>
      <c r="H540" s="36"/>
      <c r="I540" s="37"/>
      <c r="J540" s="37"/>
      <c r="K540" s="38" t="s">
        <v>273</v>
      </c>
      <c r="L540" s="39">
        <v>5</v>
      </c>
      <c r="M540" s="39"/>
      <c r="N540" s="40" t="s">
        <v>274</v>
      </c>
      <c r="O540" s="39"/>
      <c r="P540" s="39"/>
      <c r="Q540" s="39"/>
      <c r="R540" s="40"/>
      <c r="S540" s="41"/>
      <c r="T540" s="41"/>
      <c r="U540" s="41"/>
      <c r="V540" s="41"/>
      <c r="W540" s="41"/>
      <c r="X540" s="42" t="str">
        <f t="shared" si="324"/>
        <v>НСАад</v>
      </c>
      <c r="Y540" s="43" t="s">
        <v>128</v>
      </c>
      <c r="Z540" s="39"/>
      <c r="AA540" s="39">
        <v>1</v>
      </c>
      <c r="AB540" s="42">
        <f t="shared" si="325"/>
        <v>3</v>
      </c>
      <c r="AC540" s="39">
        <v>3</v>
      </c>
      <c r="AD540" s="39"/>
      <c r="AE540" s="44">
        <f t="shared" si="326"/>
        <v>1</v>
      </c>
      <c r="AF540" s="45">
        <f t="shared" si="327"/>
        <v>1</v>
      </c>
      <c r="AG540" s="45">
        <f t="shared" si="328"/>
        <v>3</v>
      </c>
      <c r="AH540" s="46" t="s">
        <v>82</v>
      </c>
      <c r="AI540" s="40" t="s">
        <v>83</v>
      </c>
      <c r="AJ540" s="40" t="s">
        <v>84</v>
      </c>
      <c r="AK540" s="47" t="s">
        <v>97</v>
      </c>
      <c r="AL540" s="40"/>
      <c r="AM540" s="48">
        <f t="shared" si="329"/>
        <v>0</v>
      </c>
      <c r="AN540" s="48">
        <f t="shared" si="330"/>
        <v>0</v>
      </c>
      <c r="AO540" s="48">
        <f t="shared" si="331"/>
        <v>0</v>
      </c>
      <c r="AP540" s="48">
        <f t="shared" si="332"/>
        <v>0</v>
      </c>
      <c r="AQ540" s="48">
        <f t="shared" si="333"/>
        <v>0</v>
      </c>
      <c r="AR540" s="48">
        <f t="shared" si="334"/>
        <v>0</v>
      </c>
      <c r="AS540" s="48">
        <f t="shared" si="335"/>
        <v>0</v>
      </c>
      <c r="AT540" s="48">
        <f t="shared" si="336"/>
        <v>0</v>
      </c>
      <c r="AU540" s="48">
        <f t="shared" si="337"/>
        <v>0</v>
      </c>
      <c r="AV540" s="48">
        <f t="shared" si="338"/>
        <v>0</v>
      </c>
      <c r="AW540" s="48">
        <f>IF(N540="ПП",РПП*AB540*(V540/1.5),IF(N540="ВП",ВПр*AB540*(V540/1.5),IF(N540="РПА",РПА*AB540*(V540/1.5),IF(N540="КПА",кпа*AB540*(V540/1.5),0))))</f>
        <v>0</v>
      </c>
      <c r="AX540" s="48">
        <f t="shared" si="339"/>
        <v>0</v>
      </c>
      <c r="AY540" s="48">
        <f t="shared" si="340"/>
        <v>0</v>
      </c>
      <c r="AZ540" s="48">
        <f t="shared" si="341"/>
        <v>0</v>
      </c>
      <c r="BA540" s="48">
        <f t="shared" si="342"/>
        <v>0</v>
      </c>
      <c r="BB540" s="48">
        <f t="shared" si="343"/>
        <v>225</v>
      </c>
      <c r="BC540" s="48">
        <f t="shared" si="344"/>
        <v>0</v>
      </c>
      <c r="BD540" s="48">
        <f t="shared" si="345"/>
        <v>0</v>
      </c>
      <c r="BE540" s="48">
        <f t="shared" si="346"/>
        <v>0</v>
      </c>
      <c r="BF540" s="49">
        <f t="shared" si="347"/>
        <v>225</v>
      </c>
      <c r="BG540" s="50"/>
      <c r="BH540" s="51">
        <f t="shared" si="348"/>
        <v>0</v>
      </c>
      <c r="BI540" s="51">
        <f t="shared" si="349"/>
        <v>0</v>
      </c>
      <c r="BJ540" s="51">
        <f t="shared" si="350"/>
        <v>225</v>
      </c>
      <c r="BK540" s="52">
        <f t="shared" si="351"/>
        <v>0</v>
      </c>
      <c r="BL540" s="52">
        <f t="shared" si="352"/>
        <v>0</v>
      </c>
      <c r="BM540" s="52">
        <f t="shared" si="353"/>
        <v>0</v>
      </c>
    </row>
    <row r="541" spans="1:65" ht="30" customHeight="1" x14ac:dyDescent="0.25">
      <c r="A541" s="31" t="str">
        <f t="shared" si="319"/>
        <v>Д</v>
      </c>
      <c r="B541" s="31" t="str">
        <f t="shared" si="320"/>
        <v>А</v>
      </c>
      <c r="C541" s="62" t="s">
        <v>280</v>
      </c>
      <c r="D541" s="33" t="str">
        <f t="shared" si="321"/>
        <v>Факультет физико-математических и естественных наук</v>
      </c>
      <c r="E541" s="34" t="str">
        <f t="shared" si="322"/>
        <v>'2.3.1.</v>
      </c>
      <c r="F541" s="35" t="str">
        <f t="shared" si="323"/>
        <v>Системный анализ, управление и обработка информации, статистика</v>
      </c>
      <c r="G541" s="36" t="s">
        <v>153</v>
      </c>
      <c r="H541" s="36"/>
      <c r="I541" s="37"/>
      <c r="J541" s="37"/>
      <c r="K541" s="38" t="s">
        <v>273</v>
      </c>
      <c r="L541" s="39">
        <v>6</v>
      </c>
      <c r="M541" s="39"/>
      <c r="N541" s="40" t="s">
        <v>274</v>
      </c>
      <c r="O541" s="39"/>
      <c r="P541" s="39"/>
      <c r="Q541" s="39"/>
      <c r="R541" s="40"/>
      <c r="S541" s="41"/>
      <c r="T541" s="41"/>
      <c r="U541" s="41"/>
      <c r="V541" s="41"/>
      <c r="W541" s="41"/>
      <c r="X541" s="42" t="str">
        <f t="shared" si="324"/>
        <v>НСАад</v>
      </c>
      <c r="Y541" s="43" t="s">
        <v>128</v>
      </c>
      <c r="Z541" s="39"/>
      <c r="AA541" s="39"/>
      <c r="AB541" s="42">
        <f t="shared" si="325"/>
        <v>0</v>
      </c>
      <c r="AC541" s="39"/>
      <c r="AD541" s="39"/>
      <c r="AE541" s="44">
        <f t="shared" si="326"/>
        <v>1</v>
      </c>
      <c r="AF541" s="45">
        <f t="shared" si="327"/>
        <v>0</v>
      </c>
      <c r="AG541" s="45">
        <f t="shared" si="328"/>
        <v>0</v>
      </c>
      <c r="AH541" s="46" t="s">
        <v>82</v>
      </c>
      <c r="AI541" s="40" t="s">
        <v>83</v>
      </c>
      <c r="AJ541" s="40" t="s">
        <v>84</v>
      </c>
      <c r="AK541" s="47" t="s">
        <v>97</v>
      </c>
      <c r="AL541" s="40"/>
      <c r="AM541" s="48">
        <f t="shared" si="329"/>
        <v>0</v>
      </c>
      <c r="AN541" s="48">
        <f t="shared" si="330"/>
        <v>0</v>
      </c>
      <c r="AO541" s="48">
        <f t="shared" si="331"/>
        <v>0</v>
      </c>
      <c r="AP541" s="48">
        <f t="shared" si="332"/>
        <v>0</v>
      </c>
      <c r="AQ541" s="48">
        <f t="shared" si="333"/>
        <v>0</v>
      </c>
      <c r="AR541" s="48">
        <f t="shared" si="334"/>
        <v>0</v>
      </c>
      <c r="AS541" s="48">
        <f t="shared" si="335"/>
        <v>0</v>
      </c>
      <c r="AT541" s="48">
        <f t="shared" si="336"/>
        <v>0</v>
      </c>
      <c r="AU541" s="48">
        <f t="shared" si="337"/>
        <v>0</v>
      </c>
      <c r="AV541" s="48">
        <f t="shared" si="338"/>
        <v>0</v>
      </c>
      <c r="AW541" s="48">
        <f>IF(N541="ПП",РПП*AB541*(V541/1.5),IF(N541="ВП",ВПр*AB541*(V541/1.5),IF(N541="РПА",РПА*AB541*(V541/1.5),IF(N541="КПА",кпа*AB541*(V541/1.5),0))))</f>
        <v>0</v>
      </c>
      <c r="AX541" s="48">
        <f t="shared" si="339"/>
        <v>0</v>
      </c>
      <c r="AY541" s="48">
        <f t="shared" si="340"/>
        <v>0</v>
      </c>
      <c r="AZ541" s="48">
        <f t="shared" si="341"/>
        <v>0</v>
      </c>
      <c r="BA541" s="48">
        <f t="shared" si="342"/>
        <v>0</v>
      </c>
      <c r="BB541" s="48">
        <f t="shared" si="343"/>
        <v>0</v>
      </c>
      <c r="BC541" s="48">
        <f t="shared" si="344"/>
        <v>0</v>
      </c>
      <c r="BD541" s="48">
        <f t="shared" si="345"/>
        <v>0</v>
      </c>
      <c r="BE541" s="48">
        <f t="shared" si="346"/>
        <v>0</v>
      </c>
      <c r="BF541" s="49">
        <f t="shared" si="347"/>
        <v>0</v>
      </c>
      <c r="BG541" s="50"/>
      <c r="BH541" s="51">
        <f t="shared" si="348"/>
        <v>0</v>
      </c>
      <c r="BI541" s="51">
        <f t="shared" si="349"/>
        <v>0</v>
      </c>
      <c r="BJ541" s="51">
        <f t="shared" si="350"/>
        <v>0</v>
      </c>
      <c r="BK541" s="52">
        <f t="shared" si="351"/>
        <v>0</v>
      </c>
      <c r="BL541" s="52">
        <f t="shared" si="352"/>
        <v>0</v>
      </c>
      <c r="BM541" s="52">
        <f t="shared" si="353"/>
        <v>0</v>
      </c>
    </row>
    <row r="542" spans="1:65" ht="30" customHeight="1" x14ac:dyDescent="0.25">
      <c r="A542" s="31">
        <f t="shared" ref="A542:A547" si="354">IF(C542&gt;0, VLOOKUP(C542,Код_ООП,11,FALSE()),0)</f>
        <v>0</v>
      </c>
      <c r="B542" s="31">
        <f t="shared" ref="B542:B547" si="355">IF(C542&gt;0, VLOOKUP(C542,Код_ООП,12,FALSE()),0)</f>
        <v>0</v>
      </c>
      <c r="C542" s="32"/>
      <c r="D542" s="33">
        <f t="shared" ref="D542:D547" si="356">IF(C542&gt;0,VLOOKUP(LEFT(C542,1),ОУП,2,FALSE()),0)</f>
        <v>0</v>
      </c>
      <c r="E542" s="34">
        <f t="shared" ref="E542:E547" si="357">IF(C542&gt;0, VLOOKUP(C542,Код_ООП,2,FALSE()),0)</f>
        <v>0</v>
      </c>
      <c r="F542" s="35">
        <f t="shared" ref="F542:F547" si="358">IF(C542&gt;0, VLOOKUP(C542,Код_ООП,13,FALSE()),0)</f>
        <v>0</v>
      </c>
      <c r="G542" s="36"/>
      <c r="H542" s="36"/>
      <c r="I542" s="37"/>
      <c r="J542" s="37"/>
      <c r="K542" s="38"/>
      <c r="L542" s="39"/>
      <c r="M542" s="39"/>
      <c r="N542" s="40"/>
      <c r="O542" s="39"/>
      <c r="P542" s="39"/>
      <c r="Q542" s="39"/>
      <c r="R542" s="40"/>
      <c r="S542" s="41"/>
      <c r="T542" s="41"/>
      <c r="U542" s="41"/>
      <c r="V542" s="41"/>
      <c r="W542" s="41"/>
      <c r="X542" s="42" t="str">
        <f t="shared" ref="X542:X547" si="359">MID(C542,1,5)</f>
        <v/>
      </c>
      <c r="Y542" s="39"/>
      <c r="Z542" s="39"/>
      <c r="AA542" s="39"/>
      <c r="AB542" s="42">
        <f t="shared" ref="AB542:AB547" si="360">AC542+AD542</f>
        <v>0</v>
      </c>
      <c r="AC542" s="39"/>
      <c r="AD542" s="39"/>
      <c r="AE542" s="44">
        <f t="shared" ref="AE542:AE547" si="361">IF(N542="сп",6,IF(N542="клн",8,IF(OR(N542="лаб",N542="ия"),12,IF(OR(N542="пр",N542="ТЕСТ"),IF(OR(B542="Б",B542="С"),24,12),IF(N542="лек",AB542,1)))))</f>
        <v>1</v>
      </c>
      <c r="AF542" s="45">
        <f t="shared" ref="AF542:AF547" si="362">IF(AG542&gt;1,1,AG542)</f>
        <v>0</v>
      </c>
      <c r="AG542" s="45">
        <f t="shared" ref="AG542:AG547" si="363">AB542/AE542</f>
        <v>0</v>
      </c>
      <c r="AH542" s="46"/>
      <c r="AI542" s="40"/>
      <c r="AJ542" s="40"/>
      <c r="AK542" s="47"/>
      <c r="AL542" s="40"/>
      <c r="AM542" s="48">
        <f t="shared" ref="AM542:AM547" si="364">IF(AB542&gt;0,IF(OR(N542="лек",N542="ТУИС"),O542*M542,0),0)</f>
        <v>0</v>
      </c>
      <c r="AN542" s="48">
        <f t="shared" ref="AN542:AN547" si="365">IF(OR(N542="пр",N542="ия",N542="сп"),Q542*AF542*M542,0)</f>
        <v>0</v>
      </c>
      <c r="AO542" s="48">
        <f t="shared" ref="AO542:AO547" si="366">IF(OR(N542="лаб",N542="клн"),P542*AF542*M542,0)</f>
        <v>0</v>
      </c>
      <c r="AP542" s="48">
        <f t="shared" ref="AP542:AP547" si="367">(IF((AND(OR(L542=1,L542=2,L542=3,L542=4,L542=5,L542=6,L542=7,L542=8,L542=9,L542=10,L542=11,L542=12),OR(R542="Зач",R542="Экз"))),ТКиРА*AB542,0)+IF(SUM(O542:Q542)&lt;&gt;0,IF(R542="ТК",ТКиРА*AB542,0),0))*(IF(G542="ФТД",0,1))</f>
        <v>0</v>
      </c>
      <c r="AQ542" s="48">
        <f t="shared" ref="AQ542:AQ547" si="368">IF(SUM(P542:Q542)&lt;&gt;0,IF(R542="Зач",ПАБРС*AB542,0),0)+IF(O542&lt;&gt;0,IF(R542="Экз",ПАБРС*AB542,0),0)</f>
        <v>0</v>
      </c>
      <c r="AR542" s="48">
        <f t="shared" ref="AR542:AR547" si="369">(IF(AQ542&lt;&gt;0,ОфВед*(IF(OR(N542="лек",N542="лаб"),AA542,AF542)),0))*(IF(G542="ФТД",0,1))</f>
        <v>0</v>
      </c>
      <c r="AS542" s="48">
        <f t="shared" ref="AS542:AS547" si="370">(IF(A542="Д",ТКЛД,IF(A542="В",ТКЛВ,IF(A542="З",ТКЛЗ,0))))*(IF(G542="ФТД",0,IF(B542="ЦМ",O542*M542,AM542)))*AA542</f>
        <v>0</v>
      </c>
      <c r="AT542" s="48">
        <f t="shared" ref="AT542:AT547" si="371">IF(S542="К",AB542*ВПКР,IF(S542="М",AB542*ВПИБ,0))</f>
        <v>0</v>
      </c>
      <c r="AU542" s="48">
        <f t="shared" ref="AU542:AU547" si="372">IF(OR(N542="лаб",N542="пр"),IF(T542="К",AB542*ВПКП,0),0)</f>
        <v>0</v>
      </c>
      <c r="AV542" s="48">
        <f t="shared" ref="AV542:AV547" si="373">IF(N542="УП",U542/1.5*AB542*РУП,IF(N542="УПМ",U542/1.5*AB542*РУПЛеч,0))</f>
        <v>0</v>
      </c>
      <c r="AW542" s="48">
        <f>IF(N542="ПП",РПП*AB542*(V542/1.5),IF(N542="ВП",ВПр*AB542*(V542/1.5),IF(N542="РПА",РПА*AB542*(V542/1.5),IF(N542="КПА",кпа*AB542*(V542/1.5),0))))</f>
        <v>0</v>
      </c>
      <c r="AX542" s="48">
        <f t="shared" ref="AX542:AX547" si="374">IF(N542="НР",(AC542*НИРМ+AD542*НИРМИн)*(W542/1.5),IF(N542="НИ",(AC542*НИРА+AD542*НИРАИ)*(W542/1.5),0))</f>
        <v>0</v>
      </c>
      <c r="AY542" s="48">
        <f t="shared" ref="AY542:AY547" si="375">IF(AND(N542="ЦП",B542="ЦМ"),AB542*ЦП,0)</f>
        <v>0</v>
      </c>
      <c r="AZ542" s="48">
        <f t="shared" ref="AZ542:AZ547" si="376">IF(B542="А",IF(N542="РР",AB542*РефАсп,IF(N542="РРФ",AB542*РефФил,0)),0)</f>
        <v>0</v>
      </c>
      <c r="BA542" s="48">
        <f t="shared" ref="BA542:BA547" si="377">IF(AND(R542="КЭ",N542="ЧК"),AB542*КдЭк,0)</f>
        <v>0</v>
      </c>
      <c r="BB542" s="48">
        <f t="shared" ref="BB542:BB547" si="378">IF(AND(N542="НКД",B542="Д"),AB542*НКД,0)+IF(AND(N542="РПЛ",B542="А"),AB542*РукПЛ,0)+IF(AND(N542="РСтж",B542="А"),AC542*РукСт+AD542*РукИСт,0)+IF(N542="ФГТ",AC542*РукРФа+AD542*РукИна,0)</f>
        <v>0</v>
      </c>
      <c r="BC542" s="48">
        <f t="shared" ref="BC542:BC547" si="379">IF(N542="РК",IF(OR(B542="С",B542="М",B542="ЦМ"),(AC542*РСМ+AD542*РСМИ),0),0)+IF(N542="РК",IF(B542="Б",(AC542*РБ+AD542*РБИ),0),0)+IF(N542="РК",IF(B542="А",(AC542*РНКР+AD542*РНКРИн),0),0)+IF(AND(R542="ПАкр"),AB542*0.3)</f>
        <v>0</v>
      </c>
      <c r="BD542" s="48">
        <f t="shared" ref="BD542:BD547" si="380">IF(N542="РДП",IF(B542="А",AB542*РРА,IF(OR(B542="С",B542="М",B542="ЦМ"),AB542*РРСМ,IF(B542="Б",AB542*РРБ,0))),IF(N542="РДИ",AB542*РДП,0))</f>
        <v>0</v>
      </c>
      <c r="BE542" s="48">
        <f t="shared" ref="BE542:BE547" si="381">IF(N542="ЧГ",AB542*ЧГ,IF(N542="ПГ",AB542*ПГ,IF(N542="ТЕСТ",ТГИЭ*AF542,IF(N542="СГ",AB542*СГ,0))))</f>
        <v>0</v>
      </c>
      <c r="BF542" s="49">
        <f t="shared" ref="BF542:BF547" si="382">SUM(AM542:BE542)</f>
        <v>0</v>
      </c>
      <c r="BG542" s="50"/>
      <c r="BH542" s="51">
        <f t="shared" ref="BH542:BH547" si="383">IF(OR(L542="1;1",L542="1;2",L542=1,L542="3;1",L542="3;2",L542=3,L542="5;1",L542="5;2",L542=5,L542="7;1",L542="7;2",L542=7,L542="9;1",L542="9;2",L542=9,L542=11),SUM(AM542:AO542),0)</f>
        <v>0</v>
      </c>
      <c r="BI542" s="51">
        <f t="shared" ref="BI542:BI547" si="384">IF(BH542&lt;&gt;0,SUM(O542:Q542)/2,0)</f>
        <v>0</v>
      </c>
      <c r="BJ542" s="51">
        <f t="shared" ref="BJ542:BJ547" si="385">IF(OR(L542="1;1",L542="1;2",L542=1,L542="3;1",L542="3;2",L542=3,L542="5;1",L542="5;2",L542=5,L542="7;1",L542="7;2",L542=7,L542="9;1",L542="9;2",L542=9,L542=11),SUM(AP542:BE542),0)</f>
        <v>0</v>
      </c>
      <c r="BK542" s="52">
        <f t="shared" ref="BK542:BK547" si="386">IF(OR(L542="2;3",L542="2;4",L542=2,L542="4;3",L542="4;4",L542=4,L542="6;3",L542="6;4",L542=6,L542="8;3",L542="8;4",L542=8,L542="10;3",L542="10;4",L542=10,L542=12),SUM(AM542:AO542),0)</f>
        <v>0</v>
      </c>
      <c r="BL542" s="52">
        <f t="shared" ref="BL542:BL547" si="387">IF(BK542&lt;&gt;0,SUM(O542:Q542)/2,0)</f>
        <v>0</v>
      </c>
      <c r="BM542" s="52">
        <f t="shared" ref="BM542:BM547" si="388">IF(OR(L542="2;3",L542="2;4",L542=2,L542="4;3",L542="4;4",L542=4,L542="6;3",L542="6;4",L542=6,L542="8;3",L542="8;4",L542=8,L542="10;3",L542="10;4",L542=10,L542=12),SUM(AP542:BE542),0)</f>
        <v>0</v>
      </c>
    </row>
    <row r="543" spans="1:65" ht="30" customHeight="1" x14ac:dyDescent="0.25">
      <c r="A543" s="31">
        <f t="shared" si="354"/>
        <v>0</v>
      </c>
      <c r="B543" s="31">
        <f t="shared" si="355"/>
        <v>0</v>
      </c>
      <c r="C543" s="32"/>
      <c r="D543" s="33">
        <f t="shared" si="356"/>
        <v>0</v>
      </c>
      <c r="E543" s="34">
        <f t="shared" si="357"/>
        <v>0</v>
      </c>
      <c r="F543" s="35">
        <f t="shared" si="358"/>
        <v>0</v>
      </c>
      <c r="G543" s="36"/>
      <c r="H543" s="36"/>
      <c r="I543" s="37"/>
      <c r="J543" s="37"/>
      <c r="K543" s="38"/>
      <c r="L543" s="39"/>
      <c r="M543" s="39"/>
      <c r="N543" s="40"/>
      <c r="O543" s="39"/>
      <c r="P543" s="39"/>
      <c r="Q543" s="39"/>
      <c r="R543" s="40"/>
      <c r="S543" s="41"/>
      <c r="T543" s="41"/>
      <c r="U543" s="41"/>
      <c r="V543" s="41"/>
      <c r="W543" s="41"/>
      <c r="X543" s="42" t="str">
        <f t="shared" si="359"/>
        <v/>
      </c>
      <c r="Y543" s="39"/>
      <c r="Z543" s="39"/>
      <c r="AA543" s="39"/>
      <c r="AB543" s="42">
        <f t="shared" si="360"/>
        <v>0</v>
      </c>
      <c r="AC543" s="39"/>
      <c r="AD543" s="39"/>
      <c r="AE543" s="44">
        <f t="shared" si="361"/>
        <v>1</v>
      </c>
      <c r="AF543" s="45">
        <f t="shared" si="362"/>
        <v>0</v>
      </c>
      <c r="AG543" s="45">
        <f t="shared" si="363"/>
        <v>0</v>
      </c>
      <c r="AH543" s="46"/>
      <c r="AI543" s="40"/>
      <c r="AJ543" s="40"/>
      <c r="AK543" s="47"/>
      <c r="AL543" s="40"/>
      <c r="AM543" s="48">
        <f t="shared" si="364"/>
        <v>0</v>
      </c>
      <c r="AN543" s="48">
        <f t="shared" si="365"/>
        <v>0</v>
      </c>
      <c r="AO543" s="48">
        <f t="shared" si="366"/>
        <v>0</v>
      </c>
      <c r="AP543" s="48">
        <f t="shared" si="367"/>
        <v>0</v>
      </c>
      <c r="AQ543" s="48">
        <f t="shared" si="368"/>
        <v>0</v>
      </c>
      <c r="AR543" s="48">
        <f t="shared" si="369"/>
        <v>0</v>
      </c>
      <c r="AS543" s="48">
        <f t="shared" si="370"/>
        <v>0</v>
      </c>
      <c r="AT543" s="48">
        <f t="shared" si="371"/>
        <v>0</v>
      </c>
      <c r="AU543" s="48">
        <f t="shared" si="372"/>
        <v>0</v>
      </c>
      <c r="AV543" s="48">
        <f t="shared" si="373"/>
        <v>0</v>
      </c>
      <c r="AW543" s="48">
        <f>IF(N543="ПП",РПП*AB543*(V543/1.5),IF(N543="ВП",ВПр*AB543*(V543/1.5),IF(N543="РПА",РПА*AB543*(V543/1.5),IF(N543="КПА",кпа*AB543*(V543/1.5),0))))</f>
        <v>0</v>
      </c>
      <c r="AX543" s="48">
        <f t="shared" si="374"/>
        <v>0</v>
      </c>
      <c r="AY543" s="48">
        <f t="shared" si="375"/>
        <v>0</v>
      </c>
      <c r="AZ543" s="48">
        <f t="shared" si="376"/>
        <v>0</v>
      </c>
      <c r="BA543" s="48">
        <f t="shared" si="377"/>
        <v>0</v>
      </c>
      <c r="BB543" s="48">
        <f t="shared" si="378"/>
        <v>0</v>
      </c>
      <c r="BC543" s="48">
        <f t="shared" si="379"/>
        <v>0</v>
      </c>
      <c r="BD543" s="48">
        <f t="shared" si="380"/>
        <v>0</v>
      </c>
      <c r="BE543" s="48">
        <f t="shared" si="381"/>
        <v>0</v>
      </c>
      <c r="BF543" s="49">
        <f t="shared" si="382"/>
        <v>0</v>
      </c>
      <c r="BG543" s="50"/>
      <c r="BH543" s="51">
        <f t="shared" si="383"/>
        <v>0</v>
      </c>
      <c r="BI543" s="51">
        <f t="shared" si="384"/>
        <v>0</v>
      </c>
      <c r="BJ543" s="51">
        <f t="shared" si="385"/>
        <v>0</v>
      </c>
      <c r="BK543" s="52">
        <f t="shared" si="386"/>
        <v>0</v>
      </c>
      <c r="BL543" s="52">
        <f t="shared" si="387"/>
        <v>0</v>
      </c>
      <c r="BM543" s="52">
        <f t="shared" si="388"/>
        <v>0</v>
      </c>
    </row>
    <row r="544" spans="1:65" ht="30" customHeight="1" x14ac:dyDescent="0.25">
      <c r="A544" s="31">
        <f t="shared" si="354"/>
        <v>0</v>
      </c>
      <c r="B544" s="31">
        <f t="shared" si="355"/>
        <v>0</v>
      </c>
      <c r="C544" s="32"/>
      <c r="D544" s="33">
        <f t="shared" si="356"/>
        <v>0</v>
      </c>
      <c r="E544" s="34">
        <f t="shared" si="357"/>
        <v>0</v>
      </c>
      <c r="F544" s="35">
        <f t="shared" si="358"/>
        <v>0</v>
      </c>
      <c r="G544" s="36"/>
      <c r="H544" s="36"/>
      <c r="I544" s="37"/>
      <c r="J544" s="37"/>
      <c r="K544" s="38"/>
      <c r="L544" s="39"/>
      <c r="M544" s="39"/>
      <c r="N544" s="40"/>
      <c r="O544" s="39"/>
      <c r="P544" s="39"/>
      <c r="Q544" s="39"/>
      <c r="R544" s="40"/>
      <c r="S544" s="41"/>
      <c r="T544" s="41"/>
      <c r="U544" s="41"/>
      <c r="V544" s="41"/>
      <c r="W544" s="41"/>
      <c r="X544" s="42" t="str">
        <f t="shared" si="359"/>
        <v/>
      </c>
      <c r="Y544" s="39"/>
      <c r="Z544" s="39"/>
      <c r="AA544" s="39"/>
      <c r="AB544" s="42">
        <f t="shared" si="360"/>
        <v>0</v>
      </c>
      <c r="AC544" s="39"/>
      <c r="AD544" s="39"/>
      <c r="AE544" s="44">
        <f t="shared" si="361"/>
        <v>1</v>
      </c>
      <c r="AF544" s="45">
        <f t="shared" si="362"/>
        <v>0</v>
      </c>
      <c r="AG544" s="45">
        <f t="shared" si="363"/>
        <v>0</v>
      </c>
      <c r="AH544" s="46"/>
      <c r="AI544" s="40"/>
      <c r="AJ544" s="40"/>
      <c r="AK544" s="47"/>
      <c r="AL544" s="40"/>
      <c r="AM544" s="48">
        <f t="shared" si="364"/>
        <v>0</v>
      </c>
      <c r="AN544" s="48">
        <f t="shared" si="365"/>
        <v>0</v>
      </c>
      <c r="AO544" s="48">
        <f t="shared" si="366"/>
        <v>0</v>
      </c>
      <c r="AP544" s="48">
        <f t="shared" si="367"/>
        <v>0</v>
      </c>
      <c r="AQ544" s="48">
        <f t="shared" si="368"/>
        <v>0</v>
      </c>
      <c r="AR544" s="48">
        <f t="shared" si="369"/>
        <v>0</v>
      </c>
      <c r="AS544" s="48">
        <f t="shared" si="370"/>
        <v>0</v>
      </c>
      <c r="AT544" s="48">
        <f t="shared" si="371"/>
        <v>0</v>
      </c>
      <c r="AU544" s="48">
        <f t="shared" si="372"/>
        <v>0</v>
      </c>
      <c r="AV544" s="48">
        <f t="shared" si="373"/>
        <v>0</v>
      </c>
      <c r="AW544" s="48">
        <f>IF(N544="ПП",РПП*AB544*(V544/1.5),IF(N544="ВП",ВПр*AB544*(V544/1.5),IF(N544="РПА",РПА*AB544*(V544/1.5),IF(N544="КПА",кпа*AB544*(V544/1.5),0))))</f>
        <v>0</v>
      </c>
      <c r="AX544" s="48">
        <f t="shared" si="374"/>
        <v>0</v>
      </c>
      <c r="AY544" s="48">
        <f t="shared" si="375"/>
        <v>0</v>
      </c>
      <c r="AZ544" s="48">
        <f t="shared" si="376"/>
        <v>0</v>
      </c>
      <c r="BA544" s="48">
        <f t="shared" si="377"/>
        <v>0</v>
      </c>
      <c r="BB544" s="48">
        <f t="shared" si="378"/>
        <v>0</v>
      </c>
      <c r="BC544" s="48">
        <f t="shared" si="379"/>
        <v>0</v>
      </c>
      <c r="BD544" s="48">
        <f t="shared" si="380"/>
        <v>0</v>
      </c>
      <c r="BE544" s="48">
        <f t="shared" si="381"/>
        <v>0</v>
      </c>
      <c r="BF544" s="49">
        <f t="shared" si="382"/>
        <v>0</v>
      </c>
      <c r="BG544" s="50"/>
      <c r="BH544" s="51">
        <f t="shared" si="383"/>
        <v>0</v>
      </c>
      <c r="BI544" s="51">
        <f t="shared" si="384"/>
        <v>0</v>
      </c>
      <c r="BJ544" s="51">
        <f t="shared" si="385"/>
        <v>0</v>
      </c>
      <c r="BK544" s="52">
        <f t="shared" si="386"/>
        <v>0</v>
      </c>
      <c r="BL544" s="52">
        <f t="shared" si="387"/>
        <v>0</v>
      </c>
      <c r="BM544" s="52">
        <f t="shared" si="388"/>
        <v>0</v>
      </c>
    </row>
    <row r="545" spans="1:66" ht="30" customHeight="1" x14ac:dyDescent="0.25">
      <c r="A545" s="31">
        <f t="shared" si="354"/>
        <v>0</v>
      </c>
      <c r="B545" s="31">
        <f t="shared" si="355"/>
        <v>0</v>
      </c>
      <c r="C545" s="32"/>
      <c r="D545" s="33">
        <f t="shared" si="356"/>
        <v>0</v>
      </c>
      <c r="E545" s="34">
        <f t="shared" si="357"/>
        <v>0</v>
      </c>
      <c r="F545" s="35">
        <f t="shared" si="358"/>
        <v>0</v>
      </c>
      <c r="G545" s="36"/>
      <c r="H545" s="36"/>
      <c r="I545" s="37"/>
      <c r="J545" s="37"/>
      <c r="K545" s="38"/>
      <c r="L545" s="39"/>
      <c r="M545" s="39"/>
      <c r="N545" s="40"/>
      <c r="O545" s="39"/>
      <c r="P545" s="39"/>
      <c r="Q545" s="39"/>
      <c r="R545" s="40"/>
      <c r="S545" s="41"/>
      <c r="T545" s="41"/>
      <c r="U545" s="41"/>
      <c r="V545" s="41"/>
      <c r="W545" s="41"/>
      <c r="X545" s="42" t="str">
        <f t="shared" si="359"/>
        <v/>
      </c>
      <c r="Y545" s="39"/>
      <c r="Z545" s="39"/>
      <c r="AA545" s="39"/>
      <c r="AB545" s="42">
        <f t="shared" si="360"/>
        <v>0</v>
      </c>
      <c r="AC545" s="39"/>
      <c r="AD545" s="39"/>
      <c r="AE545" s="44">
        <f t="shared" si="361"/>
        <v>1</v>
      </c>
      <c r="AF545" s="45">
        <f t="shared" si="362"/>
        <v>0</v>
      </c>
      <c r="AG545" s="45">
        <f t="shared" si="363"/>
        <v>0</v>
      </c>
      <c r="AH545" s="46"/>
      <c r="AI545" s="40"/>
      <c r="AJ545" s="40"/>
      <c r="AK545" s="47"/>
      <c r="AL545" s="40"/>
      <c r="AM545" s="48">
        <f t="shared" si="364"/>
        <v>0</v>
      </c>
      <c r="AN545" s="48">
        <f t="shared" si="365"/>
        <v>0</v>
      </c>
      <c r="AO545" s="48">
        <f t="shared" si="366"/>
        <v>0</v>
      </c>
      <c r="AP545" s="48">
        <f t="shared" si="367"/>
        <v>0</v>
      </c>
      <c r="AQ545" s="48">
        <f t="shared" si="368"/>
        <v>0</v>
      </c>
      <c r="AR545" s="48">
        <f t="shared" si="369"/>
        <v>0</v>
      </c>
      <c r="AS545" s="48">
        <f t="shared" si="370"/>
        <v>0</v>
      </c>
      <c r="AT545" s="48">
        <f t="shared" si="371"/>
        <v>0</v>
      </c>
      <c r="AU545" s="48">
        <f t="shared" si="372"/>
        <v>0</v>
      </c>
      <c r="AV545" s="48">
        <f t="shared" si="373"/>
        <v>0</v>
      </c>
      <c r="AW545" s="48">
        <f>IF(N545="ПП",РПП*AB545*(V545/1.5),IF(N545="ВП",ВПр*AB545*(V545/1.5),IF(N545="РПА",РПА*AB545*(V545/1.5),IF(N545="КПА",кпа*AB545*(V545/1.5),0))))</f>
        <v>0</v>
      </c>
      <c r="AX545" s="48">
        <f t="shared" si="374"/>
        <v>0</v>
      </c>
      <c r="AY545" s="48">
        <f t="shared" si="375"/>
        <v>0</v>
      </c>
      <c r="AZ545" s="48">
        <f t="shared" si="376"/>
        <v>0</v>
      </c>
      <c r="BA545" s="48">
        <f t="shared" si="377"/>
        <v>0</v>
      </c>
      <c r="BB545" s="48">
        <f t="shared" si="378"/>
        <v>0</v>
      </c>
      <c r="BC545" s="48">
        <f t="shared" si="379"/>
        <v>0</v>
      </c>
      <c r="BD545" s="48">
        <f t="shared" si="380"/>
        <v>0</v>
      </c>
      <c r="BE545" s="48">
        <f t="shared" si="381"/>
        <v>0</v>
      </c>
      <c r="BF545" s="49">
        <f t="shared" si="382"/>
        <v>0</v>
      </c>
      <c r="BG545" s="50"/>
      <c r="BH545" s="51">
        <f t="shared" si="383"/>
        <v>0</v>
      </c>
      <c r="BI545" s="51">
        <f t="shared" si="384"/>
        <v>0</v>
      </c>
      <c r="BJ545" s="51">
        <f t="shared" si="385"/>
        <v>0</v>
      </c>
      <c r="BK545" s="52">
        <f t="shared" si="386"/>
        <v>0</v>
      </c>
      <c r="BL545" s="52">
        <f t="shared" si="387"/>
        <v>0</v>
      </c>
      <c r="BM545" s="52">
        <f t="shared" si="388"/>
        <v>0</v>
      </c>
    </row>
    <row r="546" spans="1:66" ht="30" customHeight="1" x14ac:dyDescent="0.25">
      <c r="A546" s="31">
        <f t="shared" si="354"/>
        <v>0</v>
      </c>
      <c r="B546" s="31">
        <f t="shared" si="355"/>
        <v>0</v>
      </c>
      <c r="C546" s="32"/>
      <c r="D546" s="33">
        <f t="shared" si="356"/>
        <v>0</v>
      </c>
      <c r="E546" s="34">
        <f t="shared" si="357"/>
        <v>0</v>
      </c>
      <c r="F546" s="35">
        <f t="shared" si="358"/>
        <v>0</v>
      </c>
      <c r="G546" s="36"/>
      <c r="H546" s="36"/>
      <c r="I546" s="37"/>
      <c r="J546" s="37"/>
      <c r="K546" s="38"/>
      <c r="L546" s="39"/>
      <c r="M546" s="39"/>
      <c r="N546" s="40"/>
      <c r="O546" s="39"/>
      <c r="P546" s="39"/>
      <c r="Q546" s="39"/>
      <c r="R546" s="40"/>
      <c r="S546" s="41"/>
      <c r="T546" s="41"/>
      <c r="U546" s="41"/>
      <c r="V546" s="41"/>
      <c r="W546" s="41"/>
      <c r="X546" s="42" t="str">
        <f t="shared" si="359"/>
        <v/>
      </c>
      <c r="Y546" s="39"/>
      <c r="Z546" s="39"/>
      <c r="AA546" s="39"/>
      <c r="AB546" s="42">
        <f t="shared" si="360"/>
        <v>0</v>
      </c>
      <c r="AC546" s="39"/>
      <c r="AD546" s="39"/>
      <c r="AE546" s="44">
        <f t="shared" si="361"/>
        <v>1</v>
      </c>
      <c r="AF546" s="45">
        <f t="shared" si="362"/>
        <v>0</v>
      </c>
      <c r="AG546" s="45">
        <f t="shared" si="363"/>
        <v>0</v>
      </c>
      <c r="AH546" s="46"/>
      <c r="AI546" s="40"/>
      <c r="AJ546" s="40"/>
      <c r="AK546" s="47"/>
      <c r="AL546" s="40"/>
      <c r="AM546" s="48">
        <f t="shared" si="364"/>
        <v>0</v>
      </c>
      <c r="AN546" s="48">
        <f t="shared" si="365"/>
        <v>0</v>
      </c>
      <c r="AO546" s="48">
        <f t="shared" si="366"/>
        <v>0</v>
      </c>
      <c r="AP546" s="48">
        <f t="shared" si="367"/>
        <v>0</v>
      </c>
      <c r="AQ546" s="48">
        <f t="shared" si="368"/>
        <v>0</v>
      </c>
      <c r="AR546" s="48">
        <f t="shared" si="369"/>
        <v>0</v>
      </c>
      <c r="AS546" s="48">
        <f t="shared" si="370"/>
        <v>0</v>
      </c>
      <c r="AT546" s="48">
        <f t="shared" si="371"/>
        <v>0</v>
      </c>
      <c r="AU546" s="48">
        <f t="shared" si="372"/>
        <v>0</v>
      </c>
      <c r="AV546" s="48">
        <f t="shared" si="373"/>
        <v>0</v>
      </c>
      <c r="AW546" s="48">
        <f>IF(N546="ПП",РПП*AB546*(V546/1.5),IF(N546="ВП",ВПр*AB546*(V546/1.5),IF(N546="РПА",РПА*AB546*(V546/1.5),IF(N546="КПА",кпа*AB546*(V546/1.5),0))))</f>
        <v>0</v>
      </c>
      <c r="AX546" s="48">
        <f t="shared" si="374"/>
        <v>0</v>
      </c>
      <c r="AY546" s="48">
        <f t="shared" si="375"/>
        <v>0</v>
      </c>
      <c r="AZ546" s="48">
        <f t="shared" si="376"/>
        <v>0</v>
      </c>
      <c r="BA546" s="48">
        <f t="shared" si="377"/>
        <v>0</v>
      </c>
      <c r="BB546" s="48">
        <f t="shared" si="378"/>
        <v>0</v>
      </c>
      <c r="BC546" s="48">
        <f t="shared" si="379"/>
        <v>0</v>
      </c>
      <c r="BD546" s="48">
        <f t="shared" si="380"/>
        <v>0</v>
      </c>
      <c r="BE546" s="48">
        <f t="shared" si="381"/>
        <v>0</v>
      </c>
      <c r="BF546" s="49">
        <f t="shared" si="382"/>
        <v>0</v>
      </c>
      <c r="BG546" s="50"/>
      <c r="BH546" s="51">
        <f t="shared" si="383"/>
        <v>0</v>
      </c>
      <c r="BI546" s="51">
        <f t="shared" si="384"/>
        <v>0</v>
      </c>
      <c r="BJ546" s="51">
        <f t="shared" si="385"/>
        <v>0</v>
      </c>
      <c r="BK546" s="52">
        <f t="shared" si="386"/>
        <v>0</v>
      </c>
      <c r="BL546" s="52">
        <f t="shared" si="387"/>
        <v>0</v>
      </c>
      <c r="BM546" s="52">
        <f t="shared" si="388"/>
        <v>0</v>
      </c>
    </row>
    <row r="547" spans="1:66" ht="30" customHeight="1" thickBot="1" x14ac:dyDescent="0.3">
      <c r="A547" s="31">
        <f t="shared" si="354"/>
        <v>0</v>
      </c>
      <c r="B547" s="31">
        <f t="shared" si="355"/>
        <v>0</v>
      </c>
      <c r="C547" s="32"/>
      <c r="D547" s="33">
        <f t="shared" si="356"/>
        <v>0</v>
      </c>
      <c r="E547" s="34">
        <f t="shared" si="357"/>
        <v>0</v>
      </c>
      <c r="F547" s="35">
        <f t="shared" si="358"/>
        <v>0</v>
      </c>
      <c r="G547" s="36"/>
      <c r="H547" s="36"/>
      <c r="I547" s="37"/>
      <c r="J547" s="37"/>
      <c r="K547" s="38"/>
      <c r="L547" s="39"/>
      <c r="M547" s="39"/>
      <c r="N547" s="40"/>
      <c r="O547" s="39"/>
      <c r="P547" s="39"/>
      <c r="Q547" s="39"/>
      <c r="R547" s="40"/>
      <c r="S547" s="41"/>
      <c r="T547" s="41"/>
      <c r="U547" s="41"/>
      <c r="V547" s="41"/>
      <c r="W547" s="41"/>
      <c r="X547" s="42" t="str">
        <f t="shared" si="359"/>
        <v/>
      </c>
      <c r="Y547" s="39"/>
      <c r="Z547" s="39"/>
      <c r="AA547" s="39"/>
      <c r="AB547" s="42">
        <f t="shared" si="360"/>
        <v>0</v>
      </c>
      <c r="AC547" s="39"/>
      <c r="AD547" s="39"/>
      <c r="AE547" s="44">
        <f t="shared" si="361"/>
        <v>1</v>
      </c>
      <c r="AF547" s="45">
        <f t="shared" si="362"/>
        <v>0</v>
      </c>
      <c r="AG547" s="45">
        <f t="shared" si="363"/>
        <v>0</v>
      </c>
      <c r="AH547" s="46"/>
      <c r="AI547" s="40"/>
      <c r="AJ547" s="40"/>
      <c r="AK547" s="47"/>
      <c r="AL547" s="40"/>
      <c r="AM547" s="48">
        <f t="shared" si="364"/>
        <v>0</v>
      </c>
      <c r="AN547" s="48">
        <f t="shared" si="365"/>
        <v>0</v>
      </c>
      <c r="AO547" s="48">
        <f t="shared" si="366"/>
        <v>0</v>
      </c>
      <c r="AP547" s="48">
        <f t="shared" si="367"/>
        <v>0</v>
      </c>
      <c r="AQ547" s="48">
        <f t="shared" si="368"/>
        <v>0</v>
      </c>
      <c r="AR547" s="48">
        <f t="shared" si="369"/>
        <v>0</v>
      </c>
      <c r="AS547" s="48">
        <f t="shared" si="370"/>
        <v>0</v>
      </c>
      <c r="AT547" s="48">
        <f t="shared" si="371"/>
        <v>0</v>
      </c>
      <c r="AU547" s="48">
        <f t="shared" si="372"/>
        <v>0</v>
      </c>
      <c r="AV547" s="48">
        <f t="shared" si="373"/>
        <v>0</v>
      </c>
      <c r="AW547" s="48">
        <f>IF(N547="ПП",РПП*AB547*(V547/1.5),IF(N547="ВП",ВПр*AB547*(V547/1.5),IF(N547="РПА",РПА*AB547*(V547/1.5),IF(N547="КПА",кпа*AB547*(V547/1.5),0))))</f>
        <v>0</v>
      </c>
      <c r="AX547" s="48">
        <f t="shared" si="374"/>
        <v>0</v>
      </c>
      <c r="AY547" s="48">
        <f t="shared" si="375"/>
        <v>0</v>
      </c>
      <c r="AZ547" s="48">
        <f t="shared" si="376"/>
        <v>0</v>
      </c>
      <c r="BA547" s="48">
        <f t="shared" si="377"/>
        <v>0</v>
      </c>
      <c r="BB547" s="48">
        <f t="shared" si="378"/>
        <v>0</v>
      </c>
      <c r="BC547" s="48">
        <f t="shared" si="379"/>
        <v>0</v>
      </c>
      <c r="BD547" s="48">
        <f t="shared" si="380"/>
        <v>0</v>
      </c>
      <c r="BE547" s="48">
        <f t="shared" si="381"/>
        <v>0</v>
      </c>
      <c r="BF547" s="49">
        <f t="shared" si="382"/>
        <v>0</v>
      </c>
      <c r="BG547" s="50"/>
      <c r="BH547" s="51">
        <f t="shared" si="383"/>
        <v>0</v>
      </c>
      <c r="BI547" s="51">
        <f t="shared" si="384"/>
        <v>0</v>
      </c>
      <c r="BJ547" s="51">
        <f t="shared" si="385"/>
        <v>0</v>
      </c>
      <c r="BK547" s="52">
        <f t="shared" si="386"/>
        <v>0</v>
      </c>
      <c r="BL547" s="52">
        <f t="shared" si="387"/>
        <v>0</v>
      </c>
      <c r="BM547" s="52">
        <f t="shared" si="388"/>
        <v>0</v>
      </c>
    </row>
    <row r="548" spans="1:66" ht="26.25" customHeight="1" thickBot="1" x14ac:dyDescent="0.3">
      <c r="AM548" s="63">
        <f>SUBTOTAL(9,AM6:AM547)</f>
        <v>2369</v>
      </c>
      <c r="AN548" s="64">
        <f>SUBTOTAL(9,AN6:AN547)</f>
        <v>2514.4166666666665</v>
      </c>
      <c r="AO548" s="64">
        <f>SUBTOTAL(9,AO6:AO547)</f>
        <v>4194</v>
      </c>
      <c r="AP548" s="64">
        <f>SUBTOTAL(9,AP6:AP547)</f>
        <v>1702.1400000000008</v>
      </c>
      <c r="AQ548" s="64">
        <f>SUBTOTAL(9,AQ6:AQ547)</f>
        <v>2465</v>
      </c>
      <c r="AR548" s="64">
        <f>SUBTOTAL(9,AR6:AR547)</f>
        <v>224.79166666666663</v>
      </c>
      <c r="AS548" s="64">
        <f>SUBTOTAL(9,AS6:AS547)</f>
        <v>242.95000000000044</v>
      </c>
      <c r="AT548" s="64">
        <f>SUBTOTAL(9,AT6:AT547)</f>
        <v>0</v>
      </c>
      <c r="AU548" s="64">
        <f>SUBTOTAL(9,AU6:AU547)</f>
        <v>0</v>
      </c>
      <c r="AV548" s="64">
        <f>SUBTOTAL(9,AV6:AV547)</f>
        <v>330</v>
      </c>
      <c r="AW548" s="64">
        <f>SUBTOTAL(9,AW6:AW547)</f>
        <v>1286</v>
      </c>
      <c r="AX548" s="64">
        <f>SUBTOTAL(9,AX6:AX547)</f>
        <v>588</v>
      </c>
      <c r="AY548" s="64">
        <f>SUBTOTAL(9,AY6:AY547)</f>
        <v>0</v>
      </c>
      <c r="AZ548" s="64">
        <f>SUBTOTAL(9,AZ6:AZ547)</f>
        <v>0</v>
      </c>
      <c r="BA548" s="64">
        <f>SUBTOTAL(9,BA6:BA547)</f>
        <v>0</v>
      </c>
      <c r="BB548" s="64">
        <f>SUBTOTAL(9,BB6:BB547)</f>
        <v>1125</v>
      </c>
      <c r="BC548" s="64">
        <f>SUBTOTAL(9,BC6:BC547)</f>
        <v>2446</v>
      </c>
      <c r="BD548" s="64">
        <f>SUBTOTAL(9,BD6:BD547)</f>
        <v>258</v>
      </c>
      <c r="BE548" s="64">
        <f>SUBTOTAL(9,BE6:BE547)</f>
        <v>61.333333333333336</v>
      </c>
      <c r="BF548" s="65">
        <f>SUBTOTAL(9,BF6:BF547)</f>
        <v>19806.631666666661</v>
      </c>
      <c r="BG548" s="66">
        <f>SUBTOTAL(9,BF6:BF547)-BF548</f>
        <v>0</v>
      </c>
      <c r="BH548" s="67">
        <f t="shared" ref="BH548:BM548" si="389">SUBTOTAL(9,BH6:BH547)</f>
        <v>6047</v>
      </c>
      <c r="BI548" s="68">
        <f t="shared" si="389"/>
        <v>205.5</v>
      </c>
      <c r="BJ548" s="68">
        <f t="shared" si="389"/>
        <v>4043.9933333333347</v>
      </c>
      <c r="BK548" s="69">
        <f t="shared" si="389"/>
        <v>3030.4166666666665</v>
      </c>
      <c r="BL548" s="69">
        <f t="shared" si="389"/>
        <v>95</v>
      </c>
      <c r="BM548" s="70">
        <f t="shared" si="389"/>
        <v>6685.2216666666636</v>
      </c>
      <c r="BN548" s="71">
        <f>BG548-BH548-BJ548-BK548-BM548</f>
        <v>-19806.631666666664</v>
      </c>
    </row>
  </sheetData>
  <autoFilter ref="A5:BM547" xr:uid="{00000000-0009-0000-0000-000000000000}">
    <sortState xmlns:xlrd2="http://schemas.microsoft.com/office/spreadsheetml/2017/richdata2" ref="A513:BM541">
      <sortCondition ref="L5:L547"/>
    </sortState>
  </autoFilter>
  <mergeCells count="57">
    <mergeCell ref="BI3:BI4"/>
    <mergeCell ref="BJ3:BJ4"/>
    <mergeCell ref="BK3:BK4"/>
    <mergeCell ref="BL3:BL4"/>
    <mergeCell ref="BM3:BM4"/>
    <mergeCell ref="BB3:BB4"/>
    <mergeCell ref="BC3:BC4"/>
    <mergeCell ref="BD3:BD4"/>
    <mergeCell ref="BE3:BE4"/>
    <mergeCell ref="BH3:BH4"/>
    <mergeCell ref="AW3:AW4"/>
    <mergeCell ref="AX3:AX4"/>
    <mergeCell ref="AY3:AY4"/>
    <mergeCell ref="AZ3:AZ4"/>
    <mergeCell ref="BA3:BA4"/>
    <mergeCell ref="AR3:AR4"/>
    <mergeCell ref="AS3:AS4"/>
    <mergeCell ref="AT3:AT4"/>
    <mergeCell ref="AU3:AU4"/>
    <mergeCell ref="AV3:AV4"/>
    <mergeCell ref="AM3:AM4"/>
    <mergeCell ref="AN3:AN4"/>
    <mergeCell ref="AO3:AO4"/>
    <mergeCell ref="AP3:AP4"/>
    <mergeCell ref="AQ3:AQ4"/>
    <mergeCell ref="AH3:AH4"/>
    <mergeCell ref="AI3:AI4"/>
    <mergeCell ref="AJ3:AJ4"/>
    <mergeCell ref="AK3:AK4"/>
    <mergeCell ref="AL3:AL4"/>
    <mergeCell ref="V3:V4"/>
    <mergeCell ref="W3:W4"/>
    <mergeCell ref="X3:AA3"/>
    <mergeCell ref="AB3:AD3"/>
    <mergeCell ref="AE3:AG3"/>
    <mergeCell ref="AM2:BE2"/>
    <mergeCell ref="BF2:BF4"/>
    <mergeCell ref="BH2:BJ2"/>
    <mergeCell ref="BK2:BM2"/>
    <mergeCell ref="A3:A4"/>
    <mergeCell ref="B3:B4"/>
    <mergeCell ref="C3:F3"/>
    <mergeCell ref="G3:K3"/>
    <mergeCell ref="L3:L4"/>
    <mergeCell ref="M3:M4"/>
    <mergeCell ref="N3:N4"/>
    <mergeCell ref="O3:Q3"/>
    <mergeCell ref="R3:R4"/>
    <mergeCell ref="S3:S4"/>
    <mergeCell ref="T3:T4"/>
    <mergeCell ref="U3:U4"/>
    <mergeCell ref="A1:C1"/>
    <mergeCell ref="E1:F1"/>
    <mergeCell ref="G1:AL1"/>
    <mergeCell ref="A2:W2"/>
    <mergeCell ref="X2:AG2"/>
    <mergeCell ref="AH2:AL2"/>
  </mergeCells>
  <phoneticPr fontId="44" type="noConversion"/>
  <dataValidations count="3">
    <dataValidation type="list" allowBlank="1" showInputMessage="1" showErrorMessage="1" sqref="AI6:AI547" xr:uid="{00000000-0002-0000-0000-000000000000}">
      <formula1>Должность</formula1>
      <formula2>0</formula2>
    </dataValidation>
    <dataValidation type="list" allowBlank="1" showInputMessage="1" showErrorMessage="1" sqref="AJ6:AJ547" xr:uid="{00000000-0002-0000-0000-000001000000}">
      <formula1>Условия_привлечения</formula1>
      <formula2>0</formula2>
    </dataValidation>
    <dataValidation type="list" allowBlank="1" showInputMessage="1" showErrorMessage="1" sqref="N6:N547" xr:uid="{00000000-0002-0000-0000-000002000000}">
      <formula1>Вид_УР</formula1>
      <formula2>0</formula2>
    </dataValidation>
  </dataValidations>
  <pageMargins left="0.7" right="0.7" top="0.75" bottom="0.75" header="0.511811023622047" footer="0.511811023622047"/>
  <pageSetup paperSize="9" fitToHeight="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3000000}">
          <x14:formula1>
            <xm:f>Списки!$A$35:$A$42</xm:f>
          </x14:formula1>
          <x14:formula2>
            <xm:f>0</xm:f>
          </x14:formula2>
          <xm:sqref>R6:R547</xm:sqref>
        </x14:dataValidation>
        <x14:dataValidation type="list" allowBlank="1" showInputMessage="1" showErrorMessage="1" xr:uid="{00000000-0002-0000-0000-000004000000}">
          <x14:formula1>
            <xm:f>Списки!$A$84:$A$86</xm:f>
          </x14:formula1>
          <x14:formula2>
            <xm:f>0</xm:f>
          </x14:formula2>
          <xm:sqref>H6:H547</xm:sqref>
        </x14:dataValidation>
        <x14:dataValidation type="list" allowBlank="1" showInputMessage="1" showErrorMessage="1" xr:uid="{00000000-0002-0000-0000-000005000000}">
          <x14:formula1>
            <xm:f>Списки!$A$30:$A$32</xm:f>
          </x14:formula1>
          <x14:formula2>
            <xm:f>0</xm:f>
          </x14:formula2>
          <xm:sqref>AL6:AL547</xm:sqref>
        </x14:dataValidation>
        <x14:dataValidation type="list" allowBlank="1" showInputMessage="1" showErrorMessage="1" xr:uid="{00000000-0002-0000-0000-000006000000}">
          <x14:formula1>
            <xm:f>Списки!$A$78:$A$81</xm:f>
          </x14:formula1>
          <x14:formula2>
            <xm:f>0</xm:f>
          </x14:formula2>
          <xm:sqref>G6:G547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N960"/>
  <sheetViews>
    <sheetView showZeros="0" zoomScale="80" zoomScaleNormal="80" workbookViewId="0">
      <pane ySplit="2" topLeftCell="A3" activePane="bottomLeft" state="frozen"/>
      <selection pane="bottomLeft" activeCell="A714" sqref="A714"/>
    </sheetView>
  </sheetViews>
  <sheetFormatPr defaultColWidth="8.88671875" defaultRowHeight="12.75" customHeight="1" x14ac:dyDescent="0.25"/>
  <cols>
    <col min="1" max="1" width="19.88671875" style="72" customWidth="1"/>
    <col min="2" max="2" width="12.6640625" style="72" customWidth="1"/>
    <col min="3" max="3" width="14.44140625" style="72" customWidth="1"/>
    <col min="4" max="5" width="10.6640625" style="72" customWidth="1"/>
    <col min="6" max="6" width="14.6640625" style="72" customWidth="1"/>
    <col min="7" max="7" width="29.6640625" style="72" customWidth="1"/>
    <col min="8" max="8" width="51.88671875" style="72" customWidth="1"/>
    <col min="9" max="10" width="41.33203125" style="73" customWidth="1"/>
    <col min="11" max="12" width="7.6640625" style="74" customWidth="1"/>
    <col min="13" max="13" width="70.6640625" style="75" customWidth="1"/>
    <col min="14" max="14" width="17" style="75" customWidth="1"/>
    <col min="15" max="193" width="8.88671875" style="76"/>
    <col min="194" max="194" width="18.109375" style="76" customWidth="1"/>
    <col min="195" max="195" width="18.33203125" style="76" customWidth="1"/>
    <col min="196" max="198" width="13" style="76" customWidth="1"/>
    <col min="199" max="200" width="18.88671875" style="76" customWidth="1"/>
    <col min="201" max="201" width="108.88671875" style="76" customWidth="1"/>
    <col min="202" max="202" width="14.44140625" style="76" customWidth="1"/>
    <col min="203" max="211" width="6.6640625" style="76" customWidth="1"/>
    <col min="212" max="218" width="8.88671875" style="76"/>
    <col min="219" max="220" width="6.33203125" style="76" customWidth="1"/>
    <col min="221" max="449" width="8.88671875" style="76"/>
    <col min="450" max="450" width="18.109375" style="76" customWidth="1"/>
    <col min="451" max="451" width="18.33203125" style="76" customWidth="1"/>
    <col min="452" max="454" width="13" style="76" customWidth="1"/>
    <col min="455" max="456" width="18.88671875" style="76" customWidth="1"/>
    <col min="457" max="457" width="108.88671875" style="76" customWidth="1"/>
    <col min="458" max="458" width="14.44140625" style="76" customWidth="1"/>
    <col min="459" max="467" width="6.6640625" style="76" customWidth="1"/>
    <col min="468" max="474" width="8.88671875" style="76"/>
    <col min="475" max="476" width="6.33203125" style="76" customWidth="1"/>
    <col min="477" max="705" width="8.88671875" style="76"/>
    <col min="706" max="706" width="18.109375" style="76" customWidth="1"/>
    <col min="707" max="707" width="18.33203125" style="76" customWidth="1"/>
    <col min="708" max="710" width="13" style="76" customWidth="1"/>
    <col min="711" max="712" width="18.88671875" style="76" customWidth="1"/>
    <col min="713" max="713" width="108.88671875" style="76" customWidth="1"/>
    <col min="714" max="714" width="14.44140625" style="76" customWidth="1"/>
    <col min="715" max="723" width="6.6640625" style="76" customWidth="1"/>
    <col min="724" max="730" width="8.88671875" style="76"/>
    <col min="731" max="732" width="6.33203125" style="76" customWidth="1"/>
    <col min="733" max="961" width="8.88671875" style="76"/>
    <col min="962" max="962" width="18.109375" style="76" customWidth="1"/>
    <col min="963" max="963" width="18.33203125" style="76" customWidth="1"/>
    <col min="964" max="966" width="13" style="76" customWidth="1"/>
    <col min="967" max="968" width="18.88671875" style="76" customWidth="1"/>
    <col min="969" max="969" width="108.88671875" style="76" customWidth="1"/>
    <col min="970" max="970" width="14.44140625" style="76" customWidth="1"/>
    <col min="971" max="979" width="6.6640625" style="76" customWidth="1"/>
    <col min="980" max="986" width="8.88671875" style="76"/>
    <col min="987" max="988" width="6.33203125" style="76" customWidth="1"/>
    <col min="989" max="1217" width="8.88671875" style="76"/>
    <col min="1218" max="1218" width="18.109375" style="76" customWidth="1"/>
    <col min="1219" max="1219" width="18.33203125" style="76" customWidth="1"/>
    <col min="1220" max="1222" width="13" style="76" customWidth="1"/>
    <col min="1223" max="1224" width="18.88671875" style="76" customWidth="1"/>
    <col min="1225" max="1225" width="108.88671875" style="76" customWidth="1"/>
    <col min="1226" max="1226" width="14.44140625" style="76" customWidth="1"/>
    <col min="1227" max="1235" width="6.6640625" style="76" customWidth="1"/>
    <col min="1236" max="1242" width="8.88671875" style="76"/>
    <col min="1243" max="1244" width="6.33203125" style="76" customWidth="1"/>
    <col min="1245" max="1473" width="8.88671875" style="76"/>
    <col min="1474" max="1474" width="18.109375" style="76" customWidth="1"/>
    <col min="1475" max="1475" width="18.33203125" style="76" customWidth="1"/>
    <col min="1476" max="1478" width="13" style="76" customWidth="1"/>
    <col min="1479" max="1480" width="18.88671875" style="76" customWidth="1"/>
    <col min="1481" max="1481" width="108.88671875" style="76" customWidth="1"/>
    <col min="1482" max="1482" width="14.44140625" style="76" customWidth="1"/>
    <col min="1483" max="1491" width="6.6640625" style="76" customWidth="1"/>
    <col min="1492" max="1498" width="8.88671875" style="76"/>
    <col min="1499" max="1500" width="6.33203125" style="76" customWidth="1"/>
    <col min="1501" max="1729" width="8.88671875" style="76"/>
    <col min="1730" max="1730" width="18.109375" style="76" customWidth="1"/>
    <col min="1731" max="1731" width="18.33203125" style="76" customWidth="1"/>
    <col min="1732" max="1734" width="13" style="76" customWidth="1"/>
    <col min="1735" max="1736" width="18.88671875" style="76" customWidth="1"/>
    <col min="1737" max="1737" width="108.88671875" style="76" customWidth="1"/>
    <col min="1738" max="1738" width="14.44140625" style="76" customWidth="1"/>
    <col min="1739" max="1747" width="6.6640625" style="76" customWidth="1"/>
    <col min="1748" max="1754" width="8.88671875" style="76"/>
    <col min="1755" max="1756" width="6.33203125" style="76" customWidth="1"/>
    <col min="1757" max="1985" width="8.88671875" style="76"/>
    <col min="1986" max="1986" width="18.109375" style="76" customWidth="1"/>
    <col min="1987" max="1987" width="18.33203125" style="76" customWidth="1"/>
    <col min="1988" max="1990" width="13" style="76" customWidth="1"/>
    <col min="1991" max="1992" width="18.88671875" style="76" customWidth="1"/>
    <col min="1993" max="1993" width="108.88671875" style="76" customWidth="1"/>
    <col min="1994" max="1994" width="14.44140625" style="76" customWidth="1"/>
    <col min="1995" max="2003" width="6.6640625" style="76" customWidth="1"/>
    <col min="2004" max="2010" width="8.88671875" style="76"/>
    <col min="2011" max="2012" width="6.33203125" style="76" customWidth="1"/>
    <col min="2013" max="2241" width="8.88671875" style="76"/>
    <col min="2242" max="2242" width="18.109375" style="76" customWidth="1"/>
    <col min="2243" max="2243" width="18.33203125" style="76" customWidth="1"/>
    <col min="2244" max="2246" width="13" style="76" customWidth="1"/>
    <col min="2247" max="2248" width="18.88671875" style="76" customWidth="1"/>
    <col min="2249" max="2249" width="108.88671875" style="76" customWidth="1"/>
    <col min="2250" max="2250" width="14.44140625" style="76" customWidth="1"/>
    <col min="2251" max="2259" width="6.6640625" style="76" customWidth="1"/>
    <col min="2260" max="2266" width="8.88671875" style="76"/>
    <col min="2267" max="2268" width="6.33203125" style="76" customWidth="1"/>
    <col min="2269" max="2497" width="8.88671875" style="76"/>
    <col min="2498" max="2498" width="18.109375" style="76" customWidth="1"/>
    <col min="2499" max="2499" width="18.33203125" style="76" customWidth="1"/>
    <col min="2500" max="2502" width="13" style="76" customWidth="1"/>
    <col min="2503" max="2504" width="18.88671875" style="76" customWidth="1"/>
    <col min="2505" max="2505" width="108.88671875" style="76" customWidth="1"/>
    <col min="2506" max="2506" width="14.44140625" style="76" customWidth="1"/>
    <col min="2507" max="2515" width="6.6640625" style="76" customWidth="1"/>
    <col min="2516" max="2522" width="8.88671875" style="76"/>
    <col min="2523" max="2524" width="6.33203125" style="76" customWidth="1"/>
    <col min="2525" max="2753" width="8.88671875" style="76"/>
    <col min="2754" max="2754" width="18.109375" style="76" customWidth="1"/>
    <col min="2755" max="2755" width="18.33203125" style="76" customWidth="1"/>
    <col min="2756" max="2758" width="13" style="76" customWidth="1"/>
    <col min="2759" max="2760" width="18.88671875" style="76" customWidth="1"/>
    <col min="2761" max="2761" width="108.88671875" style="76" customWidth="1"/>
    <col min="2762" max="2762" width="14.44140625" style="76" customWidth="1"/>
    <col min="2763" max="2771" width="6.6640625" style="76" customWidth="1"/>
    <col min="2772" max="2778" width="8.88671875" style="76"/>
    <col min="2779" max="2780" width="6.33203125" style="76" customWidth="1"/>
    <col min="2781" max="3009" width="8.88671875" style="76"/>
    <col min="3010" max="3010" width="18.109375" style="76" customWidth="1"/>
    <col min="3011" max="3011" width="18.33203125" style="76" customWidth="1"/>
    <col min="3012" max="3014" width="13" style="76" customWidth="1"/>
    <col min="3015" max="3016" width="18.88671875" style="76" customWidth="1"/>
    <col min="3017" max="3017" width="108.88671875" style="76" customWidth="1"/>
    <col min="3018" max="3018" width="14.44140625" style="76" customWidth="1"/>
    <col min="3019" max="3027" width="6.6640625" style="76" customWidth="1"/>
    <col min="3028" max="3034" width="8.88671875" style="76"/>
    <col min="3035" max="3036" width="6.33203125" style="76" customWidth="1"/>
    <col min="3037" max="3265" width="8.88671875" style="76"/>
    <col min="3266" max="3266" width="18.109375" style="76" customWidth="1"/>
    <col min="3267" max="3267" width="18.33203125" style="76" customWidth="1"/>
    <col min="3268" max="3270" width="13" style="76" customWidth="1"/>
    <col min="3271" max="3272" width="18.88671875" style="76" customWidth="1"/>
    <col min="3273" max="3273" width="108.88671875" style="76" customWidth="1"/>
    <col min="3274" max="3274" width="14.44140625" style="76" customWidth="1"/>
    <col min="3275" max="3283" width="6.6640625" style="76" customWidth="1"/>
    <col min="3284" max="3290" width="8.88671875" style="76"/>
    <col min="3291" max="3292" width="6.33203125" style="76" customWidth="1"/>
    <col min="3293" max="3521" width="8.88671875" style="76"/>
    <col min="3522" max="3522" width="18.109375" style="76" customWidth="1"/>
    <col min="3523" max="3523" width="18.33203125" style="76" customWidth="1"/>
    <col min="3524" max="3526" width="13" style="76" customWidth="1"/>
    <col min="3527" max="3528" width="18.88671875" style="76" customWidth="1"/>
    <col min="3529" max="3529" width="108.88671875" style="76" customWidth="1"/>
    <col min="3530" max="3530" width="14.44140625" style="76" customWidth="1"/>
    <col min="3531" max="3539" width="6.6640625" style="76" customWidth="1"/>
    <col min="3540" max="3546" width="8.88671875" style="76"/>
    <col min="3547" max="3548" width="6.33203125" style="76" customWidth="1"/>
    <col min="3549" max="3777" width="8.88671875" style="76"/>
    <col min="3778" max="3778" width="18.109375" style="76" customWidth="1"/>
    <col min="3779" max="3779" width="18.33203125" style="76" customWidth="1"/>
    <col min="3780" max="3782" width="13" style="76" customWidth="1"/>
    <col min="3783" max="3784" width="18.88671875" style="76" customWidth="1"/>
    <col min="3785" max="3785" width="108.88671875" style="76" customWidth="1"/>
    <col min="3786" max="3786" width="14.44140625" style="76" customWidth="1"/>
    <col min="3787" max="3795" width="6.6640625" style="76" customWidth="1"/>
    <col min="3796" max="3802" width="8.88671875" style="76"/>
    <col min="3803" max="3804" width="6.33203125" style="76" customWidth="1"/>
    <col min="3805" max="4033" width="8.88671875" style="76"/>
    <col min="4034" max="4034" width="18.109375" style="76" customWidth="1"/>
    <col min="4035" max="4035" width="18.33203125" style="76" customWidth="1"/>
    <col min="4036" max="4038" width="13" style="76" customWidth="1"/>
    <col min="4039" max="4040" width="18.88671875" style="76" customWidth="1"/>
    <col min="4041" max="4041" width="108.88671875" style="76" customWidth="1"/>
    <col min="4042" max="4042" width="14.44140625" style="76" customWidth="1"/>
    <col min="4043" max="4051" width="6.6640625" style="76" customWidth="1"/>
    <col min="4052" max="4058" width="8.88671875" style="76"/>
    <col min="4059" max="4060" width="6.33203125" style="76" customWidth="1"/>
    <col min="4061" max="4289" width="8.88671875" style="76"/>
    <col min="4290" max="4290" width="18.109375" style="76" customWidth="1"/>
    <col min="4291" max="4291" width="18.33203125" style="76" customWidth="1"/>
    <col min="4292" max="4294" width="13" style="76" customWidth="1"/>
    <col min="4295" max="4296" width="18.88671875" style="76" customWidth="1"/>
    <col min="4297" max="4297" width="108.88671875" style="76" customWidth="1"/>
    <col min="4298" max="4298" width="14.44140625" style="76" customWidth="1"/>
    <col min="4299" max="4307" width="6.6640625" style="76" customWidth="1"/>
    <col min="4308" max="4314" width="8.88671875" style="76"/>
    <col min="4315" max="4316" width="6.33203125" style="76" customWidth="1"/>
    <col min="4317" max="4545" width="8.88671875" style="76"/>
    <col min="4546" max="4546" width="18.109375" style="76" customWidth="1"/>
    <col min="4547" max="4547" width="18.33203125" style="76" customWidth="1"/>
    <col min="4548" max="4550" width="13" style="76" customWidth="1"/>
    <col min="4551" max="4552" width="18.88671875" style="76" customWidth="1"/>
    <col min="4553" max="4553" width="108.88671875" style="76" customWidth="1"/>
    <col min="4554" max="4554" width="14.44140625" style="76" customWidth="1"/>
    <col min="4555" max="4563" width="6.6640625" style="76" customWidth="1"/>
    <col min="4564" max="4570" width="8.88671875" style="76"/>
    <col min="4571" max="4572" width="6.33203125" style="76" customWidth="1"/>
    <col min="4573" max="4801" width="8.88671875" style="76"/>
    <col min="4802" max="4802" width="18.109375" style="76" customWidth="1"/>
    <col min="4803" max="4803" width="18.33203125" style="76" customWidth="1"/>
    <col min="4804" max="4806" width="13" style="76" customWidth="1"/>
    <col min="4807" max="4808" width="18.88671875" style="76" customWidth="1"/>
    <col min="4809" max="4809" width="108.88671875" style="76" customWidth="1"/>
    <col min="4810" max="4810" width="14.44140625" style="76" customWidth="1"/>
    <col min="4811" max="4819" width="6.6640625" style="76" customWidth="1"/>
    <col min="4820" max="4826" width="8.88671875" style="76"/>
    <col min="4827" max="4828" width="6.33203125" style="76" customWidth="1"/>
    <col min="4829" max="5057" width="8.88671875" style="76"/>
    <col min="5058" max="5058" width="18.109375" style="76" customWidth="1"/>
    <col min="5059" max="5059" width="18.33203125" style="76" customWidth="1"/>
    <col min="5060" max="5062" width="13" style="76" customWidth="1"/>
    <col min="5063" max="5064" width="18.88671875" style="76" customWidth="1"/>
    <col min="5065" max="5065" width="108.88671875" style="76" customWidth="1"/>
    <col min="5066" max="5066" width="14.44140625" style="76" customWidth="1"/>
    <col min="5067" max="5075" width="6.6640625" style="76" customWidth="1"/>
    <col min="5076" max="5082" width="8.88671875" style="76"/>
    <col min="5083" max="5084" width="6.33203125" style="76" customWidth="1"/>
    <col min="5085" max="5313" width="8.88671875" style="76"/>
    <col min="5314" max="5314" width="18.109375" style="76" customWidth="1"/>
    <col min="5315" max="5315" width="18.33203125" style="76" customWidth="1"/>
    <col min="5316" max="5318" width="13" style="76" customWidth="1"/>
    <col min="5319" max="5320" width="18.88671875" style="76" customWidth="1"/>
    <col min="5321" max="5321" width="108.88671875" style="76" customWidth="1"/>
    <col min="5322" max="5322" width="14.44140625" style="76" customWidth="1"/>
    <col min="5323" max="5331" width="6.6640625" style="76" customWidth="1"/>
    <col min="5332" max="5338" width="8.88671875" style="76"/>
    <col min="5339" max="5340" width="6.33203125" style="76" customWidth="1"/>
    <col min="5341" max="5569" width="8.88671875" style="76"/>
    <col min="5570" max="5570" width="18.109375" style="76" customWidth="1"/>
    <col min="5571" max="5571" width="18.33203125" style="76" customWidth="1"/>
    <col min="5572" max="5574" width="13" style="76" customWidth="1"/>
    <col min="5575" max="5576" width="18.88671875" style="76" customWidth="1"/>
    <col min="5577" max="5577" width="108.88671875" style="76" customWidth="1"/>
    <col min="5578" max="5578" width="14.44140625" style="76" customWidth="1"/>
    <col min="5579" max="5587" width="6.6640625" style="76" customWidth="1"/>
    <col min="5588" max="5594" width="8.88671875" style="76"/>
    <col min="5595" max="5596" width="6.33203125" style="76" customWidth="1"/>
    <col min="5597" max="5825" width="8.88671875" style="76"/>
    <col min="5826" max="5826" width="18.109375" style="76" customWidth="1"/>
    <col min="5827" max="5827" width="18.33203125" style="76" customWidth="1"/>
    <col min="5828" max="5830" width="13" style="76" customWidth="1"/>
    <col min="5831" max="5832" width="18.88671875" style="76" customWidth="1"/>
    <col min="5833" max="5833" width="108.88671875" style="76" customWidth="1"/>
    <col min="5834" max="5834" width="14.44140625" style="76" customWidth="1"/>
    <col min="5835" max="5843" width="6.6640625" style="76" customWidth="1"/>
    <col min="5844" max="5850" width="8.88671875" style="76"/>
    <col min="5851" max="5852" width="6.33203125" style="76" customWidth="1"/>
    <col min="5853" max="6081" width="8.88671875" style="76"/>
    <col min="6082" max="6082" width="18.109375" style="76" customWidth="1"/>
    <col min="6083" max="6083" width="18.33203125" style="76" customWidth="1"/>
    <col min="6084" max="6086" width="13" style="76" customWidth="1"/>
    <col min="6087" max="6088" width="18.88671875" style="76" customWidth="1"/>
    <col min="6089" max="6089" width="108.88671875" style="76" customWidth="1"/>
    <col min="6090" max="6090" width="14.44140625" style="76" customWidth="1"/>
    <col min="6091" max="6099" width="6.6640625" style="76" customWidth="1"/>
    <col min="6100" max="6106" width="8.88671875" style="76"/>
    <col min="6107" max="6108" width="6.33203125" style="76" customWidth="1"/>
    <col min="6109" max="6337" width="8.88671875" style="76"/>
    <col min="6338" max="6338" width="18.109375" style="76" customWidth="1"/>
    <col min="6339" max="6339" width="18.33203125" style="76" customWidth="1"/>
    <col min="6340" max="6342" width="13" style="76" customWidth="1"/>
    <col min="6343" max="6344" width="18.88671875" style="76" customWidth="1"/>
    <col min="6345" max="6345" width="108.88671875" style="76" customWidth="1"/>
    <col min="6346" max="6346" width="14.44140625" style="76" customWidth="1"/>
    <col min="6347" max="6355" width="6.6640625" style="76" customWidth="1"/>
    <col min="6356" max="6362" width="8.88671875" style="76"/>
    <col min="6363" max="6364" width="6.33203125" style="76" customWidth="1"/>
    <col min="6365" max="6593" width="8.88671875" style="76"/>
    <col min="6594" max="6594" width="18.109375" style="76" customWidth="1"/>
    <col min="6595" max="6595" width="18.33203125" style="76" customWidth="1"/>
    <col min="6596" max="6598" width="13" style="76" customWidth="1"/>
    <col min="6599" max="6600" width="18.88671875" style="76" customWidth="1"/>
    <col min="6601" max="6601" width="108.88671875" style="76" customWidth="1"/>
    <col min="6602" max="6602" width="14.44140625" style="76" customWidth="1"/>
    <col min="6603" max="6611" width="6.6640625" style="76" customWidth="1"/>
    <col min="6612" max="6618" width="8.88671875" style="76"/>
    <col min="6619" max="6620" width="6.33203125" style="76" customWidth="1"/>
    <col min="6621" max="6849" width="8.88671875" style="76"/>
    <col min="6850" max="6850" width="18.109375" style="76" customWidth="1"/>
    <col min="6851" max="6851" width="18.33203125" style="76" customWidth="1"/>
    <col min="6852" max="6854" width="13" style="76" customWidth="1"/>
    <col min="6855" max="6856" width="18.88671875" style="76" customWidth="1"/>
    <col min="6857" max="6857" width="108.88671875" style="76" customWidth="1"/>
    <col min="6858" max="6858" width="14.44140625" style="76" customWidth="1"/>
    <col min="6859" max="6867" width="6.6640625" style="76" customWidth="1"/>
    <col min="6868" max="6874" width="8.88671875" style="76"/>
    <col min="6875" max="6876" width="6.33203125" style="76" customWidth="1"/>
    <col min="6877" max="7105" width="8.88671875" style="76"/>
    <col min="7106" max="7106" width="18.109375" style="76" customWidth="1"/>
    <col min="7107" max="7107" width="18.33203125" style="76" customWidth="1"/>
    <col min="7108" max="7110" width="13" style="76" customWidth="1"/>
    <col min="7111" max="7112" width="18.88671875" style="76" customWidth="1"/>
    <col min="7113" max="7113" width="108.88671875" style="76" customWidth="1"/>
    <col min="7114" max="7114" width="14.44140625" style="76" customWidth="1"/>
    <col min="7115" max="7123" width="6.6640625" style="76" customWidth="1"/>
    <col min="7124" max="7130" width="8.88671875" style="76"/>
    <col min="7131" max="7132" width="6.33203125" style="76" customWidth="1"/>
    <col min="7133" max="7361" width="8.88671875" style="76"/>
    <col min="7362" max="7362" width="18.109375" style="76" customWidth="1"/>
    <col min="7363" max="7363" width="18.33203125" style="76" customWidth="1"/>
    <col min="7364" max="7366" width="13" style="76" customWidth="1"/>
    <col min="7367" max="7368" width="18.88671875" style="76" customWidth="1"/>
    <col min="7369" max="7369" width="108.88671875" style="76" customWidth="1"/>
    <col min="7370" max="7370" width="14.44140625" style="76" customWidth="1"/>
    <col min="7371" max="7379" width="6.6640625" style="76" customWidth="1"/>
    <col min="7380" max="7386" width="8.88671875" style="76"/>
    <col min="7387" max="7388" width="6.33203125" style="76" customWidth="1"/>
    <col min="7389" max="7617" width="8.88671875" style="76"/>
    <col min="7618" max="7618" width="18.109375" style="76" customWidth="1"/>
    <col min="7619" max="7619" width="18.33203125" style="76" customWidth="1"/>
    <col min="7620" max="7622" width="13" style="76" customWidth="1"/>
    <col min="7623" max="7624" width="18.88671875" style="76" customWidth="1"/>
    <col min="7625" max="7625" width="108.88671875" style="76" customWidth="1"/>
    <col min="7626" max="7626" width="14.44140625" style="76" customWidth="1"/>
    <col min="7627" max="7635" width="6.6640625" style="76" customWidth="1"/>
    <col min="7636" max="7642" width="8.88671875" style="76"/>
    <col min="7643" max="7644" width="6.33203125" style="76" customWidth="1"/>
    <col min="7645" max="7873" width="8.88671875" style="76"/>
    <col min="7874" max="7874" width="18.109375" style="76" customWidth="1"/>
    <col min="7875" max="7875" width="18.33203125" style="76" customWidth="1"/>
    <col min="7876" max="7878" width="13" style="76" customWidth="1"/>
    <col min="7879" max="7880" width="18.88671875" style="76" customWidth="1"/>
    <col min="7881" max="7881" width="108.88671875" style="76" customWidth="1"/>
    <col min="7882" max="7882" width="14.44140625" style="76" customWidth="1"/>
    <col min="7883" max="7891" width="6.6640625" style="76" customWidth="1"/>
    <col min="7892" max="7898" width="8.88671875" style="76"/>
    <col min="7899" max="7900" width="6.33203125" style="76" customWidth="1"/>
    <col min="7901" max="8129" width="8.88671875" style="76"/>
    <col min="8130" max="8130" width="18.109375" style="76" customWidth="1"/>
    <col min="8131" max="8131" width="18.33203125" style="76" customWidth="1"/>
    <col min="8132" max="8134" width="13" style="76" customWidth="1"/>
    <col min="8135" max="8136" width="18.88671875" style="76" customWidth="1"/>
    <col min="8137" max="8137" width="108.88671875" style="76" customWidth="1"/>
    <col min="8138" max="8138" width="14.44140625" style="76" customWidth="1"/>
    <col min="8139" max="8147" width="6.6640625" style="76" customWidth="1"/>
    <col min="8148" max="8154" width="8.88671875" style="76"/>
    <col min="8155" max="8156" width="6.33203125" style="76" customWidth="1"/>
    <col min="8157" max="8385" width="8.88671875" style="76"/>
    <col min="8386" max="8386" width="18.109375" style="76" customWidth="1"/>
    <col min="8387" max="8387" width="18.33203125" style="76" customWidth="1"/>
    <col min="8388" max="8390" width="13" style="76" customWidth="1"/>
    <col min="8391" max="8392" width="18.88671875" style="76" customWidth="1"/>
    <col min="8393" max="8393" width="108.88671875" style="76" customWidth="1"/>
    <col min="8394" max="8394" width="14.44140625" style="76" customWidth="1"/>
    <col min="8395" max="8403" width="6.6640625" style="76" customWidth="1"/>
    <col min="8404" max="8410" width="8.88671875" style="76"/>
    <col min="8411" max="8412" width="6.33203125" style="76" customWidth="1"/>
    <col min="8413" max="8641" width="8.88671875" style="76"/>
    <col min="8642" max="8642" width="18.109375" style="76" customWidth="1"/>
    <col min="8643" max="8643" width="18.33203125" style="76" customWidth="1"/>
    <col min="8644" max="8646" width="13" style="76" customWidth="1"/>
    <col min="8647" max="8648" width="18.88671875" style="76" customWidth="1"/>
    <col min="8649" max="8649" width="108.88671875" style="76" customWidth="1"/>
    <col min="8650" max="8650" width="14.44140625" style="76" customWidth="1"/>
    <col min="8651" max="8659" width="6.6640625" style="76" customWidth="1"/>
    <col min="8660" max="8666" width="8.88671875" style="76"/>
    <col min="8667" max="8668" width="6.33203125" style="76" customWidth="1"/>
    <col min="8669" max="8897" width="8.88671875" style="76"/>
    <col min="8898" max="8898" width="18.109375" style="76" customWidth="1"/>
    <col min="8899" max="8899" width="18.33203125" style="76" customWidth="1"/>
    <col min="8900" max="8902" width="13" style="76" customWidth="1"/>
    <col min="8903" max="8904" width="18.88671875" style="76" customWidth="1"/>
    <col min="8905" max="8905" width="108.88671875" style="76" customWidth="1"/>
    <col min="8906" max="8906" width="14.44140625" style="76" customWidth="1"/>
    <col min="8907" max="8915" width="6.6640625" style="76" customWidth="1"/>
    <col min="8916" max="8922" width="8.88671875" style="76"/>
    <col min="8923" max="8924" width="6.33203125" style="76" customWidth="1"/>
    <col min="8925" max="9153" width="8.88671875" style="76"/>
    <col min="9154" max="9154" width="18.109375" style="76" customWidth="1"/>
    <col min="9155" max="9155" width="18.33203125" style="76" customWidth="1"/>
    <col min="9156" max="9158" width="13" style="76" customWidth="1"/>
    <col min="9159" max="9160" width="18.88671875" style="76" customWidth="1"/>
    <col min="9161" max="9161" width="108.88671875" style="76" customWidth="1"/>
    <col min="9162" max="9162" width="14.44140625" style="76" customWidth="1"/>
    <col min="9163" max="9171" width="6.6640625" style="76" customWidth="1"/>
    <col min="9172" max="9178" width="8.88671875" style="76"/>
    <col min="9179" max="9180" width="6.33203125" style="76" customWidth="1"/>
    <col min="9181" max="9409" width="8.88671875" style="76"/>
    <col min="9410" max="9410" width="18.109375" style="76" customWidth="1"/>
    <col min="9411" max="9411" width="18.33203125" style="76" customWidth="1"/>
    <col min="9412" max="9414" width="13" style="76" customWidth="1"/>
    <col min="9415" max="9416" width="18.88671875" style="76" customWidth="1"/>
    <col min="9417" max="9417" width="108.88671875" style="76" customWidth="1"/>
    <col min="9418" max="9418" width="14.44140625" style="76" customWidth="1"/>
    <col min="9419" max="9427" width="6.6640625" style="76" customWidth="1"/>
    <col min="9428" max="9434" width="8.88671875" style="76"/>
    <col min="9435" max="9436" width="6.33203125" style="76" customWidth="1"/>
    <col min="9437" max="9665" width="8.88671875" style="76"/>
    <col min="9666" max="9666" width="18.109375" style="76" customWidth="1"/>
    <col min="9667" max="9667" width="18.33203125" style="76" customWidth="1"/>
    <col min="9668" max="9670" width="13" style="76" customWidth="1"/>
    <col min="9671" max="9672" width="18.88671875" style="76" customWidth="1"/>
    <col min="9673" max="9673" width="108.88671875" style="76" customWidth="1"/>
    <col min="9674" max="9674" width="14.44140625" style="76" customWidth="1"/>
    <col min="9675" max="9683" width="6.6640625" style="76" customWidth="1"/>
    <col min="9684" max="9690" width="8.88671875" style="76"/>
    <col min="9691" max="9692" width="6.33203125" style="76" customWidth="1"/>
    <col min="9693" max="9921" width="8.88671875" style="76"/>
    <col min="9922" max="9922" width="18.109375" style="76" customWidth="1"/>
    <col min="9923" max="9923" width="18.33203125" style="76" customWidth="1"/>
    <col min="9924" max="9926" width="13" style="76" customWidth="1"/>
    <col min="9927" max="9928" width="18.88671875" style="76" customWidth="1"/>
    <col min="9929" max="9929" width="108.88671875" style="76" customWidth="1"/>
    <col min="9930" max="9930" width="14.44140625" style="76" customWidth="1"/>
    <col min="9931" max="9939" width="6.6640625" style="76" customWidth="1"/>
    <col min="9940" max="9946" width="8.88671875" style="76"/>
    <col min="9947" max="9948" width="6.33203125" style="76" customWidth="1"/>
    <col min="9949" max="10177" width="8.88671875" style="76"/>
    <col min="10178" max="10178" width="18.109375" style="76" customWidth="1"/>
    <col min="10179" max="10179" width="18.33203125" style="76" customWidth="1"/>
    <col min="10180" max="10182" width="13" style="76" customWidth="1"/>
    <col min="10183" max="10184" width="18.88671875" style="76" customWidth="1"/>
    <col min="10185" max="10185" width="108.88671875" style="76" customWidth="1"/>
    <col min="10186" max="10186" width="14.44140625" style="76" customWidth="1"/>
    <col min="10187" max="10195" width="6.6640625" style="76" customWidth="1"/>
    <col min="10196" max="10202" width="8.88671875" style="76"/>
    <col min="10203" max="10204" width="6.33203125" style="76" customWidth="1"/>
    <col min="10205" max="10433" width="8.88671875" style="76"/>
    <col min="10434" max="10434" width="18.109375" style="76" customWidth="1"/>
    <col min="10435" max="10435" width="18.33203125" style="76" customWidth="1"/>
    <col min="10436" max="10438" width="13" style="76" customWidth="1"/>
    <col min="10439" max="10440" width="18.88671875" style="76" customWidth="1"/>
    <col min="10441" max="10441" width="108.88671875" style="76" customWidth="1"/>
    <col min="10442" max="10442" width="14.44140625" style="76" customWidth="1"/>
    <col min="10443" max="10451" width="6.6640625" style="76" customWidth="1"/>
    <col min="10452" max="10458" width="8.88671875" style="76"/>
    <col min="10459" max="10460" width="6.33203125" style="76" customWidth="1"/>
    <col min="10461" max="10689" width="8.88671875" style="76"/>
    <col min="10690" max="10690" width="18.109375" style="76" customWidth="1"/>
    <col min="10691" max="10691" width="18.33203125" style="76" customWidth="1"/>
    <col min="10692" max="10694" width="13" style="76" customWidth="1"/>
    <col min="10695" max="10696" width="18.88671875" style="76" customWidth="1"/>
    <col min="10697" max="10697" width="108.88671875" style="76" customWidth="1"/>
    <col min="10698" max="10698" width="14.44140625" style="76" customWidth="1"/>
    <col min="10699" max="10707" width="6.6640625" style="76" customWidth="1"/>
    <col min="10708" max="10714" width="8.88671875" style="76"/>
    <col min="10715" max="10716" width="6.33203125" style="76" customWidth="1"/>
    <col min="10717" max="10945" width="8.88671875" style="76"/>
    <col min="10946" max="10946" width="18.109375" style="76" customWidth="1"/>
    <col min="10947" max="10947" width="18.33203125" style="76" customWidth="1"/>
    <col min="10948" max="10950" width="13" style="76" customWidth="1"/>
    <col min="10951" max="10952" width="18.88671875" style="76" customWidth="1"/>
    <col min="10953" max="10953" width="108.88671875" style="76" customWidth="1"/>
    <col min="10954" max="10954" width="14.44140625" style="76" customWidth="1"/>
    <col min="10955" max="10963" width="6.6640625" style="76" customWidth="1"/>
    <col min="10964" max="10970" width="8.88671875" style="76"/>
    <col min="10971" max="10972" width="6.33203125" style="76" customWidth="1"/>
    <col min="10973" max="11201" width="8.88671875" style="76"/>
    <col min="11202" max="11202" width="18.109375" style="76" customWidth="1"/>
    <col min="11203" max="11203" width="18.33203125" style="76" customWidth="1"/>
    <col min="11204" max="11206" width="13" style="76" customWidth="1"/>
    <col min="11207" max="11208" width="18.88671875" style="76" customWidth="1"/>
    <col min="11209" max="11209" width="108.88671875" style="76" customWidth="1"/>
    <col min="11210" max="11210" width="14.44140625" style="76" customWidth="1"/>
    <col min="11211" max="11219" width="6.6640625" style="76" customWidth="1"/>
    <col min="11220" max="11226" width="8.88671875" style="76"/>
    <col min="11227" max="11228" width="6.33203125" style="76" customWidth="1"/>
    <col min="11229" max="11457" width="8.88671875" style="76"/>
    <col min="11458" max="11458" width="18.109375" style="76" customWidth="1"/>
    <col min="11459" max="11459" width="18.33203125" style="76" customWidth="1"/>
    <col min="11460" max="11462" width="13" style="76" customWidth="1"/>
    <col min="11463" max="11464" width="18.88671875" style="76" customWidth="1"/>
    <col min="11465" max="11465" width="108.88671875" style="76" customWidth="1"/>
    <col min="11466" max="11466" width="14.44140625" style="76" customWidth="1"/>
    <col min="11467" max="11475" width="6.6640625" style="76" customWidth="1"/>
    <col min="11476" max="11482" width="8.88671875" style="76"/>
    <col min="11483" max="11484" width="6.33203125" style="76" customWidth="1"/>
    <col min="11485" max="11713" width="8.88671875" style="76"/>
    <col min="11714" max="11714" width="18.109375" style="76" customWidth="1"/>
    <col min="11715" max="11715" width="18.33203125" style="76" customWidth="1"/>
    <col min="11716" max="11718" width="13" style="76" customWidth="1"/>
    <col min="11719" max="11720" width="18.88671875" style="76" customWidth="1"/>
    <col min="11721" max="11721" width="108.88671875" style="76" customWidth="1"/>
    <col min="11722" max="11722" width="14.44140625" style="76" customWidth="1"/>
    <col min="11723" max="11731" width="6.6640625" style="76" customWidth="1"/>
    <col min="11732" max="11738" width="8.88671875" style="76"/>
    <col min="11739" max="11740" width="6.33203125" style="76" customWidth="1"/>
    <col min="11741" max="11969" width="8.88671875" style="76"/>
    <col min="11970" max="11970" width="18.109375" style="76" customWidth="1"/>
    <col min="11971" max="11971" width="18.33203125" style="76" customWidth="1"/>
    <col min="11972" max="11974" width="13" style="76" customWidth="1"/>
    <col min="11975" max="11976" width="18.88671875" style="76" customWidth="1"/>
    <col min="11977" max="11977" width="108.88671875" style="76" customWidth="1"/>
    <col min="11978" max="11978" width="14.44140625" style="76" customWidth="1"/>
    <col min="11979" max="11987" width="6.6640625" style="76" customWidth="1"/>
    <col min="11988" max="11994" width="8.88671875" style="76"/>
    <col min="11995" max="11996" width="6.33203125" style="76" customWidth="1"/>
    <col min="11997" max="12225" width="8.88671875" style="76"/>
    <col min="12226" max="12226" width="18.109375" style="76" customWidth="1"/>
    <col min="12227" max="12227" width="18.33203125" style="76" customWidth="1"/>
    <col min="12228" max="12230" width="13" style="76" customWidth="1"/>
    <col min="12231" max="12232" width="18.88671875" style="76" customWidth="1"/>
    <col min="12233" max="12233" width="108.88671875" style="76" customWidth="1"/>
    <col min="12234" max="12234" width="14.44140625" style="76" customWidth="1"/>
    <col min="12235" max="12243" width="6.6640625" style="76" customWidth="1"/>
    <col min="12244" max="12250" width="8.88671875" style="76"/>
    <col min="12251" max="12252" width="6.33203125" style="76" customWidth="1"/>
    <col min="12253" max="12481" width="8.88671875" style="76"/>
    <col min="12482" max="12482" width="18.109375" style="76" customWidth="1"/>
    <col min="12483" max="12483" width="18.33203125" style="76" customWidth="1"/>
    <col min="12484" max="12486" width="13" style="76" customWidth="1"/>
    <col min="12487" max="12488" width="18.88671875" style="76" customWidth="1"/>
    <col min="12489" max="12489" width="108.88671875" style="76" customWidth="1"/>
    <col min="12490" max="12490" width="14.44140625" style="76" customWidth="1"/>
    <col min="12491" max="12499" width="6.6640625" style="76" customWidth="1"/>
    <col min="12500" max="12506" width="8.88671875" style="76"/>
    <col min="12507" max="12508" width="6.33203125" style="76" customWidth="1"/>
    <col min="12509" max="12737" width="8.88671875" style="76"/>
    <col min="12738" max="12738" width="18.109375" style="76" customWidth="1"/>
    <col min="12739" max="12739" width="18.33203125" style="76" customWidth="1"/>
    <col min="12740" max="12742" width="13" style="76" customWidth="1"/>
    <col min="12743" max="12744" width="18.88671875" style="76" customWidth="1"/>
    <col min="12745" max="12745" width="108.88671875" style="76" customWidth="1"/>
    <col min="12746" max="12746" width="14.44140625" style="76" customWidth="1"/>
    <col min="12747" max="12755" width="6.6640625" style="76" customWidth="1"/>
    <col min="12756" max="12762" width="8.88671875" style="76"/>
    <col min="12763" max="12764" width="6.33203125" style="76" customWidth="1"/>
    <col min="12765" max="12993" width="8.88671875" style="76"/>
    <col min="12994" max="12994" width="18.109375" style="76" customWidth="1"/>
    <col min="12995" max="12995" width="18.33203125" style="76" customWidth="1"/>
    <col min="12996" max="12998" width="13" style="76" customWidth="1"/>
    <col min="12999" max="13000" width="18.88671875" style="76" customWidth="1"/>
    <col min="13001" max="13001" width="108.88671875" style="76" customWidth="1"/>
    <col min="13002" max="13002" width="14.44140625" style="76" customWidth="1"/>
    <col min="13003" max="13011" width="6.6640625" style="76" customWidth="1"/>
    <col min="13012" max="13018" width="8.88671875" style="76"/>
    <col min="13019" max="13020" width="6.33203125" style="76" customWidth="1"/>
    <col min="13021" max="13249" width="8.88671875" style="76"/>
    <col min="13250" max="13250" width="18.109375" style="76" customWidth="1"/>
    <col min="13251" max="13251" width="18.33203125" style="76" customWidth="1"/>
    <col min="13252" max="13254" width="13" style="76" customWidth="1"/>
    <col min="13255" max="13256" width="18.88671875" style="76" customWidth="1"/>
    <col min="13257" max="13257" width="108.88671875" style="76" customWidth="1"/>
    <col min="13258" max="13258" width="14.44140625" style="76" customWidth="1"/>
    <col min="13259" max="13267" width="6.6640625" style="76" customWidth="1"/>
    <col min="13268" max="13274" width="8.88671875" style="76"/>
    <col min="13275" max="13276" width="6.33203125" style="76" customWidth="1"/>
    <col min="13277" max="13505" width="8.88671875" style="76"/>
    <col min="13506" max="13506" width="18.109375" style="76" customWidth="1"/>
    <col min="13507" max="13507" width="18.33203125" style="76" customWidth="1"/>
    <col min="13508" max="13510" width="13" style="76" customWidth="1"/>
    <col min="13511" max="13512" width="18.88671875" style="76" customWidth="1"/>
    <col min="13513" max="13513" width="108.88671875" style="76" customWidth="1"/>
    <col min="13514" max="13514" width="14.44140625" style="76" customWidth="1"/>
    <col min="13515" max="13523" width="6.6640625" style="76" customWidth="1"/>
    <col min="13524" max="13530" width="8.88671875" style="76"/>
    <col min="13531" max="13532" width="6.33203125" style="76" customWidth="1"/>
    <col min="13533" max="13761" width="8.88671875" style="76"/>
    <col min="13762" max="13762" width="18.109375" style="76" customWidth="1"/>
    <col min="13763" max="13763" width="18.33203125" style="76" customWidth="1"/>
    <col min="13764" max="13766" width="13" style="76" customWidth="1"/>
    <col min="13767" max="13768" width="18.88671875" style="76" customWidth="1"/>
    <col min="13769" max="13769" width="108.88671875" style="76" customWidth="1"/>
    <col min="13770" max="13770" width="14.44140625" style="76" customWidth="1"/>
    <col min="13771" max="13779" width="6.6640625" style="76" customWidth="1"/>
    <col min="13780" max="13786" width="8.88671875" style="76"/>
    <col min="13787" max="13788" width="6.33203125" style="76" customWidth="1"/>
    <col min="13789" max="14017" width="8.88671875" style="76"/>
    <col min="14018" max="14018" width="18.109375" style="76" customWidth="1"/>
    <col min="14019" max="14019" width="18.33203125" style="76" customWidth="1"/>
    <col min="14020" max="14022" width="13" style="76" customWidth="1"/>
    <col min="14023" max="14024" width="18.88671875" style="76" customWidth="1"/>
    <col min="14025" max="14025" width="108.88671875" style="76" customWidth="1"/>
    <col min="14026" max="14026" width="14.44140625" style="76" customWidth="1"/>
    <col min="14027" max="14035" width="6.6640625" style="76" customWidth="1"/>
    <col min="14036" max="14042" width="8.88671875" style="76"/>
    <col min="14043" max="14044" width="6.33203125" style="76" customWidth="1"/>
    <col min="14045" max="14273" width="8.88671875" style="76"/>
    <col min="14274" max="14274" width="18.109375" style="76" customWidth="1"/>
    <col min="14275" max="14275" width="18.33203125" style="76" customWidth="1"/>
    <col min="14276" max="14278" width="13" style="76" customWidth="1"/>
    <col min="14279" max="14280" width="18.88671875" style="76" customWidth="1"/>
    <col min="14281" max="14281" width="108.88671875" style="76" customWidth="1"/>
    <col min="14282" max="14282" width="14.44140625" style="76" customWidth="1"/>
    <col min="14283" max="14291" width="6.6640625" style="76" customWidth="1"/>
    <col min="14292" max="14298" width="8.88671875" style="76"/>
    <col min="14299" max="14300" width="6.33203125" style="76" customWidth="1"/>
    <col min="14301" max="14529" width="8.88671875" style="76"/>
    <col min="14530" max="14530" width="18.109375" style="76" customWidth="1"/>
    <col min="14531" max="14531" width="18.33203125" style="76" customWidth="1"/>
    <col min="14532" max="14534" width="13" style="76" customWidth="1"/>
    <col min="14535" max="14536" width="18.88671875" style="76" customWidth="1"/>
    <col min="14537" max="14537" width="108.88671875" style="76" customWidth="1"/>
    <col min="14538" max="14538" width="14.44140625" style="76" customWidth="1"/>
    <col min="14539" max="14547" width="6.6640625" style="76" customWidth="1"/>
    <col min="14548" max="14554" width="8.88671875" style="76"/>
    <col min="14555" max="14556" width="6.33203125" style="76" customWidth="1"/>
    <col min="14557" max="14785" width="8.88671875" style="76"/>
    <col min="14786" max="14786" width="18.109375" style="76" customWidth="1"/>
    <col min="14787" max="14787" width="18.33203125" style="76" customWidth="1"/>
    <col min="14788" max="14790" width="13" style="76" customWidth="1"/>
    <col min="14791" max="14792" width="18.88671875" style="76" customWidth="1"/>
    <col min="14793" max="14793" width="108.88671875" style="76" customWidth="1"/>
    <col min="14794" max="14794" width="14.44140625" style="76" customWidth="1"/>
    <col min="14795" max="14803" width="6.6640625" style="76" customWidth="1"/>
    <col min="14804" max="14810" width="8.88671875" style="76"/>
    <col min="14811" max="14812" width="6.33203125" style="76" customWidth="1"/>
    <col min="14813" max="15041" width="8.88671875" style="76"/>
    <col min="15042" max="15042" width="18.109375" style="76" customWidth="1"/>
    <col min="15043" max="15043" width="18.33203125" style="76" customWidth="1"/>
    <col min="15044" max="15046" width="13" style="76" customWidth="1"/>
    <col min="15047" max="15048" width="18.88671875" style="76" customWidth="1"/>
    <col min="15049" max="15049" width="108.88671875" style="76" customWidth="1"/>
    <col min="15050" max="15050" width="14.44140625" style="76" customWidth="1"/>
    <col min="15051" max="15059" width="6.6640625" style="76" customWidth="1"/>
    <col min="15060" max="15066" width="8.88671875" style="76"/>
    <col min="15067" max="15068" width="6.33203125" style="76" customWidth="1"/>
    <col min="15069" max="15297" width="8.88671875" style="76"/>
    <col min="15298" max="15298" width="18.109375" style="76" customWidth="1"/>
    <col min="15299" max="15299" width="18.33203125" style="76" customWidth="1"/>
    <col min="15300" max="15302" width="13" style="76" customWidth="1"/>
    <col min="15303" max="15304" width="18.88671875" style="76" customWidth="1"/>
    <col min="15305" max="15305" width="108.88671875" style="76" customWidth="1"/>
    <col min="15306" max="15306" width="14.44140625" style="76" customWidth="1"/>
    <col min="15307" max="15315" width="6.6640625" style="76" customWidth="1"/>
    <col min="15316" max="15322" width="8.88671875" style="76"/>
    <col min="15323" max="15324" width="6.33203125" style="76" customWidth="1"/>
    <col min="15325" max="15553" width="8.88671875" style="76"/>
    <col min="15554" max="15554" width="18.109375" style="76" customWidth="1"/>
    <col min="15555" max="15555" width="18.33203125" style="76" customWidth="1"/>
    <col min="15556" max="15558" width="13" style="76" customWidth="1"/>
    <col min="15559" max="15560" width="18.88671875" style="76" customWidth="1"/>
    <col min="15561" max="15561" width="108.88671875" style="76" customWidth="1"/>
    <col min="15562" max="15562" width="14.44140625" style="76" customWidth="1"/>
    <col min="15563" max="15571" width="6.6640625" style="76" customWidth="1"/>
    <col min="15572" max="15578" width="8.88671875" style="76"/>
    <col min="15579" max="15580" width="6.33203125" style="76" customWidth="1"/>
    <col min="15581" max="15809" width="8.88671875" style="76"/>
    <col min="15810" max="15810" width="18.109375" style="76" customWidth="1"/>
    <col min="15811" max="15811" width="18.33203125" style="76" customWidth="1"/>
    <col min="15812" max="15814" width="13" style="76" customWidth="1"/>
    <col min="15815" max="15816" width="18.88671875" style="76" customWidth="1"/>
    <col min="15817" max="15817" width="108.88671875" style="76" customWidth="1"/>
    <col min="15818" max="15818" width="14.44140625" style="76" customWidth="1"/>
    <col min="15819" max="15827" width="6.6640625" style="76" customWidth="1"/>
    <col min="15828" max="15834" width="8.88671875" style="76"/>
    <col min="15835" max="15836" width="6.33203125" style="76" customWidth="1"/>
    <col min="15837" max="16065" width="8.88671875" style="76"/>
    <col min="16066" max="16066" width="18.109375" style="76" customWidth="1"/>
    <col min="16067" max="16067" width="18.33203125" style="76" customWidth="1"/>
    <col min="16068" max="16070" width="13" style="76" customWidth="1"/>
    <col min="16071" max="16072" width="18.88671875" style="76" customWidth="1"/>
    <col min="16073" max="16073" width="108.88671875" style="76" customWidth="1"/>
    <col min="16074" max="16074" width="14.44140625" style="76" customWidth="1"/>
    <col min="16075" max="16083" width="6.6640625" style="76" customWidth="1"/>
    <col min="16084" max="16090" width="8.88671875" style="76"/>
    <col min="16091" max="16092" width="6.33203125" style="76" customWidth="1"/>
    <col min="16093" max="16384" width="8.88671875" style="76"/>
  </cols>
  <sheetData>
    <row r="1" spans="1:14" s="80" customFormat="1" ht="42.75" customHeight="1" x14ac:dyDescent="0.25">
      <c r="A1" s="77" t="s">
        <v>283</v>
      </c>
      <c r="B1" s="78" t="s">
        <v>284</v>
      </c>
      <c r="C1" s="78" t="s">
        <v>9</v>
      </c>
      <c r="D1" s="78" t="s">
        <v>285</v>
      </c>
      <c r="E1" s="78" t="s">
        <v>286</v>
      </c>
      <c r="F1" s="77" t="s">
        <v>10</v>
      </c>
      <c r="G1" s="78" t="s">
        <v>287</v>
      </c>
      <c r="H1" s="77" t="s">
        <v>288</v>
      </c>
      <c r="I1" s="78" t="s">
        <v>289</v>
      </c>
      <c r="J1" s="78" t="s">
        <v>53</v>
      </c>
      <c r="K1" s="79" t="s">
        <v>290</v>
      </c>
      <c r="L1" s="79" t="s">
        <v>291</v>
      </c>
      <c r="M1" s="79" t="s">
        <v>292</v>
      </c>
      <c r="N1" s="79" t="s">
        <v>293</v>
      </c>
    </row>
    <row r="2" spans="1:14" s="80" customFormat="1" ht="21.75" customHeight="1" x14ac:dyDescent="0.25">
      <c r="A2" s="81">
        <v>1</v>
      </c>
      <c r="B2" s="82">
        <v>2</v>
      </c>
      <c r="C2" s="82">
        <v>3</v>
      </c>
      <c r="D2" s="82">
        <v>4</v>
      </c>
      <c r="E2" s="82">
        <v>5</v>
      </c>
      <c r="F2" s="81">
        <v>6</v>
      </c>
      <c r="G2" s="82">
        <v>7</v>
      </c>
      <c r="H2" s="81">
        <v>8</v>
      </c>
      <c r="I2" s="82">
        <v>9</v>
      </c>
      <c r="J2" s="82">
        <v>10</v>
      </c>
      <c r="K2" s="83">
        <v>11</v>
      </c>
      <c r="L2" s="83">
        <v>12</v>
      </c>
      <c r="M2" s="83">
        <v>13</v>
      </c>
      <c r="N2" s="83">
        <v>14</v>
      </c>
    </row>
    <row r="3" spans="1:14" customFormat="1" ht="30" hidden="1" customHeight="1" x14ac:dyDescent="0.25">
      <c r="A3" s="62" t="s">
        <v>224</v>
      </c>
      <c r="B3" s="84" t="s">
        <v>294</v>
      </c>
      <c r="C3" s="85" t="s">
        <v>295</v>
      </c>
      <c r="D3" s="85" t="s">
        <v>296</v>
      </c>
      <c r="E3" s="84" t="s">
        <v>297</v>
      </c>
      <c r="F3" s="86" t="s">
        <v>298</v>
      </c>
      <c r="G3" s="87" t="s">
        <v>299</v>
      </c>
      <c r="H3" s="87" t="s">
        <v>299</v>
      </c>
      <c r="I3" s="87"/>
      <c r="J3" s="87" t="s">
        <v>300</v>
      </c>
      <c r="K3" s="88" t="str">
        <f t="shared" ref="K3:K66" si="0">IF(C3="очная","Д",IF(C3="Очно-заочная","В",IF(C3="Заочная","З","-")))</f>
        <v>Д</v>
      </c>
      <c r="L3" s="88" t="str">
        <f t="shared" ref="L3:L66" si="1">IF(N3="да","ЦМ",LEFT(F3,1))</f>
        <v>С</v>
      </c>
      <c r="M3" s="89" t="str">
        <f t="shared" ref="M3:M66" si="2">CONCATENATE(H3,IF(I3&gt;0,CONCATENATE(" (Вуз-партнёр – ",I3,")"),IF(D3=$D$3,"",CONCATENATE(" [язык реализации –",D3,"]"))))</f>
        <v>Биоинженерия и биоинформатика</v>
      </c>
      <c r="N3" s="89" t="s">
        <v>301</v>
      </c>
    </row>
    <row r="4" spans="1:14" customFormat="1" ht="30" hidden="1" customHeight="1" x14ac:dyDescent="0.25">
      <c r="A4" s="62" t="s">
        <v>302</v>
      </c>
      <c r="B4" s="84" t="s">
        <v>303</v>
      </c>
      <c r="C4" s="85" t="s">
        <v>295</v>
      </c>
      <c r="D4" s="85" t="s">
        <v>304</v>
      </c>
      <c r="E4" s="84" t="s">
        <v>297</v>
      </c>
      <c r="F4" s="86" t="s">
        <v>298</v>
      </c>
      <c r="G4" s="87" t="s">
        <v>305</v>
      </c>
      <c r="H4" s="87" t="s">
        <v>305</v>
      </c>
      <c r="I4" s="87"/>
      <c r="J4" s="87" t="s">
        <v>300</v>
      </c>
      <c r="K4" s="88" t="str">
        <f t="shared" si="0"/>
        <v>Д</v>
      </c>
      <c r="L4" s="88" t="str">
        <f t="shared" si="1"/>
        <v>С</v>
      </c>
      <c r="M4" s="89" t="str">
        <f t="shared" si="2"/>
        <v>Ветеринария [язык реализации –Английский]</v>
      </c>
      <c r="N4" s="89" t="s">
        <v>301</v>
      </c>
    </row>
    <row r="5" spans="1:14" customFormat="1" ht="30" hidden="1" customHeight="1" x14ac:dyDescent="0.25">
      <c r="A5" s="62" t="s">
        <v>306</v>
      </c>
      <c r="B5" s="84" t="s">
        <v>303</v>
      </c>
      <c r="C5" s="85" t="s">
        <v>295</v>
      </c>
      <c r="D5" s="85" t="s">
        <v>296</v>
      </c>
      <c r="E5" s="84" t="s">
        <v>297</v>
      </c>
      <c r="F5" s="86" t="s">
        <v>298</v>
      </c>
      <c r="G5" s="87" t="s">
        <v>305</v>
      </c>
      <c r="H5" s="87" t="s">
        <v>305</v>
      </c>
      <c r="I5" s="87" t="s">
        <v>307</v>
      </c>
      <c r="J5" s="87" t="s">
        <v>300</v>
      </c>
      <c r="K5" s="88" t="str">
        <f t="shared" si="0"/>
        <v>Д</v>
      </c>
      <c r="L5" s="88" t="str">
        <f t="shared" si="1"/>
        <v>С</v>
      </c>
      <c r="M5" s="89" t="str">
        <f t="shared" si="2"/>
        <v>Ветеринария (Вуз-партнёр – Казахский агротехнический исследовательский университет имени С. Сейфуллина)</v>
      </c>
      <c r="N5" s="89" t="s">
        <v>301</v>
      </c>
    </row>
    <row r="6" spans="1:14" customFormat="1" ht="30" hidden="1" customHeight="1" x14ac:dyDescent="0.25">
      <c r="A6" s="62" t="s">
        <v>308</v>
      </c>
      <c r="B6" s="84" t="s">
        <v>303</v>
      </c>
      <c r="C6" s="85" t="s">
        <v>295</v>
      </c>
      <c r="D6" s="85" t="s">
        <v>296</v>
      </c>
      <c r="E6" s="84" t="s">
        <v>297</v>
      </c>
      <c r="F6" s="86" t="s">
        <v>298</v>
      </c>
      <c r="G6" s="87" t="s">
        <v>305</v>
      </c>
      <c r="H6" s="87" t="s">
        <v>305</v>
      </c>
      <c r="I6" s="87"/>
      <c r="J6" s="87" t="s">
        <v>300</v>
      </c>
      <c r="K6" s="88" t="str">
        <f t="shared" si="0"/>
        <v>Д</v>
      </c>
      <c r="L6" s="88" t="str">
        <f t="shared" si="1"/>
        <v>С</v>
      </c>
      <c r="M6" s="89" t="str">
        <f t="shared" si="2"/>
        <v>Ветеринария</v>
      </c>
      <c r="N6" s="89" t="s">
        <v>301</v>
      </c>
    </row>
    <row r="7" spans="1:14" customFormat="1" ht="30" hidden="1" customHeight="1" x14ac:dyDescent="0.25">
      <c r="A7" s="62" t="s">
        <v>309</v>
      </c>
      <c r="B7" s="84" t="s">
        <v>310</v>
      </c>
      <c r="C7" s="85" t="s">
        <v>295</v>
      </c>
      <c r="D7" s="85" t="s">
        <v>296</v>
      </c>
      <c r="E7" s="84" t="s">
        <v>311</v>
      </c>
      <c r="F7" s="86" t="s">
        <v>312</v>
      </c>
      <c r="G7" s="87" t="s">
        <v>313</v>
      </c>
      <c r="H7" s="87" t="s">
        <v>313</v>
      </c>
      <c r="I7" s="87"/>
      <c r="J7" s="87" t="s">
        <v>300</v>
      </c>
      <c r="K7" s="88" t="str">
        <f t="shared" si="0"/>
        <v>Д</v>
      </c>
      <c r="L7" s="88" t="str">
        <f t="shared" si="1"/>
        <v>Б</v>
      </c>
      <c r="M7" s="89" t="str">
        <f t="shared" si="2"/>
        <v>Землеустройство и кадастры</v>
      </c>
      <c r="N7" s="89" t="s">
        <v>301</v>
      </c>
    </row>
    <row r="8" spans="1:14" customFormat="1" ht="30" hidden="1" customHeight="1" x14ac:dyDescent="0.25">
      <c r="A8" s="62" t="s">
        <v>314</v>
      </c>
      <c r="B8" s="84" t="s">
        <v>315</v>
      </c>
      <c r="C8" s="85" t="s">
        <v>295</v>
      </c>
      <c r="D8" s="85" t="s">
        <v>296</v>
      </c>
      <c r="E8" s="84" t="s">
        <v>311</v>
      </c>
      <c r="F8" s="86" t="s">
        <v>312</v>
      </c>
      <c r="G8" s="87" t="s">
        <v>316</v>
      </c>
      <c r="H8" s="87" t="s">
        <v>316</v>
      </c>
      <c r="I8" s="87"/>
      <c r="J8" s="87" t="s">
        <v>300</v>
      </c>
      <c r="K8" s="88" t="str">
        <f t="shared" si="0"/>
        <v>Д</v>
      </c>
      <c r="L8" s="88" t="str">
        <f t="shared" si="1"/>
        <v>Б</v>
      </c>
      <c r="M8" s="89" t="str">
        <f t="shared" si="2"/>
        <v>Стандартизация и метрология</v>
      </c>
      <c r="N8" s="89" t="s">
        <v>301</v>
      </c>
    </row>
    <row r="9" spans="1:14" customFormat="1" ht="30" hidden="1" customHeight="1" x14ac:dyDescent="0.25">
      <c r="A9" s="62" t="s">
        <v>317</v>
      </c>
      <c r="B9" s="84" t="s">
        <v>318</v>
      </c>
      <c r="C9" s="85" t="s">
        <v>295</v>
      </c>
      <c r="D9" s="85" t="s">
        <v>296</v>
      </c>
      <c r="E9" s="84" t="s">
        <v>311</v>
      </c>
      <c r="F9" s="86" t="s">
        <v>312</v>
      </c>
      <c r="G9" s="87" t="s">
        <v>319</v>
      </c>
      <c r="H9" s="87" t="s">
        <v>319</v>
      </c>
      <c r="I9" s="87"/>
      <c r="J9" s="87" t="s">
        <v>300</v>
      </c>
      <c r="K9" s="88" t="str">
        <f t="shared" si="0"/>
        <v>Д</v>
      </c>
      <c r="L9" s="88" t="str">
        <f t="shared" si="1"/>
        <v>Б</v>
      </c>
      <c r="M9" s="89" t="str">
        <f t="shared" si="2"/>
        <v>Агрономия</v>
      </c>
      <c r="N9" s="89" t="s">
        <v>301</v>
      </c>
    </row>
    <row r="10" spans="1:14" customFormat="1" ht="30" hidden="1" customHeight="1" x14ac:dyDescent="0.25">
      <c r="A10" s="62" t="s">
        <v>320</v>
      </c>
      <c r="B10" s="84" t="s">
        <v>318</v>
      </c>
      <c r="C10" s="85" t="s">
        <v>295</v>
      </c>
      <c r="D10" s="85" t="s">
        <v>296</v>
      </c>
      <c r="E10" s="84" t="s">
        <v>311</v>
      </c>
      <c r="F10" s="86" t="s">
        <v>312</v>
      </c>
      <c r="G10" s="87" t="s">
        <v>319</v>
      </c>
      <c r="H10" s="87" t="s">
        <v>321</v>
      </c>
      <c r="I10" s="87"/>
      <c r="J10" s="87" t="s">
        <v>300</v>
      </c>
      <c r="K10" s="88" t="str">
        <f t="shared" si="0"/>
        <v>Д</v>
      </c>
      <c r="L10" s="88" t="str">
        <f t="shared" si="1"/>
        <v>Б</v>
      </c>
      <c r="M10" s="89" t="str">
        <f t="shared" si="2"/>
        <v>Биотехнология растений</v>
      </c>
      <c r="N10" s="89" t="s">
        <v>301</v>
      </c>
    </row>
    <row r="11" spans="1:14" customFormat="1" ht="30" hidden="1" customHeight="1" x14ac:dyDescent="0.25">
      <c r="A11" s="62" t="s">
        <v>322</v>
      </c>
      <c r="B11" s="84" t="s">
        <v>323</v>
      </c>
      <c r="C11" s="85" t="s">
        <v>295</v>
      </c>
      <c r="D11" s="85" t="s">
        <v>296</v>
      </c>
      <c r="E11" s="84" t="s">
        <v>311</v>
      </c>
      <c r="F11" s="86" t="s">
        <v>312</v>
      </c>
      <c r="G11" s="87" t="s">
        <v>324</v>
      </c>
      <c r="H11" s="87" t="s">
        <v>324</v>
      </c>
      <c r="I11" s="87"/>
      <c r="J11" s="87" t="s">
        <v>300</v>
      </c>
      <c r="K11" s="88" t="str">
        <f t="shared" si="0"/>
        <v>Д</v>
      </c>
      <c r="L11" s="88" t="str">
        <f t="shared" si="1"/>
        <v>Б</v>
      </c>
      <c r="M11" s="89" t="str">
        <f t="shared" si="2"/>
        <v>Ландшафтная архитектура</v>
      </c>
      <c r="N11" s="89" t="s">
        <v>301</v>
      </c>
    </row>
    <row r="12" spans="1:14" customFormat="1" ht="30" hidden="1" customHeight="1" x14ac:dyDescent="0.25">
      <c r="A12" s="62" t="s">
        <v>325</v>
      </c>
      <c r="B12" s="84" t="s">
        <v>326</v>
      </c>
      <c r="C12" s="85" t="s">
        <v>295</v>
      </c>
      <c r="D12" s="85" t="s">
        <v>296</v>
      </c>
      <c r="E12" s="84" t="s">
        <v>311</v>
      </c>
      <c r="F12" s="86" t="s">
        <v>312</v>
      </c>
      <c r="G12" s="87" t="s">
        <v>327</v>
      </c>
      <c r="H12" s="87" t="s">
        <v>327</v>
      </c>
      <c r="I12" s="87"/>
      <c r="J12" s="87" t="s">
        <v>300</v>
      </c>
      <c r="K12" s="88" t="str">
        <f t="shared" si="0"/>
        <v>Д</v>
      </c>
      <c r="L12" s="88" t="str">
        <f t="shared" si="1"/>
        <v>Б</v>
      </c>
      <c r="M12" s="89" t="str">
        <f t="shared" si="2"/>
        <v>Ветеринарно-санитарная экспертиза</v>
      </c>
      <c r="N12" s="89" t="s">
        <v>301</v>
      </c>
    </row>
    <row r="13" spans="1:14" customFormat="1" ht="30" hidden="1" customHeight="1" x14ac:dyDescent="0.25">
      <c r="A13" s="62" t="s">
        <v>328</v>
      </c>
      <c r="B13" s="84" t="s">
        <v>329</v>
      </c>
      <c r="C13" s="85" t="s">
        <v>295</v>
      </c>
      <c r="D13" s="85" t="s">
        <v>296</v>
      </c>
      <c r="E13" s="84" t="s">
        <v>330</v>
      </c>
      <c r="F13" s="86" t="s">
        <v>331</v>
      </c>
      <c r="G13" s="87" t="s">
        <v>313</v>
      </c>
      <c r="H13" s="87" t="s">
        <v>332</v>
      </c>
      <c r="I13" s="87" t="s">
        <v>307</v>
      </c>
      <c r="J13" s="87" t="s">
        <v>300</v>
      </c>
      <c r="K13" s="88" t="str">
        <f t="shared" si="0"/>
        <v>Д</v>
      </c>
      <c r="L13" s="88" t="str">
        <f t="shared" si="1"/>
        <v>М</v>
      </c>
      <c r="M13" s="89" t="str">
        <f t="shared" si="2"/>
        <v>Технологии геодезических и кадастровых работ (Вуз-партнёр – Казахский агротехнический исследовательский университет имени С. Сейфуллина)</v>
      </c>
      <c r="N13" s="89" t="s">
        <v>301</v>
      </c>
    </row>
    <row r="14" spans="1:14" customFormat="1" ht="30" hidden="1" customHeight="1" x14ac:dyDescent="0.25">
      <c r="A14" s="62" t="s">
        <v>333</v>
      </c>
      <c r="B14" s="84" t="s">
        <v>329</v>
      </c>
      <c r="C14" s="85" t="s">
        <v>295</v>
      </c>
      <c r="D14" s="85" t="s">
        <v>296</v>
      </c>
      <c r="E14" s="84" t="s">
        <v>330</v>
      </c>
      <c r="F14" s="86" t="s">
        <v>331</v>
      </c>
      <c r="G14" s="87" t="s">
        <v>313</v>
      </c>
      <c r="H14" s="87" t="s">
        <v>332</v>
      </c>
      <c r="I14" s="87"/>
      <c r="J14" s="87" t="s">
        <v>300</v>
      </c>
      <c r="K14" s="88" t="str">
        <f t="shared" si="0"/>
        <v>Д</v>
      </c>
      <c r="L14" s="88" t="str">
        <f t="shared" si="1"/>
        <v>М</v>
      </c>
      <c r="M14" s="89" t="str">
        <f t="shared" si="2"/>
        <v>Технологии геодезических и кадастровых работ</v>
      </c>
      <c r="N14" s="89" t="s">
        <v>301</v>
      </c>
    </row>
    <row r="15" spans="1:14" customFormat="1" ht="30" hidden="1" customHeight="1" x14ac:dyDescent="0.25">
      <c r="A15" s="62" t="s">
        <v>334</v>
      </c>
      <c r="B15" s="84" t="s">
        <v>335</v>
      </c>
      <c r="C15" s="85" t="s">
        <v>295</v>
      </c>
      <c r="D15" s="85" t="s">
        <v>296</v>
      </c>
      <c r="E15" s="84" t="s">
        <v>330</v>
      </c>
      <c r="F15" s="86" t="s">
        <v>331</v>
      </c>
      <c r="G15" s="87" t="s">
        <v>316</v>
      </c>
      <c r="H15" s="87" t="s">
        <v>336</v>
      </c>
      <c r="I15" s="87" t="s">
        <v>337</v>
      </c>
      <c r="J15" s="87" t="s">
        <v>300</v>
      </c>
      <c r="K15" s="88" t="str">
        <f t="shared" si="0"/>
        <v>Д</v>
      </c>
      <c r="L15" s="88" t="str">
        <f t="shared" si="1"/>
        <v>М</v>
      </c>
      <c r="M15" s="89" t="str">
        <f t="shared" si="2"/>
        <v>Технологии обеспечения качества и безопасности пищевой продукции и производств (Вуз-партнёр – Кыргызский технический университет имени И.Раззакова)</v>
      </c>
      <c r="N15" s="89" t="s">
        <v>301</v>
      </c>
    </row>
    <row r="16" spans="1:14" customFormat="1" ht="30" hidden="1" customHeight="1" x14ac:dyDescent="0.25">
      <c r="A16" s="62" t="s">
        <v>338</v>
      </c>
      <c r="B16" s="84" t="s">
        <v>335</v>
      </c>
      <c r="C16" s="85" t="s">
        <v>295</v>
      </c>
      <c r="D16" s="85" t="s">
        <v>296</v>
      </c>
      <c r="E16" s="84" t="s">
        <v>330</v>
      </c>
      <c r="F16" s="86" t="s">
        <v>331</v>
      </c>
      <c r="G16" s="87" t="s">
        <v>316</v>
      </c>
      <c r="H16" s="87" t="s">
        <v>339</v>
      </c>
      <c r="I16" s="87"/>
      <c r="J16" s="87" t="s">
        <v>300</v>
      </c>
      <c r="K16" s="88" t="str">
        <f t="shared" si="0"/>
        <v>Д</v>
      </c>
      <c r="L16" s="88" t="str">
        <f t="shared" si="1"/>
        <v>М</v>
      </c>
      <c r="M16" s="89" t="str">
        <f t="shared" si="2"/>
        <v>Аудит и управление качеством пищевой продукции</v>
      </c>
      <c r="N16" s="89" t="s">
        <v>301</v>
      </c>
    </row>
    <row r="17" spans="1:14" customFormat="1" ht="30" hidden="1" customHeight="1" x14ac:dyDescent="0.25">
      <c r="A17" s="62" t="s">
        <v>340</v>
      </c>
      <c r="B17" s="84" t="s">
        <v>341</v>
      </c>
      <c r="C17" s="85" t="s">
        <v>295</v>
      </c>
      <c r="D17" s="85" t="s">
        <v>296</v>
      </c>
      <c r="E17" s="84" t="s">
        <v>330</v>
      </c>
      <c r="F17" s="86" t="s">
        <v>331</v>
      </c>
      <c r="G17" s="87" t="s">
        <v>319</v>
      </c>
      <c r="H17" s="87" t="s">
        <v>342</v>
      </c>
      <c r="I17" s="87" t="s">
        <v>307</v>
      </c>
      <c r="J17" s="87" t="s">
        <v>300</v>
      </c>
      <c r="K17" s="88" t="str">
        <f t="shared" si="0"/>
        <v>Д</v>
      </c>
      <c r="L17" s="88" t="str">
        <f t="shared" si="1"/>
        <v>М</v>
      </c>
      <c r="M17" s="89" t="str">
        <f t="shared" si="2"/>
        <v>Агробиотехнология (Вуз-партнёр – Казахский агротехнический исследовательский университет имени С. Сейфуллина)</v>
      </c>
      <c r="N17" s="89" t="s">
        <v>301</v>
      </c>
    </row>
    <row r="18" spans="1:14" customFormat="1" ht="30" hidden="1" customHeight="1" x14ac:dyDescent="0.25">
      <c r="A18" s="62" t="s">
        <v>343</v>
      </c>
      <c r="B18" s="84" t="s">
        <v>341</v>
      </c>
      <c r="C18" s="85" t="s">
        <v>295</v>
      </c>
      <c r="D18" s="85" t="s">
        <v>296</v>
      </c>
      <c r="E18" s="84" t="s">
        <v>330</v>
      </c>
      <c r="F18" s="86" t="s">
        <v>331</v>
      </c>
      <c r="G18" s="87" t="s">
        <v>319</v>
      </c>
      <c r="H18" s="87" t="s">
        <v>342</v>
      </c>
      <c r="I18" s="87"/>
      <c r="J18" s="87" t="s">
        <v>300</v>
      </c>
      <c r="K18" s="88" t="str">
        <f t="shared" si="0"/>
        <v>Д</v>
      </c>
      <c r="L18" s="88" t="str">
        <f t="shared" si="1"/>
        <v>М</v>
      </c>
      <c r="M18" s="89" t="str">
        <f t="shared" si="2"/>
        <v>Агробиотехнология</v>
      </c>
      <c r="N18" s="89" t="s">
        <v>301</v>
      </c>
    </row>
    <row r="19" spans="1:14" customFormat="1" ht="30" hidden="1" customHeight="1" x14ac:dyDescent="0.25">
      <c r="A19" s="62" t="s">
        <v>344</v>
      </c>
      <c r="B19" s="84" t="s">
        <v>341</v>
      </c>
      <c r="C19" s="85" t="s">
        <v>295</v>
      </c>
      <c r="D19" s="85" t="s">
        <v>304</v>
      </c>
      <c r="E19" s="84" t="s">
        <v>330</v>
      </c>
      <c r="F19" s="86" t="s">
        <v>331</v>
      </c>
      <c r="G19" s="87" t="s">
        <v>319</v>
      </c>
      <c r="H19" s="87" t="s">
        <v>345</v>
      </c>
      <c r="I19" s="87"/>
      <c r="J19" s="87" t="s">
        <v>300</v>
      </c>
      <c r="K19" s="88" t="str">
        <f t="shared" si="0"/>
        <v>Д</v>
      </c>
      <c r="L19" s="88" t="str">
        <f t="shared" si="1"/>
        <v>М</v>
      </c>
      <c r="M19" s="89" t="str">
        <f t="shared" si="2"/>
        <v>Интегрированная защита растений [язык реализации –Английский]</v>
      </c>
      <c r="N19" s="89" t="s">
        <v>301</v>
      </c>
    </row>
    <row r="20" spans="1:14" s="90" customFormat="1" ht="30" hidden="1" customHeight="1" x14ac:dyDescent="0.25">
      <c r="A20" s="62" t="s">
        <v>346</v>
      </c>
      <c r="B20" s="84" t="s">
        <v>341</v>
      </c>
      <c r="C20" s="85" t="s">
        <v>295</v>
      </c>
      <c r="D20" s="85" t="s">
        <v>304</v>
      </c>
      <c r="E20" s="84" t="s">
        <v>330</v>
      </c>
      <c r="F20" s="86" t="s">
        <v>331</v>
      </c>
      <c r="G20" s="87" t="s">
        <v>319</v>
      </c>
      <c r="H20" s="87" t="s">
        <v>347</v>
      </c>
      <c r="I20" s="87"/>
      <c r="J20" s="87" t="s">
        <v>300</v>
      </c>
      <c r="K20" s="88" t="str">
        <f t="shared" si="0"/>
        <v>Д</v>
      </c>
      <c r="L20" s="88" t="str">
        <f t="shared" si="1"/>
        <v>М</v>
      </c>
      <c r="M20" s="89" t="str">
        <f t="shared" si="2"/>
        <v>Управление почвенным плодородием [язык реализации –Английский]</v>
      </c>
      <c r="N20" s="89" t="s">
        <v>301</v>
      </c>
    </row>
    <row r="21" spans="1:14" customFormat="1" ht="30" hidden="1" customHeight="1" x14ac:dyDescent="0.25">
      <c r="A21" s="62" t="s">
        <v>348</v>
      </c>
      <c r="B21" s="84" t="s">
        <v>341</v>
      </c>
      <c r="C21" s="85" t="s">
        <v>295</v>
      </c>
      <c r="D21" s="85" t="s">
        <v>296</v>
      </c>
      <c r="E21" s="84" t="s">
        <v>330</v>
      </c>
      <c r="F21" s="86" t="s">
        <v>331</v>
      </c>
      <c r="G21" s="87" t="s">
        <v>319</v>
      </c>
      <c r="H21" s="87" t="s">
        <v>349</v>
      </c>
      <c r="I21" s="87"/>
      <c r="J21" s="87" t="s">
        <v>300</v>
      </c>
      <c r="K21" s="88" t="str">
        <f t="shared" si="0"/>
        <v>Д</v>
      </c>
      <c r="L21" s="88" t="str">
        <f t="shared" si="1"/>
        <v>М</v>
      </c>
      <c r="M21" s="89" t="str">
        <f t="shared" si="2"/>
        <v>Защита и карантин растений</v>
      </c>
      <c r="N21" s="89" t="s">
        <v>301</v>
      </c>
    </row>
    <row r="22" spans="1:14" s="90" customFormat="1" ht="30" hidden="1" customHeight="1" x14ac:dyDescent="0.25">
      <c r="A22" s="62" t="s">
        <v>350</v>
      </c>
      <c r="B22" s="84" t="s">
        <v>341</v>
      </c>
      <c r="C22" s="85" t="s">
        <v>295</v>
      </c>
      <c r="D22" s="85" t="s">
        <v>304</v>
      </c>
      <c r="E22" s="84" t="s">
        <v>330</v>
      </c>
      <c r="F22" s="86" t="s">
        <v>331</v>
      </c>
      <c r="G22" s="87" t="s">
        <v>319</v>
      </c>
      <c r="H22" s="87" t="s">
        <v>351</v>
      </c>
      <c r="I22" s="87"/>
      <c r="J22" s="87" t="s">
        <v>300</v>
      </c>
      <c r="K22" s="88" t="str">
        <f t="shared" si="0"/>
        <v>Д</v>
      </c>
      <c r="L22" s="88" t="str">
        <f t="shared" si="1"/>
        <v>М</v>
      </c>
      <c r="M22" s="89" t="str">
        <f t="shared" si="2"/>
        <v>Общая агрономия [язык реализации –Английский]</v>
      </c>
      <c r="N22" s="89" t="s">
        <v>301</v>
      </c>
    </row>
    <row r="23" spans="1:14" customFormat="1" ht="30" hidden="1" customHeight="1" x14ac:dyDescent="0.25">
      <c r="A23" s="62" t="s">
        <v>352</v>
      </c>
      <c r="B23" s="84" t="s">
        <v>341</v>
      </c>
      <c r="C23" s="85" t="s">
        <v>295</v>
      </c>
      <c r="D23" s="85" t="s">
        <v>296</v>
      </c>
      <c r="E23" s="84" t="s">
        <v>330</v>
      </c>
      <c r="F23" s="86" t="s">
        <v>331</v>
      </c>
      <c r="G23" s="87" t="s">
        <v>319</v>
      </c>
      <c r="H23" s="87" t="s">
        <v>353</v>
      </c>
      <c r="I23" s="87"/>
      <c r="J23" s="87" t="s">
        <v>300</v>
      </c>
      <c r="K23" s="88" t="str">
        <f t="shared" si="0"/>
        <v>Д</v>
      </c>
      <c r="L23" s="88" t="str">
        <f t="shared" si="1"/>
        <v>М</v>
      </c>
      <c r="M23" s="89" t="str">
        <f t="shared" si="2"/>
        <v>Декоративное питомниководство </v>
      </c>
      <c r="N23" s="89" t="s">
        <v>301</v>
      </c>
    </row>
    <row r="24" spans="1:14" s="90" customFormat="1" ht="30" hidden="1" customHeight="1" x14ac:dyDescent="0.25">
      <c r="A24" s="62" t="s">
        <v>354</v>
      </c>
      <c r="B24" s="84" t="s">
        <v>355</v>
      </c>
      <c r="C24" s="85" t="s">
        <v>295</v>
      </c>
      <c r="D24" s="85" t="s">
        <v>296</v>
      </c>
      <c r="E24" s="84" t="s">
        <v>330</v>
      </c>
      <c r="F24" s="86" t="s">
        <v>331</v>
      </c>
      <c r="G24" s="87" t="s">
        <v>324</v>
      </c>
      <c r="H24" s="87" t="s">
        <v>356</v>
      </c>
      <c r="I24" s="87"/>
      <c r="J24" s="87" t="s">
        <v>300</v>
      </c>
      <c r="K24" s="88" t="str">
        <f t="shared" si="0"/>
        <v>Д</v>
      </c>
      <c r="L24" s="88" t="str">
        <f t="shared" si="1"/>
        <v>М</v>
      </c>
      <c r="M24" s="89" t="str">
        <f t="shared" si="2"/>
        <v>Современная ландшафтная архитектура и дизайн городской среды</v>
      </c>
      <c r="N24" s="89" t="s">
        <v>301</v>
      </c>
    </row>
    <row r="25" spans="1:14" customFormat="1" ht="30" hidden="1" customHeight="1" x14ac:dyDescent="0.25">
      <c r="A25" s="62" t="s">
        <v>357</v>
      </c>
      <c r="B25" s="84" t="s">
        <v>355</v>
      </c>
      <c r="C25" s="85" t="s">
        <v>295</v>
      </c>
      <c r="D25" s="85" t="s">
        <v>304</v>
      </c>
      <c r="E25" s="84" t="s">
        <v>330</v>
      </c>
      <c r="F25" s="86" t="s">
        <v>331</v>
      </c>
      <c r="G25" s="87" t="s">
        <v>324</v>
      </c>
      <c r="H25" s="87" t="s">
        <v>358</v>
      </c>
      <c r="I25" s="87"/>
      <c r="J25" s="87" t="s">
        <v>300</v>
      </c>
      <c r="K25" s="88" t="str">
        <f t="shared" si="0"/>
        <v>Д</v>
      </c>
      <c r="L25" s="88" t="str">
        <f t="shared" si="1"/>
        <v>М</v>
      </c>
      <c r="M25" s="89" t="str">
        <f t="shared" si="2"/>
        <v>Менеджмент и дизайн городской зеленой инфраструктуры [язык реализации –Английский]</v>
      </c>
      <c r="N25" s="89" t="s">
        <v>301</v>
      </c>
    </row>
    <row r="26" spans="1:14" customFormat="1" ht="30" hidden="1" customHeight="1" x14ac:dyDescent="0.25">
      <c r="A26" s="62" t="s">
        <v>359</v>
      </c>
      <c r="B26" s="84" t="s">
        <v>355</v>
      </c>
      <c r="C26" s="85" t="s">
        <v>295</v>
      </c>
      <c r="D26" s="85" t="s">
        <v>304</v>
      </c>
      <c r="E26" s="84" t="s">
        <v>330</v>
      </c>
      <c r="F26" s="86" t="s">
        <v>331</v>
      </c>
      <c r="G26" s="87" t="s">
        <v>324</v>
      </c>
      <c r="H26" s="87" t="s">
        <v>358</v>
      </c>
      <c r="I26" s="87" t="s">
        <v>360</v>
      </c>
      <c r="J26" s="87" t="s">
        <v>300</v>
      </c>
      <c r="K26" s="88" t="str">
        <f t="shared" si="0"/>
        <v>Д</v>
      </c>
      <c r="L26" s="88" t="str">
        <f t="shared" si="1"/>
        <v>М</v>
      </c>
      <c r="M26" s="89" t="str">
        <f t="shared" si="2"/>
        <v>Менеджмент и дизайн городской зеленой инфраструктуры (Вуз-партнёр – Университет Тушии)</v>
      </c>
      <c r="N26" s="89" t="s">
        <v>301</v>
      </c>
    </row>
    <row r="27" spans="1:14" customFormat="1" ht="30" hidden="1" customHeight="1" x14ac:dyDescent="0.25">
      <c r="A27" s="62" t="s">
        <v>361</v>
      </c>
      <c r="B27" s="84" t="s">
        <v>355</v>
      </c>
      <c r="C27" s="85" t="s">
        <v>295</v>
      </c>
      <c r="D27" s="85" t="s">
        <v>296</v>
      </c>
      <c r="E27" s="84" t="s">
        <v>330</v>
      </c>
      <c r="F27" s="86" t="s">
        <v>331</v>
      </c>
      <c r="G27" s="87" t="s">
        <v>324</v>
      </c>
      <c r="H27" s="87" t="s">
        <v>362</v>
      </c>
      <c r="I27" s="87" t="s">
        <v>307</v>
      </c>
      <c r="J27" s="87" t="s">
        <v>300</v>
      </c>
      <c r="K27" s="88" t="str">
        <f t="shared" si="0"/>
        <v>Д</v>
      </c>
      <c r="L27" s="88" t="str">
        <f t="shared" si="1"/>
        <v>М</v>
      </c>
      <c r="M27" s="89" t="str">
        <f t="shared" si="2"/>
        <v>Ландшафтная архитектура и дизайн (Вуз-партнёр – Казахский агротехнический исследовательский университет имени С. Сейфуллина)</v>
      </c>
      <c r="N27" s="89" t="s">
        <v>301</v>
      </c>
    </row>
    <row r="28" spans="1:14" customFormat="1" ht="30" hidden="1" customHeight="1" x14ac:dyDescent="0.25">
      <c r="A28" s="62" t="s">
        <v>363</v>
      </c>
      <c r="B28" s="84" t="s">
        <v>364</v>
      </c>
      <c r="C28" s="85" t="s">
        <v>295</v>
      </c>
      <c r="D28" s="85" t="s">
        <v>296</v>
      </c>
      <c r="E28" s="84" t="s">
        <v>330</v>
      </c>
      <c r="F28" s="86" t="s">
        <v>331</v>
      </c>
      <c r="G28" s="87" t="s">
        <v>327</v>
      </c>
      <c r="H28" s="87" t="s">
        <v>365</v>
      </c>
      <c r="I28" s="87"/>
      <c r="J28" s="87" t="s">
        <v>300</v>
      </c>
      <c r="K28" s="88" t="str">
        <f t="shared" si="0"/>
        <v>Д</v>
      </c>
      <c r="L28" s="88" t="str">
        <f t="shared" si="1"/>
        <v>М</v>
      </c>
      <c r="M28" s="89" t="str">
        <f t="shared" si="2"/>
        <v>Ветеринарно-санитарная экспертиза, безопасность и качество сырья и продуктов биологического происхождения</v>
      </c>
      <c r="N28" s="89" t="s">
        <v>301</v>
      </c>
    </row>
    <row r="29" spans="1:14" customFormat="1" ht="30" hidden="1" customHeight="1" x14ac:dyDescent="0.25">
      <c r="A29" s="62" t="s">
        <v>366</v>
      </c>
      <c r="B29" s="91" t="s">
        <v>367</v>
      </c>
      <c r="C29" s="85" t="s">
        <v>295</v>
      </c>
      <c r="D29" s="85" t="s">
        <v>304</v>
      </c>
      <c r="E29" s="84" t="s">
        <v>311</v>
      </c>
      <c r="F29" s="86" t="s">
        <v>368</v>
      </c>
      <c r="G29" s="87" t="s">
        <v>369</v>
      </c>
      <c r="H29" s="87" t="s">
        <v>370</v>
      </c>
      <c r="I29" s="87"/>
      <c r="J29" s="87" t="s">
        <v>300</v>
      </c>
      <c r="K29" s="88" t="str">
        <f t="shared" si="0"/>
        <v>Д</v>
      </c>
      <c r="L29" s="88" t="str">
        <f t="shared" si="1"/>
        <v>А</v>
      </c>
      <c r="M29" s="89" t="str">
        <f t="shared" si="2"/>
        <v>Зеленая инфраструктура и устойчивое развитие [язык реализации –Английский]</v>
      </c>
      <c r="N29" s="89" t="s">
        <v>301</v>
      </c>
    </row>
    <row r="30" spans="1:14" customFormat="1" ht="30" hidden="1" customHeight="1" x14ac:dyDescent="0.25">
      <c r="A30" s="62" t="s">
        <v>371</v>
      </c>
      <c r="B30" s="84" t="s">
        <v>367</v>
      </c>
      <c r="C30" s="85" t="s">
        <v>295</v>
      </c>
      <c r="D30" s="85" t="s">
        <v>296</v>
      </c>
      <c r="E30" s="84" t="s">
        <v>311</v>
      </c>
      <c r="F30" s="86" t="s">
        <v>368</v>
      </c>
      <c r="G30" s="87" t="s">
        <v>369</v>
      </c>
      <c r="H30" s="87" t="s">
        <v>370</v>
      </c>
      <c r="I30" s="87"/>
      <c r="J30" s="87" t="s">
        <v>300</v>
      </c>
      <c r="K30" s="88" t="str">
        <f t="shared" si="0"/>
        <v>Д</v>
      </c>
      <c r="L30" s="88" t="str">
        <f t="shared" si="1"/>
        <v>А</v>
      </c>
      <c r="M30" s="89" t="str">
        <f t="shared" si="2"/>
        <v>Зеленая инфраструктура и устойчивое развитие</v>
      </c>
      <c r="N30" s="89" t="s">
        <v>301</v>
      </c>
    </row>
    <row r="31" spans="1:14" customFormat="1" ht="30" hidden="1" customHeight="1" x14ac:dyDescent="0.25">
      <c r="A31" s="62" t="s">
        <v>372</v>
      </c>
      <c r="B31" s="84" t="s">
        <v>373</v>
      </c>
      <c r="C31" s="85" t="s">
        <v>295</v>
      </c>
      <c r="D31" s="85" t="s">
        <v>296</v>
      </c>
      <c r="E31" s="84" t="s">
        <v>311</v>
      </c>
      <c r="F31" s="86" t="s">
        <v>368</v>
      </c>
      <c r="G31" s="87" t="s">
        <v>374</v>
      </c>
      <c r="H31" s="87" t="s">
        <v>374</v>
      </c>
      <c r="I31" s="87"/>
      <c r="J31" s="87" t="s">
        <v>300</v>
      </c>
      <c r="K31" s="88" t="str">
        <f t="shared" si="0"/>
        <v>Д</v>
      </c>
      <c r="L31" s="88" t="str">
        <f t="shared" si="1"/>
        <v>А</v>
      </c>
      <c r="M31" s="89" t="str">
        <f t="shared" si="2"/>
        <v>Физиология и биохимия растений</v>
      </c>
      <c r="N31" s="89" t="s">
        <v>301</v>
      </c>
    </row>
    <row r="32" spans="1:14" customFormat="1" ht="30" hidden="1" customHeight="1" x14ac:dyDescent="0.25">
      <c r="A32" s="62" t="s">
        <v>375</v>
      </c>
      <c r="B32" s="84" t="s">
        <v>376</v>
      </c>
      <c r="C32" s="85" t="s">
        <v>295</v>
      </c>
      <c r="D32" s="85" t="s">
        <v>304</v>
      </c>
      <c r="E32" s="84" t="s">
        <v>311</v>
      </c>
      <c r="F32" s="86" t="s">
        <v>368</v>
      </c>
      <c r="G32" s="87" t="s">
        <v>377</v>
      </c>
      <c r="H32" s="87" t="s">
        <v>378</v>
      </c>
      <c r="I32" s="87"/>
      <c r="J32" s="87" t="s">
        <v>300</v>
      </c>
      <c r="K32" s="88" t="str">
        <f t="shared" si="0"/>
        <v>Д</v>
      </c>
      <c r="L32" s="88" t="str">
        <f t="shared" si="1"/>
        <v>А</v>
      </c>
      <c r="M32" s="89" t="str">
        <f t="shared" si="2"/>
        <v>Генетика растений [язык реализации –Английский]</v>
      </c>
      <c r="N32" s="89" t="s">
        <v>301</v>
      </c>
    </row>
    <row r="33" spans="1:14" customFormat="1" ht="30" hidden="1" customHeight="1" x14ac:dyDescent="0.25">
      <c r="A33" s="62" t="s">
        <v>379</v>
      </c>
      <c r="B33" s="84" t="s">
        <v>376</v>
      </c>
      <c r="C33" s="85" t="s">
        <v>295</v>
      </c>
      <c r="D33" s="85" t="s">
        <v>296</v>
      </c>
      <c r="E33" s="84" t="s">
        <v>311</v>
      </c>
      <c r="F33" s="86" t="s">
        <v>368</v>
      </c>
      <c r="G33" s="87" t="s">
        <v>377</v>
      </c>
      <c r="H33" s="87" t="s">
        <v>378</v>
      </c>
      <c r="I33" s="87"/>
      <c r="J33" s="87" t="s">
        <v>300</v>
      </c>
      <c r="K33" s="88" t="str">
        <f t="shared" si="0"/>
        <v>Д</v>
      </c>
      <c r="L33" s="88" t="str">
        <f t="shared" si="1"/>
        <v>А</v>
      </c>
      <c r="M33" s="89" t="str">
        <f t="shared" si="2"/>
        <v>Генетика растений</v>
      </c>
      <c r="N33" s="89" t="s">
        <v>301</v>
      </c>
    </row>
    <row r="34" spans="1:14" customFormat="1" ht="30" hidden="1" customHeight="1" x14ac:dyDescent="0.25">
      <c r="A34" s="62" t="s">
        <v>380</v>
      </c>
      <c r="B34" s="84" t="s">
        <v>381</v>
      </c>
      <c r="C34" s="85" t="s">
        <v>295</v>
      </c>
      <c r="D34" s="85" t="s">
        <v>296</v>
      </c>
      <c r="E34" s="84" t="s">
        <v>311</v>
      </c>
      <c r="F34" s="86" t="s">
        <v>368</v>
      </c>
      <c r="G34" s="87" t="s">
        <v>382</v>
      </c>
      <c r="H34" s="87" t="s">
        <v>382</v>
      </c>
      <c r="I34" s="87"/>
      <c r="J34" s="87" t="s">
        <v>300</v>
      </c>
      <c r="K34" s="88" t="str">
        <f t="shared" si="0"/>
        <v>Д</v>
      </c>
      <c r="L34" s="88" t="str">
        <f t="shared" si="1"/>
        <v>А</v>
      </c>
      <c r="M34" s="89" t="str">
        <f t="shared" si="2"/>
        <v>Общее земледелие и растениеводство</v>
      </c>
      <c r="N34" s="89" t="s">
        <v>301</v>
      </c>
    </row>
    <row r="35" spans="1:14" customFormat="1" ht="30" hidden="1" customHeight="1" x14ac:dyDescent="0.25">
      <c r="A35" s="62" t="s">
        <v>383</v>
      </c>
      <c r="B35" s="84" t="s">
        <v>384</v>
      </c>
      <c r="C35" s="85" t="s">
        <v>295</v>
      </c>
      <c r="D35" s="85" t="s">
        <v>296</v>
      </c>
      <c r="E35" s="84" t="s">
        <v>311</v>
      </c>
      <c r="F35" s="86" t="s">
        <v>368</v>
      </c>
      <c r="G35" s="87" t="s">
        <v>385</v>
      </c>
      <c r="H35" s="87" t="s">
        <v>385</v>
      </c>
      <c r="I35" s="87"/>
      <c r="J35" s="87" t="s">
        <v>300</v>
      </c>
      <c r="K35" s="88" t="str">
        <f t="shared" si="0"/>
        <v>Д</v>
      </c>
      <c r="L35" s="88" t="str">
        <f t="shared" si="1"/>
        <v>А</v>
      </c>
      <c r="M35" s="89" t="str">
        <f t="shared" si="2"/>
        <v>Селекция, семеноводство и биотехнология растений</v>
      </c>
      <c r="N35" s="89" t="s">
        <v>301</v>
      </c>
    </row>
    <row r="36" spans="1:14" customFormat="1" ht="30" hidden="1" customHeight="1" x14ac:dyDescent="0.25">
      <c r="A36" s="62" t="s">
        <v>386</v>
      </c>
      <c r="B36" s="84" t="s">
        <v>387</v>
      </c>
      <c r="C36" s="85" t="s">
        <v>295</v>
      </c>
      <c r="D36" s="85" t="s">
        <v>296</v>
      </c>
      <c r="E36" s="84" t="s">
        <v>311</v>
      </c>
      <c r="F36" s="86" t="s">
        <v>368</v>
      </c>
      <c r="G36" s="87" t="s">
        <v>388</v>
      </c>
      <c r="H36" s="87" t="s">
        <v>388</v>
      </c>
      <c r="I36" s="87"/>
      <c r="J36" s="87" t="s">
        <v>300</v>
      </c>
      <c r="K36" s="88" t="str">
        <f t="shared" si="0"/>
        <v>Д</v>
      </c>
      <c r="L36" s="88" t="str">
        <f t="shared" si="1"/>
        <v>А</v>
      </c>
      <c r="M36" s="89" t="str">
        <f t="shared" si="2"/>
        <v>Агрохимия, агропочвоведение, защита и карантин растений</v>
      </c>
      <c r="N36" s="89" t="s">
        <v>301</v>
      </c>
    </row>
    <row r="37" spans="1:14" customFormat="1" ht="30" hidden="1" customHeight="1" x14ac:dyDescent="0.25">
      <c r="A37" s="62" t="s">
        <v>389</v>
      </c>
      <c r="B37" s="84" t="s">
        <v>387</v>
      </c>
      <c r="C37" s="85" t="s">
        <v>295</v>
      </c>
      <c r="D37" s="85" t="s">
        <v>304</v>
      </c>
      <c r="E37" s="84" t="s">
        <v>311</v>
      </c>
      <c r="F37" s="86" t="s">
        <v>368</v>
      </c>
      <c r="G37" s="87" t="s">
        <v>388</v>
      </c>
      <c r="H37" s="87" t="s">
        <v>390</v>
      </c>
      <c r="I37" s="87"/>
      <c r="J37" s="87" t="s">
        <v>300</v>
      </c>
      <c r="K37" s="88" t="str">
        <f t="shared" si="0"/>
        <v>Д</v>
      </c>
      <c r="L37" s="88" t="str">
        <f t="shared" si="1"/>
        <v>А</v>
      </c>
      <c r="M37" s="89" t="str">
        <f t="shared" si="2"/>
        <v>Защита растений [язык реализации –Английский]</v>
      </c>
      <c r="N37" s="89" t="s">
        <v>301</v>
      </c>
    </row>
    <row r="38" spans="1:14" customFormat="1" ht="30" hidden="1" customHeight="1" x14ac:dyDescent="0.25">
      <c r="A38" s="62" t="s">
        <v>391</v>
      </c>
      <c r="B38" s="84" t="s">
        <v>392</v>
      </c>
      <c r="C38" s="85" t="s">
        <v>295</v>
      </c>
      <c r="D38" s="85" t="s">
        <v>304</v>
      </c>
      <c r="E38" s="84" t="s">
        <v>393</v>
      </c>
      <c r="F38" s="86" t="s">
        <v>368</v>
      </c>
      <c r="G38" s="87" t="s">
        <v>394</v>
      </c>
      <c r="H38" s="87" t="s">
        <v>394</v>
      </c>
      <c r="I38" s="87"/>
      <c r="J38" s="87" t="s">
        <v>300</v>
      </c>
      <c r="K38" s="88" t="str">
        <f t="shared" si="0"/>
        <v>Д</v>
      </c>
      <c r="L38" s="88" t="str">
        <f t="shared" si="1"/>
        <v>А</v>
      </c>
      <c r="M38" s="89" t="str">
        <f t="shared" si="2"/>
        <v>Патология животных, морфология, физиология, фармакология и токсикология [язык реализации –Английский]</v>
      </c>
      <c r="N38" s="89" t="s">
        <v>301</v>
      </c>
    </row>
    <row r="39" spans="1:14" customFormat="1" ht="30" hidden="1" customHeight="1" x14ac:dyDescent="0.25">
      <c r="A39" s="62" t="s">
        <v>395</v>
      </c>
      <c r="B39" s="84" t="s">
        <v>392</v>
      </c>
      <c r="C39" s="85" t="s">
        <v>295</v>
      </c>
      <c r="D39" s="85" t="s">
        <v>296</v>
      </c>
      <c r="E39" s="84" t="s">
        <v>393</v>
      </c>
      <c r="F39" s="86" t="s">
        <v>368</v>
      </c>
      <c r="G39" s="87" t="s">
        <v>394</v>
      </c>
      <c r="H39" s="87" t="s">
        <v>394</v>
      </c>
      <c r="I39" s="87"/>
      <c r="J39" s="87" t="s">
        <v>300</v>
      </c>
      <c r="K39" s="88" t="str">
        <f t="shared" si="0"/>
        <v>Д</v>
      </c>
      <c r="L39" s="88" t="str">
        <f t="shared" si="1"/>
        <v>А</v>
      </c>
      <c r="M39" s="89" t="str">
        <f t="shared" si="2"/>
        <v>Патология животных, морфология, физиология, фармакология и токсикология</v>
      </c>
      <c r="N39" s="89" t="s">
        <v>301</v>
      </c>
    </row>
    <row r="40" spans="1:14" customFormat="1" ht="30" hidden="1" customHeight="1" x14ac:dyDescent="0.25">
      <c r="A40" s="62" t="s">
        <v>396</v>
      </c>
      <c r="B40" s="84" t="s">
        <v>397</v>
      </c>
      <c r="C40" s="85" t="s">
        <v>295</v>
      </c>
      <c r="D40" s="85" t="s">
        <v>296</v>
      </c>
      <c r="E40" s="84" t="s">
        <v>393</v>
      </c>
      <c r="F40" s="86" t="s">
        <v>368</v>
      </c>
      <c r="G40" s="87" t="s">
        <v>398</v>
      </c>
      <c r="H40" s="87" t="s">
        <v>398</v>
      </c>
      <c r="I40" s="87"/>
      <c r="J40" s="87" t="s">
        <v>300</v>
      </c>
      <c r="K40" s="88" t="str">
        <f t="shared" si="0"/>
        <v>Д</v>
      </c>
      <c r="L40" s="88" t="str">
        <f t="shared" si="1"/>
        <v>А</v>
      </c>
      <c r="M40" s="89" t="str">
        <f t="shared" si="2"/>
        <v>Инфекционные болезни и иммунология животных</v>
      </c>
      <c r="N40" s="89" t="s">
        <v>301</v>
      </c>
    </row>
    <row r="41" spans="1:14" customFormat="1" ht="30" hidden="1" customHeight="1" x14ac:dyDescent="0.25">
      <c r="A41" s="62" t="s">
        <v>399</v>
      </c>
      <c r="B41" s="84" t="s">
        <v>400</v>
      </c>
      <c r="C41" s="85" t="s">
        <v>295</v>
      </c>
      <c r="D41" s="85" t="s">
        <v>296</v>
      </c>
      <c r="E41" s="84" t="s">
        <v>393</v>
      </c>
      <c r="F41" s="86" t="s">
        <v>368</v>
      </c>
      <c r="G41" s="87" t="s">
        <v>401</v>
      </c>
      <c r="H41" s="87" t="s">
        <v>401</v>
      </c>
      <c r="I41" s="87"/>
      <c r="J41" s="87" t="s">
        <v>300</v>
      </c>
      <c r="K41" s="88" t="str">
        <f t="shared" si="0"/>
        <v>Д</v>
      </c>
      <c r="L41" s="88" t="str">
        <f t="shared" si="1"/>
        <v>А</v>
      </c>
      <c r="M41" s="89" t="str">
        <f t="shared" si="2"/>
        <v>Частная зоотехния, кормление, технологии приготовления кормов и производства продукции животноводства</v>
      </c>
      <c r="N41" s="89" t="s">
        <v>301</v>
      </c>
    </row>
    <row r="42" spans="1:14" customFormat="1" ht="30" hidden="1" customHeight="1" x14ac:dyDescent="0.25">
      <c r="A42" s="62" t="s">
        <v>402</v>
      </c>
      <c r="B42" s="84" t="s">
        <v>303</v>
      </c>
      <c r="C42" s="85" t="s">
        <v>403</v>
      </c>
      <c r="D42" s="85" t="s">
        <v>296</v>
      </c>
      <c r="E42" s="84" t="s">
        <v>404</v>
      </c>
      <c r="F42" s="86" t="s">
        <v>298</v>
      </c>
      <c r="G42" s="87" t="s">
        <v>305</v>
      </c>
      <c r="H42" s="87" t="s">
        <v>305</v>
      </c>
      <c r="I42" s="87"/>
      <c r="J42" s="87" t="s">
        <v>300</v>
      </c>
      <c r="K42" s="88" t="str">
        <f t="shared" si="0"/>
        <v>В</v>
      </c>
      <c r="L42" s="88" t="str">
        <f t="shared" si="1"/>
        <v>С</v>
      </c>
      <c r="M42" s="89" t="str">
        <f t="shared" si="2"/>
        <v>Ветеринария</v>
      </c>
      <c r="N42" s="89" t="s">
        <v>301</v>
      </c>
    </row>
    <row r="43" spans="1:14" customFormat="1" ht="30" hidden="1" customHeight="1" x14ac:dyDescent="0.25">
      <c r="A43" s="62" t="s">
        <v>405</v>
      </c>
      <c r="B43" s="84" t="s">
        <v>310</v>
      </c>
      <c r="C43" s="85" t="s">
        <v>403</v>
      </c>
      <c r="D43" s="85" t="s">
        <v>296</v>
      </c>
      <c r="E43" s="84" t="s">
        <v>406</v>
      </c>
      <c r="F43" s="86" t="s">
        <v>312</v>
      </c>
      <c r="G43" s="87" t="s">
        <v>313</v>
      </c>
      <c r="H43" s="87" t="s">
        <v>313</v>
      </c>
      <c r="I43" s="87"/>
      <c r="J43" s="87" t="s">
        <v>300</v>
      </c>
      <c r="K43" s="88" t="str">
        <f t="shared" si="0"/>
        <v>В</v>
      </c>
      <c r="L43" s="88" t="str">
        <f t="shared" si="1"/>
        <v>Б</v>
      </c>
      <c r="M43" s="89" t="str">
        <f t="shared" si="2"/>
        <v>Землеустройство и кадастры</v>
      </c>
      <c r="N43" s="89" t="s">
        <v>301</v>
      </c>
    </row>
    <row r="44" spans="1:14" customFormat="1" ht="30" hidden="1" customHeight="1" x14ac:dyDescent="0.25">
      <c r="A44" s="62" t="s">
        <v>407</v>
      </c>
      <c r="B44" s="84" t="s">
        <v>315</v>
      </c>
      <c r="C44" s="85" t="s">
        <v>403</v>
      </c>
      <c r="D44" s="85" t="s">
        <v>296</v>
      </c>
      <c r="E44" s="84" t="s">
        <v>406</v>
      </c>
      <c r="F44" s="86" t="s">
        <v>312</v>
      </c>
      <c r="G44" s="87" t="s">
        <v>316</v>
      </c>
      <c r="H44" s="87" t="s">
        <v>316</v>
      </c>
      <c r="I44" s="87"/>
      <c r="J44" s="87" t="s">
        <v>300</v>
      </c>
      <c r="K44" s="88" t="str">
        <f t="shared" si="0"/>
        <v>В</v>
      </c>
      <c r="L44" s="88" t="str">
        <f t="shared" si="1"/>
        <v>Б</v>
      </c>
      <c r="M44" s="89" t="str">
        <f t="shared" si="2"/>
        <v>Стандартизация и метрология</v>
      </c>
      <c r="N44" s="89" t="s">
        <v>301</v>
      </c>
    </row>
    <row r="45" spans="1:14" customFormat="1" ht="30" hidden="1" customHeight="1" x14ac:dyDescent="0.25">
      <c r="A45" s="62" t="s">
        <v>408</v>
      </c>
      <c r="B45" s="84" t="s">
        <v>318</v>
      </c>
      <c r="C45" s="85" t="s">
        <v>403</v>
      </c>
      <c r="D45" s="85" t="s">
        <v>296</v>
      </c>
      <c r="E45" s="84" t="s">
        <v>406</v>
      </c>
      <c r="F45" s="86" t="s">
        <v>312</v>
      </c>
      <c r="G45" s="87" t="s">
        <v>319</v>
      </c>
      <c r="H45" s="87" t="s">
        <v>319</v>
      </c>
      <c r="I45" s="87"/>
      <c r="J45" s="87" t="s">
        <v>300</v>
      </c>
      <c r="K45" s="88" t="str">
        <f t="shared" si="0"/>
        <v>В</v>
      </c>
      <c r="L45" s="88" t="str">
        <f t="shared" si="1"/>
        <v>Б</v>
      </c>
      <c r="M45" s="89" t="str">
        <f t="shared" si="2"/>
        <v>Агрономия</v>
      </c>
      <c r="N45" s="89" t="s">
        <v>301</v>
      </c>
    </row>
    <row r="46" spans="1:14" customFormat="1" ht="30" hidden="1" customHeight="1" x14ac:dyDescent="0.25">
      <c r="A46" s="62" t="s">
        <v>409</v>
      </c>
      <c r="B46" s="84" t="s">
        <v>318</v>
      </c>
      <c r="C46" s="85" t="s">
        <v>403</v>
      </c>
      <c r="D46" s="85" t="s">
        <v>296</v>
      </c>
      <c r="E46" s="84" t="s">
        <v>406</v>
      </c>
      <c r="F46" s="86" t="s">
        <v>312</v>
      </c>
      <c r="G46" s="87" t="s">
        <v>319</v>
      </c>
      <c r="H46" s="87" t="s">
        <v>321</v>
      </c>
      <c r="I46" s="87"/>
      <c r="J46" s="87" t="s">
        <v>300</v>
      </c>
      <c r="K46" s="88" t="str">
        <f t="shared" si="0"/>
        <v>В</v>
      </c>
      <c r="L46" s="88" t="str">
        <f t="shared" si="1"/>
        <v>Б</v>
      </c>
      <c r="M46" s="89" t="str">
        <f t="shared" si="2"/>
        <v>Биотехнология растений</v>
      </c>
      <c r="N46" s="89" t="s">
        <v>301</v>
      </c>
    </row>
    <row r="47" spans="1:14" customFormat="1" ht="30" hidden="1" customHeight="1" x14ac:dyDescent="0.25">
      <c r="A47" s="62" t="s">
        <v>410</v>
      </c>
      <c r="B47" s="84" t="s">
        <v>323</v>
      </c>
      <c r="C47" s="85" t="s">
        <v>403</v>
      </c>
      <c r="D47" s="85" t="s">
        <v>296</v>
      </c>
      <c r="E47" s="84" t="s">
        <v>406</v>
      </c>
      <c r="F47" s="86" t="s">
        <v>312</v>
      </c>
      <c r="G47" s="87" t="s">
        <v>324</v>
      </c>
      <c r="H47" s="87" t="s">
        <v>324</v>
      </c>
      <c r="I47" s="87"/>
      <c r="J47" s="87" t="s">
        <v>300</v>
      </c>
      <c r="K47" s="88" t="str">
        <f t="shared" si="0"/>
        <v>В</v>
      </c>
      <c r="L47" s="88" t="str">
        <f t="shared" si="1"/>
        <v>Б</v>
      </c>
      <c r="M47" s="89" t="str">
        <f t="shared" si="2"/>
        <v>Ландшафтная архитектура</v>
      </c>
      <c r="N47" s="89" t="s">
        <v>301</v>
      </c>
    </row>
    <row r="48" spans="1:14" customFormat="1" ht="30" hidden="1" customHeight="1" x14ac:dyDescent="0.25">
      <c r="A48" s="62" t="s">
        <v>411</v>
      </c>
      <c r="B48" s="84" t="s">
        <v>326</v>
      </c>
      <c r="C48" s="85" t="s">
        <v>403</v>
      </c>
      <c r="D48" s="85" t="s">
        <v>296</v>
      </c>
      <c r="E48" s="84" t="s">
        <v>406</v>
      </c>
      <c r="F48" s="86" t="s">
        <v>312</v>
      </c>
      <c r="G48" s="87" t="s">
        <v>327</v>
      </c>
      <c r="H48" s="87" t="s">
        <v>327</v>
      </c>
      <c r="I48" s="87"/>
      <c r="J48" s="87" t="s">
        <v>300</v>
      </c>
      <c r="K48" s="88" t="str">
        <f t="shared" si="0"/>
        <v>В</v>
      </c>
      <c r="L48" s="88" t="str">
        <f t="shared" si="1"/>
        <v>Б</v>
      </c>
      <c r="M48" s="89" t="str">
        <f t="shared" si="2"/>
        <v>Ветеринарно-санитарная экспертиза</v>
      </c>
      <c r="N48" s="89" t="s">
        <v>301</v>
      </c>
    </row>
    <row r="49" spans="1:14" customFormat="1" ht="30" hidden="1" customHeight="1" x14ac:dyDescent="0.25">
      <c r="A49" s="62" t="s">
        <v>412</v>
      </c>
      <c r="B49" s="84" t="s">
        <v>329</v>
      </c>
      <c r="C49" s="85" t="s">
        <v>403</v>
      </c>
      <c r="D49" s="85" t="s">
        <v>296</v>
      </c>
      <c r="E49" s="84" t="s">
        <v>413</v>
      </c>
      <c r="F49" s="86" t="s">
        <v>331</v>
      </c>
      <c r="G49" s="87" t="s">
        <v>313</v>
      </c>
      <c r="H49" s="87" t="s">
        <v>332</v>
      </c>
      <c r="I49" s="87"/>
      <c r="J49" s="87" t="s">
        <v>300</v>
      </c>
      <c r="K49" s="88" t="str">
        <f t="shared" si="0"/>
        <v>В</v>
      </c>
      <c r="L49" s="88" t="str">
        <f t="shared" si="1"/>
        <v>М</v>
      </c>
      <c r="M49" s="89" t="str">
        <f t="shared" si="2"/>
        <v>Технологии геодезических и кадастровых работ</v>
      </c>
      <c r="N49" s="89" t="s">
        <v>301</v>
      </c>
    </row>
    <row r="50" spans="1:14" customFormat="1" ht="30" hidden="1" customHeight="1" x14ac:dyDescent="0.25">
      <c r="A50" s="62" t="s">
        <v>414</v>
      </c>
      <c r="B50" s="84" t="s">
        <v>335</v>
      </c>
      <c r="C50" s="85" t="s">
        <v>403</v>
      </c>
      <c r="D50" s="85" t="s">
        <v>296</v>
      </c>
      <c r="E50" s="84" t="s">
        <v>413</v>
      </c>
      <c r="F50" s="86" t="s">
        <v>331</v>
      </c>
      <c r="G50" s="87" t="s">
        <v>316</v>
      </c>
      <c r="H50" s="87" t="s">
        <v>339</v>
      </c>
      <c r="I50" s="87"/>
      <c r="J50" s="87" t="s">
        <v>300</v>
      </c>
      <c r="K50" s="88" t="str">
        <f t="shared" si="0"/>
        <v>В</v>
      </c>
      <c r="L50" s="88" t="str">
        <f t="shared" si="1"/>
        <v>М</v>
      </c>
      <c r="M50" s="89" t="str">
        <f t="shared" si="2"/>
        <v>Аудит и управление качеством пищевой продукции</v>
      </c>
      <c r="N50" s="89" t="s">
        <v>301</v>
      </c>
    </row>
    <row r="51" spans="1:14" customFormat="1" ht="30" hidden="1" customHeight="1" x14ac:dyDescent="0.25">
      <c r="A51" s="62" t="s">
        <v>415</v>
      </c>
      <c r="B51" s="84" t="s">
        <v>341</v>
      </c>
      <c r="C51" s="85" t="s">
        <v>403</v>
      </c>
      <c r="D51" s="85" t="s">
        <v>296</v>
      </c>
      <c r="E51" s="84" t="s">
        <v>413</v>
      </c>
      <c r="F51" s="86" t="s">
        <v>331</v>
      </c>
      <c r="G51" s="87" t="s">
        <v>319</v>
      </c>
      <c r="H51" s="87" t="s">
        <v>349</v>
      </c>
      <c r="I51" s="87"/>
      <c r="J51" s="87" t="s">
        <v>300</v>
      </c>
      <c r="K51" s="88" t="str">
        <f t="shared" si="0"/>
        <v>В</v>
      </c>
      <c r="L51" s="88" t="str">
        <f t="shared" si="1"/>
        <v>М</v>
      </c>
      <c r="M51" s="89" t="str">
        <f t="shared" si="2"/>
        <v>Защита и карантин растений</v>
      </c>
      <c r="N51" s="89" t="s">
        <v>301</v>
      </c>
    </row>
    <row r="52" spans="1:14" customFormat="1" ht="30" hidden="1" customHeight="1" x14ac:dyDescent="0.25">
      <c r="A52" s="62" t="s">
        <v>416</v>
      </c>
      <c r="B52" s="84" t="s">
        <v>355</v>
      </c>
      <c r="C52" s="85" t="s">
        <v>403</v>
      </c>
      <c r="D52" s="85" t="s">
        <v>296</v>
      </c>
      <c r="E52" s="84" t="s">
        <v>413</v>
      </c>
      <c r="F52" s="86" t="s">
        <v>331</v>
      </c>
      <c r="G52" s="87" t="s">
        <v>324</v>
      </c>
      <c r="H52" s="87" t="s">
        <v>356</v>
      </c>
      <c r="I52" s="87"/>
      <c r="J52" s="87" t="s">
        <v>300</v>
      </c>
      <c r="K52" s="88" t="str">
        <f t="shared" si="0"/>
        <v>В</v>
      </c>
      <c r="L52" s="88" t="str">
        <f t="shared" si="1"/>
        <v>М</v>
      </c>
      <c r="M52" s="89" t="str">
        <f t="shared" si="2"/>
        <v>Современная ландшафтная архитектура и дизайн городской среды</v>
      </c>
      <c r="N52" s="89" t="s">
        <v>301</v>
      </c>
    </row>
    <row r="53" spans="1:14" customFormat="1" ht="30" hidden="1" customHeight="1" x14ac:dyDescent="0.25">
      <c r="A53" s="62" t="s">
        <v>417</v>
      </c>
      <c r="B53" s="84" t="s">
        <v>364</v>
      </c>
      <c r="C53" s="85" t="s">
        <v>403</v>
      </c>
      <c r="D53" s="85" t="s">
        <v>296</v>
      </c>
      <c r="E53" s="84" t="s">
        <v>413</v>
      </c>
      <c r="F53" s="86" t="s">
        <v>331</v>
      </c>
      <c r="G53" s="87" t="s">
        <v>327</v>
      </c>
      <c r="H53" s="87" t="s">
        <v>365</v>
      </c>
      <c r="I53" s="87"/>
      <c r="J53" s="87" t="s">
        <v>300</v>
      </c>
      <c r="K53" s="88" t="str">
        <f t="shared" si="0"/>
        <v>В</v>
      </c>
      <c r="L53" s="88" t="str">
        <f t="shared" si="1"/>
        <v>М</v>
      </c>
      <c r="M53" s="89" t="str">
        <f t="shared" si="2"/>
        <v>Ветеринарно-санитарная экспертиза, безопасность и качество сырья и продуктов биологического происхождения</v>
      </c>
      <c r="N53" s="89" t="s">
        <v>301</v>
      </c>
    </row>
    <row r="54" spans="1:14" customFormat="1" ht="30" hidden="1" customHeight="1" x14ac:dyDescent="0.25">
      <c r="A54" s="62" t="s">
        <v>417</v>
      </c>
      <c r="B54" s="84" t="s">
        <v>364</v>
      </c>
      <c r="C54" s="85" t="s">
        <v>403</v>
      </c>
      <c r="D54" s="85" t="s">
        <v>296</v>
      </c>
      <c r="E54" s="84" t="s">
        <v>413</v>
      </c>
      <c r="F54" s="86" t="s">
        <v>331</v>
      </c>
      <c r="G54" s="87" t="s">
        <v>327</v>
      </c>
      <c r="H54" s="87" t="s">
        <v>365</v>
      </c>
      <c r="I54" s="87"/>
      <c r="J54" s="87" t="s">
        <v>300</v>
      </c>
      <c r="K54" s="88" t="str">
        <f t="shared" si="0"/>
        <v>В</v>
      </c>
      <c r="L54" s="88" t="str">
        <f t="shared" si="1"/>
        <v>М</v>
      </c>
      <c r="M54" s="89" t="str">
        <f t="shared" si="2"/>
        <v>Ветеринарно-санитарная экспертиза, безопасность и качество сырья и продуктов биологического происхождения</v>
      </c>
      <c r="N54" s="89" t="s">
        <v>301</v>
      </c>
    </row>
    <row r="55" spans="1:14" customFormat="1" ht="30" hidden="1" customHeight="1" x14ac:dyDescent="0.25">
      <c r="A55" s="62" t="s">
        <v>418</v>
      </c>
      <c r="B55" s="84" t="s">
        <v>303</v>
      </c>
      <c r="C55" s="85" t="s">
        <v>419</v>
      </c>
      <c r="D55" s="85" t="s">
        <v>296</v>
      </c>
      <c r="E55" s="84" t="s">
        <v>404</v>
      </c>
      <c r="F55" s="86" t="s">
        <v>298</v>
      </c>
      <c r="G55" s="87" t="s">
        <v>305</v>
      </c>
      <c r="H55" s="87" t="s">
        <v>305</v>
      </c>
      <c r="I55" s="87"/>
      <c r="J55" s="87" t="s">
        <v>300</v>
      </c>
      <c r="K55" s="88" t="str">
        <f t="shared" si="0"/>
        <v>З</v>
      </c>
      <c r="L55" s="88" t="str">
        <f t="shared" si="1"/>
        <v>С</v>
      </c>
      <c r="M55" s="89" t="str">
        <f t="shared" si="2"/>
        <v>Ветеринария</v>
      </c>
      <c r="N55" s="89" t="s">
        <v>301</v>
      </c>
    </row>
    <row r="56" spans="1:14" customFormat="1" ht="30" hidden="1" customHeight="1" x14ac:dyDescent="0.25">
      <c r="A56" s="62" t="s">
        <v>420</v>
      </c>
      <c r="B56" s="84" t="s">
        <v>310</v>
      </c>
      <c r="C56" s="85" t="s">
        <v>419</v>
      </c>
      <c r="D56" s="85" t="s">
        <v>296</v>
      </c>
      <c r="E56" s="84" t="s">
        <v>406</v>
      </c>
      <c r="F56" s="86" t="s">
        <v>312</v>
      </c>
      <c r="G56" s="87" t="s">
        <v>313</v>
      </c>
      <c r="H56" s="87" t="s">
        <v>313</v>
      </c>
      <c r="I56" s="87"/>
      <c r="J56" s="87" t="s">
        <v>300</v>
      </c>
      <c r="K56" s="88" t="str">
        <f t="shared" si="0"/>
        <v>З</v>
      </c>
      <c r="L56" s="88" t="str">
        <f t="shared" si="1"/>
        <v>Б</v>
      </c>
      <c r="M56" s="89" t="str">
        <f t="shared" si="2"/>
        <v>Землеустройство и кадастры</v>
      </c>
      <c r="N56" s="89" t="s">
        <v>301</v>
      </c>
    </row>
    <row r="57" spans="1:14" customFormat="1" ht="30" hidden="1" customHeight="1" x14ac:dyDescent="0.25">
      <c r="A57" s="62" t="s">
        <v>421</v>
      </c>
      <c r="B57" s="84" t="s">
        <v>315</v>
      </c>
      <c r="C57" s="85" t="s">
        <v>419</v>
      </c>
      <c r="D57" s="85" t="s">
        <v>296</v>
      </c>
      <c r="E57" s="84" t="s">
        <v>406</v>
      </c>
      <c r="F57" s="86" t="s">
        <v>312</v>
      </c>
      <c r="G57" s="87" t="s">
        <v>316</v>
      </c>
      <c r="H57" s="87" t="s">
        <v>316</v>
      </c>
      <c r="I57" s="87"/>
      <c r="J57" s="87" t="s">
        <v>300</v>
      </c>
      <c r="K57" s="88" t="str">
        <f t="shared" si="0"/>
        <v>З</v>
      </c>
      <c r="L57" s="88" t="str">
        <f t="shared" si="1"/>
        <v>Б</v>
      </c>
      <c r="M57" s="89" t="str">
        <f t="shared" si="2"/>
        <v>Стандартизация и метрология</v>
      </c>
      <c r="N57" s="89" t="s">
        <v>301</v>
      </c>
    </row>
    <row r="58" spans="1:14" customFormat="1" ht="30" hidden="1" customHeight="1" x14ac:dyDescent="0.25">
      <c r="A58" s="62" t="s">
        <v>422</v>
      </c>
      <c r="B58" s="84" t="s">
        <v>318</v>
      </c>
      <c r="C58" s="85" t="s">
        <v>419</v>
      </c>
      <c r="D58" s="85" t="s">
        <v>296</v>
      </c>
      <c r="E58" s="84" t="s">
        <v>406</v>
      </c>
      <c r="F58" s="86" t="s">
        <v>312</v>
      </c>
      <c r="G58" s="87" t="s">
        <v>319</v>
      </c>
      <c r="H58" s="87" t="s">
        <v>319</v>
      </c>
      <c r="I58" s="87"/>
      <c r="J58" s="87" t="s">
        <v>300</v>
      </c>
      <c r="K58" s="88" t="str">
        <f t="shared" si="0"/>
        <v>З</v>
      </c>
      <c r="L58" s="88" t="str">
        <f t="shared" si="1"/>
        <v>Б</v>
      </c>
      <c r="M58" s="89" t="str">
        <f t="shared" si="2"/>
        <v>Агрономия</v>
      </c>
      <c r="N58" s="89" t="s">
        <v>301</v>
      </c>
    </row>
    <row r="59" spans="1:14" customFormat="1" ht="30" hidden="1" customHeight="1" x14ac:dyDescent="0.25">
      <c r="A59" s="62" t="s">
        <v>423</v>
      </c>
      <c r="B59" s="84" t="s">
        <v>318</v>
      </c>
      <c r="C59" s="85" t="s">
        <v>419</v>
      </c>
      <c r="D59" s="85" t="s">
        <v>296</v>
      </c>
      <c r="E59" s="84" t="s">
        <v>406</v>
      </c>
      <c r="F59" s="86" t="s">
        <v>312</v>
      </c>
      <c r="G59" s="87" t="s">
        <v>319</v>
      </c>
      <c r="H59" s="87" t="s">
        <v>321</v>
      </c>
      <c r="I59" s="87"/>
      <c r="J59" s="87" t="s">
        <v>300</v>
      </c>
      <c r="K59" s="88" t="str">
        <f t="shared" si="0"/>
        <v>З</v>
      </c>
      <c r="L59" s="88" t="str">
        <f t="shared" si="1"/>
        <v>Б</v>
      </c>
      <c r="M59" s="89" t="str">
        <f t="shared" si="2"/>
        <v>Биотехнология растений</v>
      </c>
      <c r="N59" s="89" t="s">
        <v>301</v>
      </c>
    </row>
    <row r="60" spans="1:14" customFormat="1" ht="30" hidden="1" customHeight="1" x14ac:dyDescent="0.25">
      <c r="A60" s="62" t="s">
        <v>424</v>
      </c>
      <c r="B60" s="84" t="s">
        <v>323</v>
      </c>
      <c r="C60" s="85" t="s">
        <v>419</v>
      </c>
      <c r="D60" s="85" t="s">
        <v>296</v>
      </c>
      <c r="E60" s="84" t="s">
        <v>406</v>
      </c>
      <c r="F60" s="86" t="s">
        <v>312</v>
      </c>
      <c r="G60" s="87" t="s">
        <v>324</v>
      </c>
      <c r="H60" s="87" t="s">
        <v>324</v>
      </c>
      <c r="I60" s="87"/>
      <c r="J60" s="87" t="s">
        <v>300</v>
      </c>
      <c r="K60" s="88" t="str">
        <f t="shared" si="0"/>
        <v>З</v>
      </c>
      <c r="L60" s="88" t="str">
        <f t="shared" si="1"/>
        <v>Б</v>
      </c>
      <c r="M60" s="89" t="str">
        <f t="shared" si="2"/>
        <v>Ландшафтная архитектура</v>
      </c>
      <c r="N60" s="89" t="s">
        <v>301</v>
      </c>
    </row>
    <row r="61" spans="1:14" customFormat="1" ht="30" hidden="1" customHeight="1" x14ac:dyDescent="0.25">
      <c r="A61" s="62" t="s">
        <v>425</v>
      </c>
      <c r="B61" s="84" t="s">
        <v>326</v>
      </c>
      <c r="C61" s="85" t="s">
        <v>419</v>
      </c>
      <c r="D61" s="85" t="s">
        <v>296</v>
      </c>
      <c r="E61" s="84" t="s">
        <v>406</v>
      </c>
      <c r="F61" s="86" t="s">
        <v>312</v>
      </c>
      <c r="G61" s="87" t="s">
        <v>327</v>
      </c>
      <c r="H61" s="87" t="s">
        <v>327</v>
      </c>
      <c r="I61" s="87"/>
      <c r="J61" s="87" t="s">
        <v>300</v>
      </c>
      <c r="K61" s="88" t="str">
        <f t="shared" si="0"/>
        <v>З</v>
      </c>
      <c r="L61" s="88" t="str">
        <f t="shared" si="1"/>
        <v>Б</v>
      </c>
      <c r="M61" s="89" t="str">
        <f t="shared" si="2"/>
        <v>Ветеринарно-санитарная экспертиза</v>
      </c>
      <c r="N61" s="89" t="s">
        <v>301</v>
      </c>
    </row>
    <row r="62" spans="1:14" customFormat="1" ht="30" hidden="1" customHeight="1" x14ac:dyDescent="0.25">
      <c r="A62" s="62" t="s">
        <v>426</v>
      </c>
      <c r="B62" s="84" t="s">
        <v>329</v>
      </c>
      <c r="C62" s="85" t="s">
        <v>419</v>
      </c>
      <c r="D62" s="85" t="s">
        <v>296</v>
      </c>
      <c r="E62" s="84" t="s">
        <v>413</v>
      </c>
      <c r="F62" s="86" t="s">
        <v>331</v>
      </c>
      <c r="G62" s="87" t="s">
        <v>313</v>
      </c>
      <c r="H62" s="87" t="s">
        <v>332</v>
      </c>
      <c r="I62" s="87"/>
      <c r="J62" s="87" t="s">
        <v>300</v>
      </c>
      <c r="K62" s="88" t="str">
        <f t="shared" si="0"/>
        <v>З</v>
      </c>
      <c r="L62" s="88" t="str">
        <f t="shared" si="1"/>
        <v>М</v>
      </c>
      <c r="M62" s="89" t="str">
        <f t="shared" si="2"/>
        <v>Технологии геодезических и кадастровых работ</v>
      </c>
      <c r="N62" s="89" t="s">
        <v>301</v>
      </c>
    </row>
    <row r="63" spans="1:14" customFormat="1" ht="30" hidden="1" customHeight="1" x14ac:dyDescent="0.25">
      <c r="A63" s="62" t="s">
        <v>427</v>
      </c>
      <c r="B63" s="84" t="s">
        <v>335</v>
      </c>
      <c r="C63" s="85" t="s">
        <v>419</v>
      </c>
      <c r="D63" s="85" t="s">
        <v>296</v>
      </c>
      <c r="E63" s="84" t="s">
        <v>413</v>
      </c>
      <c r="F63" s="86" t="s">
        <v>331</v>
      </c>
      <c r="G63" s="87" t="s">
        <v>316</v>
      </c>
      <c r="H63" s="87" t="s">
        <v>339</v>
      </c>
      <c r="I63" s="87"/>
      <c r="J63" s="87" t="s">
        <v>300</v>
      </c>
      <c r="K63" s="88" t="str">
        <f t="shared" si="0"/>
        <v>З</v>
      </c>
      <c r="L63" s="88" t="str">
        <f t="shared" si="1"/>
        <v>М</v>
      </c>
      <c r="M63" s="89" t="str">
        <f t="shared" si="2"/>
        <v>Аудит и управление качеством пищевой продукции</v>
      </c>
      <c r="N63" s="89" t="s">
        <v>301</v>
      </c>
    </row>
    <row r="64" spans="1:14" customFormat="1" ht="30" hidden="1" customHeight="1" x14ac:dyDescent="0.25">
      <c r="A64" s="62" t="s">
        <v>428</v>
      </c>
      <c r="B64" s="84" t="s">
        <v>341</v>
      </c>
      <c r="C64" s="85" t="s">
        <v>419</v>
      </c>
      <c r="D64" s="85" t="s">
        <v>296</v>
      </c>
      <c r="E64" s="84" t="s">
        <v>413</v>
      </c>
      <c r="F64" s="86" t="s">
        <v>331</v>
      </c>
      <c r="G64" s="87" t="s">
        <v>319</v>
      </c>
      <c r="H64" s="87" t="s">
        <v>342</v>
      </c>
      <c r="I64" s="87"/>
      <c r="J64" s="87" t="s">
        <v>300</v>
      </c>
      <c r="K64" s="88" t="str">
        <f t="shared" si="0"/>
        <v>З</v>
      </c>
      <c r="L64" s="88" t="str">
        <f t="shared" si="1"/>
        <v>М</v>
      </c>
      <c r="M64" s="89" t="str">
        <f t="shared" si="2"/>
        <v>Агробиотехнология</v>
      </c>
      <c r="N64" s="89" t="s">
        <v>301</v>
      </c>
    </row>
    <row r="65" spans="1:14" customFormat="1" ht="30" hidden="1" customHeight="1" x14ac:dyDescent="0.25">
      <c r="A65" s="62" t="s">
        <v>429</v>
      </c>
      <c r="B65" s="84" t="s">
        <v>341</v>
      </c>
      <c r="C65" s="85" t="s">
        <v>419</v>
      </c>
      <c r="D65" s="85" t="s">
        <v>296</v>
      </c>
      <c r="E65" s="84" t="s">
        <v>413</v>
      </c>
      <c r="F65" s="86" t="s">
        <v>331</v>
      </c>
      <c r="G65" s="87" t="s">
        <v>319</v>
      </c>
      <c r="H65" s="87" t="s">
        <v>349</v>
      </c>
      <c r="I65" s="87"/>
      <c r="J65" s="87" t="s">
        <v>300</v>
      </c>
      <c r="K65" s="88" t="str">
        <f t="shared" si="0"/>
        <v>З</v>
      </c>
      <c r="L65" s="88" t="str">
        <f t="shared" si="1"/>
        <v>М</v>
      </c>
      <c r="M65" s="89" t="str">
        <f t="shared" si="2"/>
        <v>Защита и карантин растений</v>
      </c>
      <c r="N65" s="89" t="s">
        <v>301</v>
      </c>
    </row>
    <row r="66" spans="1:14" customFormat="1" ht="30" hidden="1" customHeight="1" x14ac:dyDescent="0.25">
      <c r="A66" s="62" t="s">
        <v>430</v>
      </c>
      <c r="B66" s="84" t="s">
        <v>341</v>
      </c>
      <c r="C66" s="85" t="s">
        <v>419</v>
      </c>
      <c r="D66" s="85" t="s">
        <v>296</v>
      </c>
      <c r="E66" s="84" t="s">
        <v>413</v>
      </c>
      <c r="F66" s="86" t="s">
        <v>331</v>
      </c>
      <c r="G66" s="87" t="s">
        <v>319</v>
      </c>
      <c r="H66" s="87" t="s">
        <v>353</v>
      </c>
      <c r="I66" s="87"/>
      <c r="J66" s="87" t="s">
        <v>300</v>
      </c>
      <c r="K66" s="88" t="str">
        <f t="shared" si="0"/>
        <v>З</v>
      </c>
      <c r="L66" s="88" t="str">
        <f t="shared" si="1"/>
        <v>М</v>
      </c>
      <c r="M66" s="89" t="str">
        <f t="shared" si="2"/>
        <v>Декоративное питомниководство </v>
      </c>
      <c r="N66" s="89" t="s">
        <v>301</v>
      </c>
    </row>
    <row r="67" spans="1:14" customFormat="1" ht="30" hidden="1" customHeight="1" x14ac:dyDescent="0.25">
      <c r="A67" s="62" t="s">
        <v>431</v>
      </c>
      <c r="B67" s="84" t="s">
        <v>355</v>
      </c>
      <c r="C67" s="85" t="s">
        <v>419</v>
      </c>
      <c r="D67" s="85" t="s">
        <v>296</v>
      </c>
      <c r="E67" s="84" t="s">
        <v>413</v>
      </c>
      <c r="F67" s="86" t="s">
        <v>331</v>
      </c>
      <c r="G67" s="87" t="s">
        <v>324</v>
      </c>
      <c r="H67" s="87" t="s">
        <v>356</v>
      </c>
      <c r="I67" s="87"/>
      <c r="J67" s="87" t="s">
        <v>300</v>
      </c>
      <c r="K67" s="88" t="str">
        <f t="shared" ref="K67:K130" si="3">IF(C67="очная","Д",IF(C67="Очно-заочная","В",IF(C67="Заочная","З","-")))</f>
        <v>З</v>
      </c>
      <c r="L67" s="88" t="str">
        <f t="shared" ref="L67:L130" si="4">IF(N67="да","ЦМ",LEFT(F67,1))</f>
        <v>М</v>
      </c>
      <c r="M67" s="89" t="str">
        <f t="shared" ref="M67:M130" si="5">CONCATENATE(H67,IF(I67&gt;0,CONCATENATE(" (Вуз-партнёр – ",I67,")"),IF(D67=$D$3,"",CONCATENATE(" [язык реализации –",D67,"]"))))</f>
        <v>Современная ландшафтная архитектура и дизайн городской среды</v>
      </c>
      <c r="N67" s="89" t="s">
        <v>301</v>
      </c>
    </row>
    <row r="68" spans="1:14" customFormat="1" ht="30" hidden="1" customHeight="1" x14ac:dyDescent="0.25">
      <c r="A68" s="62" t="s">
        <v>432</v>
      </c>
      <c r="B68" s="84" t="s">
        <v>433</v>
      </c>
      <c r="C68" s="85" t="s">
        <v>419</v>
      </c>
      <c r="D68" s="85" t="s">
        <v>296</v>
      </c>
      <c r="E68" s="84" t="s">
        <v>413</v>
      </c>
      <c r="F68" s="86" t="s">
        <v>331</v>
      </c>
      <c r="G68" s="87" t="s">
        <v>434</v>
      </c>
      <c r="H68" s="87" t="s">
        <v>435</v>
      </c>
      <c r="I68" s="87"/>
      <c r="J68" s="87" t="s">
        <v>300</v>
      </c>
      <c r="K68" s="88" t="str">
        <f t="shared" si="3"/>
        <v>З</v>
      </c>
      <c r="L68" s="88" t="str">
        <f t="shared" si="4"/>
        <v>М</v>
      </c>
      <c r="M68" s="89" t="str">
        <f t="shared" si="5"/>
        <v>Экономика недвижимости в АПК</v>
      </c>
      <c r="N68" s="89" t="s">
        <v>301</v>
      </c>
    </row>
    <row r="69" spans="1:14" customFormat="1" ht="30" hidden="1" customHeight="1" x14ac:dyDescent="0.25">
      <c r="A69" s="62" t="s">
        <v>436</v>
      </c>
      <c r="B69" s="84" t="s">
        <v>437</v>
      </c>
      <c r="C69" s="85" t="s">
        <v>419</v>
      </c>
      <c r="D69" s="85" t="s">
        <v>296</v>
      </c>
      <c r="E69" s="84" t="s">
        <v>297</v>
      </c>
      <c r="F69" s="86" t="s">
        <v>368</v>
      </c>
      <c r="G69" s="87" t="s">
        <v>438</v>
      </c>
      <c r="H69" s="87" t="s">
        <v>439</v>
      </c>
      <c r="I69" s="87"/>
      <c r="J69" s="87" t="s">
        <v>300</v>
      </c>
      <c r="K69" s="88" t="str">
        <f t="shared" si="3"/>
        <v>З</v>
      </c>
      <c r="L69" s="88" t="str">
        <f t="shared" si="4"/>
        <v>А</v>
      </c>
      <c r="M69" s="89" t="str">
        <f t="shared" si="5"/>
        <v>Безопасность в чрезвычайных ситуациях (технические, биологические науки)</v>
      </c>
      <c r="N69" s="89" t="s">
        <v>301</v>
      </c>
    </row>
    <row r="70" spans="1:14" customFormat="1" ht="30" hidden="1" customHeight="1" x14ac:dyDescent="0.25">
      <c r="A70" s="62" t="s">
        <v>440</v>
      </c>
      <c r="B70" s="84" t="s">
        <v>441</v>
      </c>
      <c r="C70" s="85" t="s">
        <v>419</v>
      </c>
      <c r="D70" s="85" t="s">
        <v>296</v>
      </c>
      <c r="E70" s="84" t="s">
        <v>297</v>
      </c>
      <c r="F70" s="86" t="s">
        <v>368</v>
      </c>
      <c r="G70" s="87" t="s">
        <v>442</v>
      </c>
      <c r="H70" s="87" t="s">
        <v>443</v>
      </c>
      <c r="I70" s="87"/>
      <c r="J70" s="87" t="s">
        <v>300</v>
      </c>
      <c r="K70" s="88" t="str">
        <f t="shared" si="3"/>
        <v>З</v>
      </c>
      <c r="L70" s="88" t="str">
        <f t="shared" si="4"/>
        <v>А</v>
      </c>
      <c r="M70" s="89" t="str">
        <f t="shared" si="5"/>
        <v>Общее земледелие, растениеводство</v>
      </c>
      <c r="N70" s="89" t="s">
        <v>301</v>
      </c>
    </row>
    <row r="71" spans="1:14" customFormat="1" ht="30" hidden="1" customHeight="1" x14ac:dyDescent="0.25">
      <c r="A71" s="62" t="s">
        <v>444</v>
      </c>
      <c r="B71" s="84" t="s">
        <v>441</v>
      </c>
      <c r="C71" s="85" t="s">
        <v>419</v>
      </c>
      <c r="D71" s="85" t="s">
        <v>296</v>
      </c>
      <c r="E71" s="84" t="s">
        <v>297</v>
      </c>
      <c r="F71" s="86" t="s">
        <v>368</v>
      </c>
      <c r="G71" s="87" t="s">
        <v>442</v>
      </c>
      <c r="H71" s="87" t="s">
        <v>445</v>
      </c>
      <c r="I71" s="87"/>
      <c r="J71" s="87" t="s">
        <v>300</v>
      </c>
      <c r="K71" s="88" t="str">
        <f t="shared" si="3"/>
        <v>З</v>
      </c>
      <c r="L71" s="88" t="str">
        <f t="shared" si="4"/>
        <v>А</v>
      </c>
      <c r="M71" s="89" t="str">
        <f t="shared" si="5"/>
        <v>Селекция и семеноводство сельскохозяйственных растений</v>
      </c>
      <c r="N71" s="89" t="s">
        <v>301</v>
      </c>
    </row>
    <row r="72" spans="1:14" customFormat="1" ht="30" hidden="1" customHeight="1" x14ac:dyDescent="0.25">
      <c r="A72" s="62" t="s">
        <v>446</v>
      </c>
      <c r="B72" s="84" t="s">
        <v>441</v>
      </c>
      <c r="C72" s="85" t="s">
        <v>419</v>
      </c>
      <c r="D72" s="85" t="s">
        <v>296</v>
      </c>
      <c r="E72" s="84" t="s">
        <v>297</v>
      </c>
      <c r="F72" s="86" t="s">
        <v>368</v>
      </c>
      <c r="G72" s="87" t="s">
        <v>442</v>
      </c>
      <c r="H72" s="87" t="s">
        <v>390</v>
      </c>
      <c r="I72" s="87"/>
      <c r="J72" s="87" t="s">
        <v>300</v>
      </c>
      <c r="K72" s="88" t="str">
        <f t="shared" si="3"/>
        <v>З</v>
      </c>
      <c r="L72" s="88" t="str">
        <f t="shared" si="4"/>
        <v>А</v>
      </c>
      <c r="M72" s="89" t="str">
        <f t="shared" si="5"/>
        <v>Защита растений</v>
      </c>
      <c r="N72" s="89" t="s">
        <v>301</v>
      </c>
    </row>
    <row r="73" spans="1:14" customFormat="1" ht="30" hidden="1" customHeight="1" x14ac:dyDescent="0.25">
      <c r="A73" s="62" t="s">
        <v>447</v>
      </c>
      <c r="B73" s="84" t="s">
        <v>448</v>
      </c>
      <c r="C73" s="85" t="s">
        <v>295</v>
      </c>
      <c r="D73" s="85" t="s">
        <v>296</v>
      </c>
      <c r="E73" s="84" t="s">
        <v>311</v>
      </c>
      <c r="F73" s="86" t="s">
        <v>312</v>
      </c>
      <c r="G73" s="87" t="s">
        <v>449</v>
      </c>
      <c r="H73" s="87" t="s">
        <v>450</v>
      </c>
      <c r="I73" s="87"/>
      <c r="J73" s="87" t="s">
        <v>451</v>
      </c>
      <c r="K73" s="88" t="str">
        <f t="shared" si="3"/>
        <v>Д</v>
      </c>
      <c r="L73" s="88" t="str">
        <f t="shared" si="4"/>
        <v>Б</v>
      </c>
      <c r="M73" s="89" t="str">
        <f t="shared" si="5"/>
        <v>Управление предприятиями наукоемких отраслей промышленности</v>
      </c>
      <c r="N73" s="89" t="s">
        <v>301</v>
      </c>
    </row>
    <row r="74" spans="1:14" customFormat="1" ht="30" hidden="1" customHeight="1" x14ac:dyDescent="0.25">
      <c r="A74" s="62" t="s">
        <v>452</v>
      </c>
      <c r="B74" s="84" t="s">
        <v>448</v>
      </c>
      <c r="C74" s="85" t="s">
        <v>295</v>
      </c>
      <c r="D74" s="85" t="s">
        <v>296</v>
      </c>
      <c r="E74" s="84" t="s">
        <v>311</v>
      </c>
      <c r="F74" s="86" t="s">
        <v>312</v>
      </c>
      <c r="G74" s="87" t="s">
        <v>449</v>
      </c>
      <c r="H74" s="87" t="s">
        <v>453</v>
      </c>
      <c r="I74" s="87"/>
      <c r="J74" s="87" t="s">
        <v>451</v>
      </c>
      <c r="K74" s="88" t="str">
        <f t="shared" si="3"/>
        <v>Д</v>
      </c>
      <c r="L74" s="88" t="str">
        <f t="shared" si="4"/>
        <v>Б</v>
      </c>
      <c r="M74" s="89" t="str">
        <f t="shared" si="5"/>
        <v>Цифровой дизайн и веб-разработка</v>
      </c>
      <c r="N74" s="89" t="s">
        <v>301</v>
      </c>
    </row>
    <row r="75" spans="1:14" customFormat="1" ht="30" hidden="1" customHeight="1" x14ac:dyDescent="0.25">
      <c r="A75" s="62" t="s">
        <v>454</v>
      </c>
      <c r="B75" s="84" t="s">
        <v>448</v>
      </c>
      <c r="C75" s="85" t="s">
        <v>295</v>
      </c>
      <c r="D75" s="85" t="s">
        <v>296</v>
      </c>
      <c r="E75" s="84" t="s">
        <v>311</v>
      </c>
      <c r="F75" s="86" t="s">
        <v>312</v>
      </c>
      <c r="G75" s="87" t="s">
        <v>449</v>
      </c>
      <c r="H75" s="87" t="s">
        <v>455</v>
      </c>
      <c r="I75" s="87"/>
      <c r="J75" s="87" t="s">
        <v>451</v>
      </c>
      <c r="K75" s="88" t="str">
        <f t="shared" si="3"/>
        <v>Д</v>
      </c>
      <c r="L75" s="88" t="str">
        <f t="shared" si="4"/>
        <v>Б</v>
      </c>
      <c r="M75" s="89" t="str">
        <f t="shared" si="5"/>
        <v>Управление предприятиями</v>
      </c>
      <c r="N75" s="89" t="s">
        <v>301</v>
      </c>
    </row>
    <row r="76" spans="1:14" customFormat="1" ht="30" hidden="1" customHeight="1" x14ac:dyDescent="0.25">
      <c r="A76" s="62" t="s">
        <v>456</v>
      </c>
      <c r="B76" s="84" t="s">
        <v>457</v>
      </c>
      <c r="C76" s="85" t="s">
        <v>295</v>
      </c>
      <c r="D76" s="85" t="s">
        <v>296</v>
      </c>
      <c r="E76" s="84" t="s">
        <v>311</v>
      </c>
      <c r="F76" s="86" t="s">
        <v>312</v>
      </c>
      <c r="G76" s="87" t="s">
        <v>458</v>
      </c>
      <c r="H76" s="87" t="s">
        <v>459</v>
      </c>
      <c r="I76" s="87"/>
      <c r="J76" s="87" t="s">
        <v>451</v>
      </c>
      <c r="K76" s="88" t="str">
        <f t="shared" si="3"/>
        <v>Д</v>
      </c>
      <c r="L76" s="88" t="str">
        <f t="shared" si="4"/>
        <v>Б</v>
      </c>
      <c r="M76" s="89" t="str">
        <f t="shared" si="5"/>
        <v>Разработка прикладных решений для бизнеса</v>
      </c>
      <c r="N76" s="89" t="s">
        <v>301</v>
      </c>
    </row>
    <row r="77" spans="1:14" customFormat="1" ht="30" hidden="1" customHeight="1" x14ac:dyDescent="0.25">
      <c r="A77" s="62" t="s">
        <v>460</v>
      </c>
      <c r="B77" s="84" t="s">
        <v>461</v>
      </c>
      <c r="C77" s="85" t="s">
        <v>295</v>
      </c>
      <c r="D77" s="85" t="s">
        <v>296</v>
      </c>
      <c r="E77" s="84" t="s">
        <v>311</v>
      </c>
      <c r="F77" s="86" t="s">
        <v>312</v>
      </c>
      <c r="G77" s="87" t="s">
        <v>462</v>
      </c>
      <c r="H77" s="87" t="s">
        <v>463</v>
      </c>
      <c r="I77" s="87"/>
      <c r="J77" s="87" t="s">
        <v>451</v>
      </c>
      <c r="K77" s="88" t="str">
        <f t="shared" si="3"/>
        <v>Д</v>
      </c>
      <c r="L77" s="88" t="str">
        <f t="shared" si="4"/>
        <v>Б</v>
      </c>
      <c r="M77" s="89" t="str">
        <f t="shared" si="5"/>
        <v>Международный туризм</v>
      </c>
      <c r="N77" s="89" t="s">
        <v>301</v>
      </c>
    </row>
    <row r="78" spans="1:14" customFormat="1" ht="30" hidden="1" customHeight="1" x14ac:dyDescent="0.25">
      <c r="A78" s="62" t="s">
        <v>464</v>
      </c>
      <c r="B78" s="84" t="s">
        <v>465</v>
      </c>
      <c r="C78" s="85" t="s">
        <v>295</v>
      </c>
      <c r="D78" s="85" t="s">
        <v>296</v>
      </c>
      <c r="E78" s="84" t="s">
        <v>311</v>
      </c>
      <c r="F78" s="86" t="s">
        <v>312</v>
      </c>
      <c r="G78" s="87" t="s">
        <v>466</v>
      </c>
      <c r="H78" s="87" t="s">
        <v>467</v>
      </c>
      <c r="I78" s="87"/>
      <c r="J78" s="87" t="s">
        <v>451</v>
      </c>
      <c r="K78" s="88" t="str">
        <f t="shared" si="3"/>
        <v>Д</v>
      </c>
      <c r="L78" s="88" t="str">
        <f t="shared" si="4"/>
        <v>Б</v>
      </c>
      <c r="M78" s="89" t="str">
        <f t="shared" si="5"/>
        <v>Международный ресторанный бизнес</v>
      </c>
      <c r="N78" s="89" t="s">
        <v>301</v>
      </c>
    </row>
    <row r="79" spans="1:14" customFormat="1" ht="30" hidden="1" customHeight="1" x14ac:dyDescent="0.25">
      <c r="A79" s="62" t="s">
        <v>468</v>
      </c>
      <c r="B79" s="84" t="s">
        <v>465</v>
      </c>
      <c r="C79" s="85" t="s">
        <v>295</v>
      </c>
      <c r="D79" s="85" t="s">
        <v>296</v>
      </c>
      <c r="E79" s="84" t="s">
        <v>311</v>
      </c>
      <c r="F79" s="86" t="s">
        <v>312</v>
      </c>
      <c r="G79" s="87" t="s">
        <v>466</v>
      </c>
      <c r="H79" s="87" t="s">
        <v>469</v>
      </c>
      <c r="I79" s="87"/>
      <c r="J79" s="87" t="s">
        <v>451</v>
      </c>
      <c r="K79" s="88" t="str">
        <f t="shared" si="3"/>
        <v>Д</v>
      </c>
      <c r="L79" s="88" t="str">
        <f t="shared" si="4"/>
        <v>Б</v>
      </c>
      <c r="M79" s="89" t="str">
        <f t="shared" si="5"/>
        <v>Международный гостиничный бизнес</v>
      </c>
      <c r="N79" s="89" t="s">
        <v>301</v>
      </c>
    </row>
    <row r="80" spans="1:14" customFormat="1" ht="30" hidden="1" customHeight="1" x14ac:dyDescent="0.25">
      <c r="A80" s="62" t="s">
        <v>470</v>
      </c>
      <c r="B80" s="84" t="s">
        <v>471</v>
      </c>
      <c r="C80" s="85" t="s">
        <v>295</v>
      </c>
      <c r="D80" s="85" t="s">
        <v>296</v>
      </c>
      <c r="E80" s="84" t="s">
        <v>330</v>
      </c>
      <c r="F80" s="86" t="s">
        <v>331</v>
      </c>
      <c r="G80" s="87" t="s">
        <v>472</v>
      </c>
      <c r="H80" s="87" t="s">
        <v>473</v>
      </c>
      <c r="I80" s="87"/>
      <c r="J80" s="87" t="s">
        <v>451</v>
      </c>
      <c r="K80" s="88" t="str">
        <f t="shared" si="3"/>
        <v>Д</v>
      </c>
      <c r="L80" s="88" t="str">
        <f t="shared" si="4"/>
        <v>М</v>
      </c>
      <c r="M80" s="89" t="str">
        <f t="shared" si="5"/>
        <v>Математическое моделирование инженерно-экономических систем</v>
      </c>
      <c r="N80" s="89" t="s">
        <v>301</v>
      </c>
    </row>
    <row r="81" spans="1:14" customFormat="1" ht="30" hidden="1" customHeight="1" x14ac:dyDescent="0.25">
      <c r="A81" s="62" t="s">
        <v>474</v>
      </c>
      <c r="B81" s="84" t="s">
        <v>471</v>
      </c>
      <c r="C81" s="85" t="s">
        <v>295</v>
      </c>
      <c r="D81" s="85" t="s">
        <v>296</v>
      </c>
      <c r="E81" s="84" t="s">
        <v>330</v>
      </c>
      <c r="F81" s="86" t="s">
        <v>331</v>
      </c>
      <c r="G81" s="87" t="s">
        <v>472</v>
      </c>
      <c r="H81" s="87" t="s">
        <v>475</v>
      </c>
      <c r="I81" s="87"/>
      <c r="J81" s="87" t="s">
        <v>451</v>
      </c>
      <c r="K81" s="88" t="str">
        <f t="shared" si="3"/>
        <v>Д</v>
      </c>
      <c r="L81" s="88" t="str">
        <f t="shared" si="4"/>
        <v>М</v>
      </c>
      <c r="M81" s="89" t="str">
        <f t="shared" si="5"/>
        <v>Разработка и управление информационными (IT) системами</v>
      </c>
      <c r="N81" s="89" t="s">
        <v>301</v>
      </c>
    </row>
    <row r="82" spans="1:14" customFormat="1" ht="30" hidden="1" customHeight="1" x14ac:dyDescent="0.25">
      <c r="A82" s="62" t="s">
        <v>476</v>
      </c>
      <c r="B82" s="84" t="s">
        <v>433</v>
      </c>
      <c r="C82" s="85" t="s">
        <v>295</v>
      </c>
      <c r="D82" s="85" t="s">
        <v>296</v>
      </c>
      <c r="E82" s="84" t="s">
        <v>330</v>
      </c>
      <c r="F82" s="86" t="s">
        <v>331</v>
      </c>
      <c r="G82" s="87" t="s">
        <v>434</v>
      </c>
      <c r="H82" s="87" t="s">
        <v>477</v>
      </c>
      <c r="I82" s="87"/>
      <c r="J82" s="87" t="s">
        <v>451</v>
      </c>
      <c r="K82" s="88" t="str">
        <f t="shared" si="3"/>
        <v>Д</v>
      </c>
      <c r="L82" s="88" t="str">
        <f t="shared" si="4"/>
        <v>М</v>
      </c>
      <c r="M82" s="89" t="str">
        <f t="shared" si="5"/>
        <v>Управление наукоемкими отраслями</v>
      </c>
      <c r="N82" s="89" t="s">
        <v>301</v>
      </c>
    </row>
    <row r="83" spans="1:14" customFormat="1" ht="30" hidden="1" customHeight="1" x14ac:dyDescent="0.25">
      <c r="A83" s="62" t="s">
        <v>478</v>
      </c>
      <c r="B83" s="84" t="s">
        <v>433</v>
      </c>
      <c r="C83" s="85" t="s">
        <v>295</v>
      </c>
      <c r="D83" s="85" t="s">
        <v>296</v>
      </c>
      <c r="E83" s="84" t="s">
        <v>330</v>
      </c>
      <c r="F83" s="86" t="s">
        <v>331</v>
      </c>
      <c r="G83" s="87" t="s">
        <v>434</v>
      </c>
      <c r="H83" s="87" t="s">
        <v>479</v>
      </c>
      <c r="I83" s="87"/>
      <c r="J83" s="87" t="s">
        <v>451</v>
      </c>
      <c r="K83" s="88" t="str">
        <f t="shared" si="3"/>
        <v>Д</v>
      </c>
      <c r="L83" s="88" t="str">
        <f t="shared" si="4"/>
        <v>М</v>
      </c>
      <c r="M83" s="89" t="str">
        <f t="shared" si="5"/>
        <v>Принятие эффективных управленческих решений (Big Data Economics)</v>
      </c>
      <c r="N83" s="89" t="s">
        <v>301</v>
      </c>
    </row>
    <row r="84" spans="1:14" customFormat="1" ht="30" hidden="1" customHeight="1" x14ac:dyDescent="0.25">
      <c r="A84" s="62" t="s">
        <v>480</v>
      </c>
      <c r="B84" s="84" t="s">
        <v>433</v>
      </c>
      <c r="C84" s="85" t="s">
        <v>295</v>
      </c>
      <c r="D84" s="85" t="s">
        <v>296</v>
      </c>
      <c r="E84" s="84" t="s">
        <v>330</v>
      </c>
      <c r="F84" s="86" t="s">
        <v>331</v>
      </c>
      <c r="G84" s="87" t="s">
        <v>434</v>
      </c>
      <c r="H84" s="87" t="s">
        <v>481</v>
      </c>
      <c r="I84" s="87"/>
      <c r="J84" s="87" t="s">
        <v>451</v>
      </c>
      <c r="K84" s="88" t="str">
        <f t="shared" si="3"/>
        <v>Д</v>
      </c>
      <c r="L84" s="88" t="str">
        <f t="shared" si="4"/>
        <v>М</v>
      </c>
      <c r="M84" s="89" t="str">
        <f t="shared" si="5"/>
        <v>Комплаенс-контроль в деятельности организаций</v>
      </c>
      <c r="N84" s="89" t="s">
        <v>301</v>
      </c>
    </row>
    <row r="85" spans="1:14" customFormat="1" ht="30" hidden="1" customHeight="1" x14ac:dyDescent="0.25">
      <c r="A85" s="62" t="s">
        <v>482</v>
      </c>
      <c r="B85" s="84" t="s">
        <v>433</v>
      </c>
      <c r="C85" s="85" t="s">
        <v>295</v>
      </c>
      <c r="D85" s="85" t="s">
        <v>296</v>
      </c>
      <c r="E85" s="84" t="s">
        <v>330</v>
      </c>
      <c r="F85" s="86" t="s">
        <v>331</v>
      </c>
      <c r="G85" s="87" t="s">
        <v>434</v>
      </c>
      <c r="H85" s="87" t="s">
        <v>483</v>
      </c>
      <c r="I85" s="87"/>
      <c r="J85" s="87" t="s">
        <v>451</v>
      </c>
      <c r="K85" s="88" t="str">
        <f t="shared" si="3"/>
        <v>Д</v>
      </c>
      <c r="L85" s="88" t="str">
        <f t="shared" si="4"/>
        <v>ЦМ</v>
      </c>
      <c r="M85" s="89" t="str">
        <f t="shared" si="5"/>
        <v>E-commerce – Электронная коммерция</v>
      </c>
      <c r="N85" s="89" t="s">
        <v>484</v>
      </c>
    </row>
    <row r="86" spans="1:14" customFormat="1" ht="30" hidden="1" customHeight="1" x14ac:dyDescent="0.25">
      <c r="A86" s="62" t="s">
        <v>485</v>
      </c>
      <c r="B86" s="84" t="s">
        <v>433</v>
      </c>
      <c r="C86" s="85" t="s">
        <v>295</v>
      </c>
      <c r="D86" s="85" t="s">
        <v>296</v>
      </c>
      <c r="E86" s="84" t="s">
        <v>330</v>
      </c>
      <c r="F86" s="86" t="s">
        <v>331</v>
      </c>
      <c r="G86" s="87" t="s">
        <v>434</v>
      </c>
      <c r="H86" s="87" t="s">
        <v>486</v>
      </c>
      <c r="I86" s="87"/>
      <c r="J86" s="87" t="s">
        <v>451</v>
      </c>
      <c r="K86" s="88" t="str">
        <f t="shared" si="3"/>
        <v>Д</v>
      </c>
      <c r="L86" s="88" t="str">
        <f t="shared" si="4"/>
        <v>М</v>
      </c>
      <c r="M86" s="89" t="str">
        <f t="shared" si="5"/>
        <v>Экономика и управление цифровым предприятием</v>
      </c>
      <c r="N86" s="89" t="s">
        <v>301</v>
      </c>
    </row>
    <row r="87" spans="1:14" customFormat="1" ht="30" hidden="1" customHeight="1" x14ac:dyDescent="0.25">
      <c r="A87" s="62" t="s">
        <v>487</v>
      </c>
      <c r="B87" s="84" t="s">
        <v>488</v>
      </c>
      <c r="C87" s="85" t="s">
        <v>295</v>
      </c>
      <c r="D87" s="85" t="s">
        <v>296</v>
      </c>
      <c r="E87" s="84" t="s">
        <v>330</v>
      </c>
      <c r="F87" s="86" t="s">
        <v>331</v>
      </c>
      <c r="G87" s="87" t="s">
        <v>449</v>
      </c>
      <c r="H87" s="87" t="s">
        <v>489</v>
      </c>
      <c r="I87" s="87"/>
      <c r="J87" s="87" t="s">
        <v>451</v>
      </c>
      <c r="K87" s="88" t="str">
        <f t="shared" si="3"/>
        <v>Д</v>
      </c>
      <c r="L87" s="88" t="str">
        <f t="shared" si="4"/>
        <v>М</v>
      </c>
      <c r="M87" s="89" t="str">
        <f t="shared" si="5"/>
        <v>Инновационный менеджмент в промышленности</v>
      </c>
      <c r="N87" s="89" t="s">
        <v>301</v>
      </c>
    </row>
    <row r="88" spans="1:14" customFormat="1" ht="30" hidden="1" customHeight="1" x14ac:dyDescent="0.25">
      <c r="A88" s="62" t="s">
        <v>490</v>
      </c>
      <c r="B88" s="84" t="s">
        <v>488</v>
      </c>
      <c r="C88" s="85" t="s">
        <v>295</v>
      </c>
      <c r="D88" s="85" t="s">
        <v>296</v>
      </c>
      <c r="E88" s="84" t="s">
        <v>330</v>
      </c>
      <c r="F88" s="86" t="s">
        <v>331</v>
      </c>
      <c r="G88" s="87" t="s">
        <v>449</v>
      </c>
      <c r="H88" s="87" t="s">
        <v>491</v>
      </c>
      <c r="I88" s="87"/>
      <c r="J88" s="87" t="s">
        <v>451</v>
      </c>
      <c r="K88" s="88" t="str">
        <f t="shared" si="3"/>
        <v>Д</v>
      </c>
      <c r="L88" s="88" t="str">
        <f t="shared" si="4"/>
        <v>М</v>
      </c>
      <c r="M88" s="89" t="str">
        <f t="shared" si="5"/>
        <v>Девелопмент и управление недвижимостью</v>
      </c>
      <c r="N88" s="89" t="s">
        <v>301</v>
      </c>
    </row>
    <row r="89" spans="1:14" customFormat="1" ht="30" hidden="1" customHeight="1" x14ac:dyDescent="0.25">
      <c r="A89" s="62" t="s">
        <v>492</v>
      </c>
      <c r="B89" s="84" t="s">
        <v>488</v>
      </c>
      <c r="C89" s="85" t="s">
        <v>295</v>
      </c>
      <c r="D89" s="85" t="s">
        <v>304</v>
      </c>
      <c r="E89" s="84" t="s">
        <v>330</v>
      </c>
      <c r="F89" s="86" t="s">
        <v>331</v>
      </c>
      <c r="G89" s="87" t="s">
        <v>449</v>
      </c>
      <c r="H89" s="87" t="s">
        <v>493</v>
      </c>
      <c r="I89" s="87"/>
      <c r="J89" s="87" t="s">
        <v>451</v>
      </c>
      <c r="K89" s="88" t="str">
        <f t="shared" si="3"/>
        <v>Д</v>
      </c>
      <c r="L89" s="88" t="str">
        <f t="shared" si="4"/>
        <v>М</v>
      </c>
      <c r="M89" s="89" t="str">
        <f t="shared" si="5"/>
        <v>Инженерный менеджмент [язык реализации –Английский]</v>
      </c>
      <c r="N89" s="89" t="s">
        <v>301</v>
      </c>
    </row>
    <row r="90" spans="1:14" customFormat="1" ht="30" hidden="1" customHeight="1" x14ac:dyDescent="0.25">
      <c r="A90" s="62" t="s">
        <v>494</v>
      </c>
      <c r="B90" s="84" t="s">
        <v>488</v>
      </c>
      <c r="C90" s="85" t="s">
        <v>295</v>
      </c>
      <c r="D90" s="85" t="s">
        <v>296</v>
      </c>
      <c r="E90" s="84" t="s">
        <v>330</v>
      </c>
      <c r="F90" s="86" t="s">
        <v>331</v>
      </c>
      <c r="G90" s="87" t="s">
        <v>449</v>
      </c>
      <c r="H90" s="87" t="s">
        <v>493</v>
      </c>
      <c r="I90" s="87"/>
      <c r="J90" s="87" t="s">
        <v>451</v>
      </c>
      <c r="K90" s="88" t="str">
        <f t="shared" si="3"/>
        <v>Д</v>
      </c>
      <c r="L90" s="88" t="str">
        <f t="shared" si="4"/>
        <v>М</v>
      </c>
      <c r="M90" s="89" t="str">
        <f t="shared" si="5"/>
        <v>Инженерный менеджмент</v>
      </c>
      <c r="N90" s="89" t="s">
        <v>301</v>
      </c>
    </row>
    <row r="91" spans="1:14" customFormat="1" ht="30" hidden="1" customHeight="1" x14ac:dyDescent="0.25">
      <c r="A91" s="62" t="s">
        <v>495</v>
      </c>
      <c r="B91" s="84" t="s">
        <v>488</v>
      </c>
      <c r="C91" s="85" t="s">
        <v>295</v>
      </c>
      <c r="D91" s="85" t="s">
        <v>296</v>
      </c>
      <c r="E91" s="84" t="s">
        <v>330</v>
      </c>
      <c r="F91" s="86" t="s">
        <v>331</v>
      </c>
      <c r="G91" s="87" t="s">
        <v>449</v>
      </c>
      <c r="H91" s="87" t="s">
        <v>496</v>
      </c>
      <c r="I91" s="87" t="s">
        <v>497</v>
      </c>
      <c r="J91" s="87" t="s">
        <v>451</v>
      </c>
      <c r="K91" s="88" t="str">
        <f t="shared" si="3"/>
        <v>Д</v>
      </c>
      <c r="L91" s="88" t="str">
        <f t="shared" si="4"/>
        <v>ЦМ</v>
      </c>
      <c r="M91" s="89" t="str">
        <f t="shared" si="5"/>
        <v>Управление продуктом (Вуз-партнёр – ООО "Сберобразование")</v>
      </c>
      <c r="N91" s="89" t="s">
        <v>484</v>
      </c>
    </row>
    <row r="92" spans="1:14" customFormat="1" ht="30" hidden="1" customHeight="1" x14ac:dyDescent="0.25">
      <c r="A92" s="62" t="s">
        <v>498</v>
      </c>
      <c r="B92" s="84" t="s">
        <v>488</v>
      </c>
      <c r="C92" s="85" t="s">
        <v>295</v>
      </c>
      <c r="D92" s="85" t="s">
        <v>296</v>
      </c>
      <c r="E92" s="84" t="s">
        <v>330</v>
      </c>
      <c r="F92" s="86" t="s">
        <v>331</v>
      </c>
      <c r="G92" s="87" t="s">
        <v>449</v>
      </c>
      <c r="H92" s="87" t="s">
        <v>499</v>
      </c>
      <c r="I92" s="87"/>
      <c r="J92" s="87" t="s">
        <v>451</v>
      </c>
      <c r="K92" s="88" t="str">
        <f t="shared" si="3"/>
        <v>Д</v>
      </c>
      <c r="L92" s="88" t="str">
        <f t="shared" si="4"/>
        <v>ЦМ</v>
      </c>
      <c r="M92" s="89" t="str">
        <f t="shared" si="5"/>
        <v>Цифровые технологии в управлении</v>
      </c>
      <c r="N92" s="89" t="s">
        <v>484</v>
      </c>
    </row>
    <row r="93" spans="1:14" customFormat="1" ht="30" hidden="1" customHeight="1" x14ac:dyDescent="0.25">
      <c r="A93" s="62" t="s">
        <v>500</v>
      </c>
      <c r="B93" s="84" t="s">
        <v>488</v>
      </c>
      <c r="C93" s="85" t="s">
        <v>295</v>
      </c>
      <c r="D93" s="85" t="s">
        <v>296</v>
      </c>
      <c r="E93" s="84" t="s">
        <v>330</v>
      </c>
      <c r="F93" s="86" t="s">
        <v>331</v>
      </c>
      <c r="G93" s="87" t="s">
        <v>449</v>
      </c>
      <c r="H93" s="87" t="s">
        <v>501</v>
      </c>
      <c r="I93" s="87"/>
      <c r="J93" s="87" t="s">
        <v>451</v>
      </c>
      <c r="K93" s="88" t="str">
        <f t="shared" si="3"/>
        <v>Д</v>
      </c>
      <c r="L93" s="88" t="str">
        <f t="shared" si="4"/>
        <v>М</v>
      </c>
      <c r="M93" s="89" t="str">
        <f t="shared" si="5"/>
        <v>Управление внешнеэкономической деятельностью</v>
      </c>
      <c r="N93" s="89" t="s">
        <v>301</v>
      </c>
    </row>
    <row r="94" spans="1:14" customFormat="1" ht="30" hidden="1" customHeight="1" x14ac:dyDescent="0.25">
      <c r="A94" s="62" t="s">
        <v>502</v>
      </c>
      <c r="B94" s="84" t="s">
        <v>488</v>
      </c>
      <c r="C94" s="85" t="s">
        <v>295</v>
      </c>
      <c r="D94" s="85" t="s">
        <v>296</v>
      </c>
      <c r="E94" s="84" t="s">
        <v>330</v>
      </c>
      <c r="F94" s="86" t="s">
        <v>331</v>
      </c>
      <c r="G94" s="87" t="s">
        <v>449</v>
      </c>
      <c r="H94" s="87" t="s">
        <v>501</v>
      </c>
      <c r="I94" s="87" t="s">
        <v>503</v>
      </c>
      <c r="J94" s="87" t="s">
        <v>451</v>
      </c>
      <c r="K94" s="88" t="str">
        <f t="shared" si="3"/>
        <v>Д</v>
      </c>
      <c r="L94" s="88" t="str">
        <f t="shared" si="4"/>
        <v>М</v>
      </c>
      <c r="M94" s="89" t="str">
        <f t="shared" si="5"/>
        <v>Управление внешнеэкономической деятельностью (Вуз-партнёр – АНО ДПО "Школа экспорта Акционерного общества "Российский экспортный центр")</v>
      </c>
      <c r="N94" s="89" t="s">
        <v>301</v>
      </c>
    </row>
    <row r="95" spans="1:14" customFormat="1" ht="30" hidden="1" customHeight="1" x14ac:dyDescent="0.25">
      <c r="A95" s="62" t="s">
        <v>504</v>
      </c>
      <c r="B95" s="84" t="s">
        <v>488</v>
      </c>
      <c r="C95" s="85" t="s">
        <v>295</v>
      </c>
      <c r="D95" s="85" t="s">
        <v>296</v>
      </c>
      <c r="E95" s="84" t="s">
        <v>330</v>
      </c>
      <c r="F95" s="86" t="s">
        <v>331</v>
      </c>
      <c r="G95" s="87" t="s">
        <v>449</v>
      </c>
      <c r="H95" s="87" t="s">
        <v>505</v>
      </c>
      <c r="I95" s="87" t="s">
        <v>506</v>
      </c>
      <c r="J95" s="87" t="s">
        <v>451</v>
      </c>
      <c r="K95" s="88" t="str">
        <f t="shared" si="3"/>
        <v>Д</v>
      </c>
      <c r="L95" s="88" t="str">
        <f t="shared" si="4"/>
        <v>М</v>
      </c>
      <c r="M95" s="89" t="str">
        <f t="shared" si="5"/>
        <v>Управление гостиничным комплексом (Вуз-партнёр – АНО ДПО «Академия гостеприимства Космос»)</v>
      </c>
      <c r="N95" s="89" t="s">
        <v>301</v>
      </c>
    </row>
    <row r="96" spans="1:14" customFormat="1" ht="30" hidden="1" customHeight="1" x14ac:dyDescent="0.25">
      <c r="A96" s="62" t="s">
        <v>507</v>
      </c>
      <c r="B96" s="84" t="s">
        <v>508</v>
      </c>
      <c r="C96" s="85" t="s">
        <v>295</v>
      </c>
      <c r="D96" s="85" t="s">
        <v>296</v>
      </c>
      <c r="E96" s="84" t="s">
        <v>330</v>
      </c>
      <c r="F96" s="86" t="s">
        <v>331</v>
      </c>
      <c r="G96" s="87" t="s">
        <v>462</v>
      </c>
      <c r="H96" s="87" t="s">
        <v>509</v>
      </c>
      <c r="I96" s="87"/>
      <c r="J96" s="87" t="s">
        <v>451</v>
      </c>
      <c r="K96" s="88" t="str">
        <f t="shared" si="3"/>
        <v>Д</v>
      </c>
      <c r="L96" s="88" t="str">
        <f t="shared" si="4"/>
        <v>М</v>
      </c>
      <c r="M96" s="89" t="str">
        <f t="shared" si="5"/>
        <v>Планирование и развитие туризма</v>
      </c>
      <c r="N96" s="89" t="s">
        <v>301</v>
      </c>
    </row>
    <row r="97" spans="1:14" customFormat="1" ht="30" hidden="1" customHeight="1" x14ac:dyDescent="0.25">
      <c r="A97" s="62" t="s">
        <v>510</v>
      </c>
      <c r="B97" s="84" t="s">
        <v>508</v>
      </c>
      <c r="C97" s="85" t="s">
        <v>295</v>
      </c>
      <c r="D97" s="85" t="s">
        <v>296</v>
      </c>
      <c r="E97" s="84" t="s">
        <v>330</v>
      </c>
      <c r="F97" s="86" t="s">
        <v>331</v>
      </c>
      <c r="G97" s="87" t="s">
        <v>462</v>
      </c>
      <c r="H97" s="87" t="s">
        <v>511</v>
      </c>
      <c r="I97" s="87" t="s">
        <v>512</v>
      </c>
      <c r="J97" s="87" t="s">
        <v>451</v>
      </c>
      <c r="K97" s="88" t="str">
        <f t="shared" si="3"/>
        <v>Д</v>
      </c>
      <c r="L97" s="88" t="str">
        <f t="shared" si="4"/>
        <v>М</v>
      </c>
      <c r="M97" s="89" t="str">
        <f t="shared" si="5"/>
        <v>Планирование и развитие туризма на государственном уровне (Вуз-партнёр – Южно-Казахстанский государственный университет им. М.Ауэзова)</v>
      </c>
      <c r="N97" s="89" t="s">
        <v>301</v>
      </c>
    </row>
    <row r="98" spans="1:14" customFormat="1" ht="30" hidden="1" customHeight="1" x14ac:dyDescent="0.25">
      <c r="A98" s="62" t="s">
        <v>513</v>
      </c>
      <c r="B98" s="84" t="s">
        <v>508</v>
      </c>
      <c r="C98" s="85" t="s">
        <v>295</v>
      </c>
      <c r="D98" s="85" t="s">
        <v>296</v>
      </c>
      <c r="E98" s="84" t="s">
        <v>330</v>
      </c>
      <c r="F98" s="86" t="s">
        <v>331</v>
      </c>
      <c r="G98" s="87" t="s">
        <v>462</v>
      </c>
      <c r="H98" s="87" t="s">
        <v>511</v>
      </c>
      <c r="I98" s="87" t="s">
        <v>514</v>
      </c>
      <c r="J98" s="87" t="s">
        <v>451</v>
      </c>
      <c r="K98" s="88" t="str">
        <f t="shared" si="3"/>
        <v>Д</v>
      </c>
      <c r="L98" s="88" t="str">
        <f t="shared" si="4"/>
        <v>М</v>
      </c>
      <c r="M98" s="89" t="str">
        <f t="shared" si="5"/>
        <v>Планирование и развитие туризма на государственном уровне (Вуз-партнёр – Евразийский национальный университет имени Л. Н. Гумилёва)</v>
      </c>
      <c r="N98" s="89" t="s">
        <v>301</v>
      </c>
    </row>
    <row r="99" spans="1:14" customFormat="1" ht="30" hidden="1" customHeight="1" x14ac:dyDescent="0.25">
      <c r="A99" s="62" t="s">
        <v>515</v>
      </c>
      <c r="B99" s="84" t="s">
        <v>508</v>
      </c>
      <c r="C99" s="85" t="s">
        <v>295</v>
      </c>
      <c r="D99" s="85" t="s">
        <v>296</v>
      </c>
      <c r="E99" s="84" t="s">
        <v>330</v>
      </c>
      <c r="F99" s="86" t="s">
        <v>331</v>
      </c>
      <c r="G99" s="87" t="s">
        <v>462</v>
      </c>
      <c r="H99" s="87" t="s">
        <v>511</v>
      </c>
      <c r="I99" s="87" t="s">
        <v>516</v>
      </c>
      <c r="J99" s="87" t="s">
        <v>451</v>
      </c>
      <c r="K99" s="88" t="str">
        <f t="shared" si="3"/>
        <v>Д</v>
      </c>
      <c r="L99" s="88" t="str">
        <f t="shared" si="4"/>
        <v>М</v>
      </c>
      <c r="M99" s="89" t="str">
        <f t="shared" si="5"/>
        <v>Планирование и развитие туризма на государственном уровне (Вуз-партнёр – Казахский национальный университет им. Аль-Фараби)</v>
      </c>
      <c r="N99" s="89" t="s">
        <v>301</v>
      </c>
    </row>
    <row r="100" spans="1:14" customFormat="1" ht="30" hidden="1" customHeight="1" x14ac:dyDescent="0.25">
      <c r="A100" s="62" t="s">
        <v>517</v>
      </c>
      <c r="B100" s="84" t="s">
        <v>508</v>
      </c>
      <c r="C100" s="85" t="s">
        <v>295</v>
      </c>
      <c r="D100" s="85" t="s">
        <v>296</v>
      </c>
      <c r="E100" s="84" t="s">
        <v>330</v>
      </c>
      <c r="F100" s="86" t="s">
        <v>331</v>
      </c>
      <c r="G100" s="87" t="s">
        <v>462</v>
      </c>
      <c r="H100" s="87" t="s">
        <v>511</v>
      </c>
      <c r="I100" s="87" t="s">
        <v>518</v>
      </c>
      <c r="J100" s="87" t="s">
        <v>451</v>
      </c>
      <c r="K100" s="88" t="str">
        <f t="shared" si="3"/>
        <v>Д</v>
      </c>
      <c r="L100" s="88" t="str">
        <f t="shared" si="4"/>
        <v>М</v>
      </c>
      <c r="M100" s="89" t="str">
        <f t="shared" si="5"/>
        <v>Планирование и развитие туризма на государственном уровне (Вуз-партнёр – Кыргызский национальный университет им. Ж. Баласагына)</v>
      </c>
      <c r="N100" s="89" t="s">
        <v>301</v>
      </c>
    </row>
    <row r="101" spans="1:14" customFormat="1" ht="30" hidden="1" customHeight="1" x14ac:dyDescent="0.25">
      <c r="A101" s="62" t="s">
        <v>519</v>
      </c>
      <c r="B101" s="84" t="s">
        <v>508</v>
      </c>
      <c r="C101" s="85" t="s">
        <v>295</v>
      </c>
      <c r="D101" s="85" t="s">
        <v>304</v>
      </c>
      <c r="E101" s="84" t="s">
        <v>330</v>
      </c>
      <c r="F101" s="86" t="s">
        <v>331</v>
      </c>
      <c r="G101" s="87" t="s">
        <v>462</v>
      </c>
      <c r="H101" s="87" t="s">
        <v>520</v>
      </c>
      <c r="I101" s="87"/>
      <c r="J101" s="87" t="s">
        <v>451</v>
      </c>
      <c r="K101" s="88" t="str">
        <f t="shared" si="3"/>
        <v>Д</v>
      </c>
      <c r="L101" s="88" t="str">
        <f t="shared" si="4"/>
        <v>М</v>
      </c>
      <c r="M101" s="89" t="str">
        <f t="shared" si="5"/>
        <v>Бизнес-процессы в сфере туризма и гостеприимства [язык реализации –Английский]</v>
      </c>
      <c r="N101" s="89" t="s">
        <v>301</v>
      </c>
    </row>
    <row r="102" spans="1:14" customFormat="1" ht="30" hidden="1" customHeight="1" x14ac:dyDescent="0.25">
      <c r="A102" s="62" t="s">
        <v>521</v>
      </c>
      <c r="B102" s="84" t="s">
        <v>508</v>
      </c>
      <c r="C102" s="85" t="s">
        <v>295</v>
      </c>
      <c r="D102" s="85" t="s">
        <v>296</v>
      </c>
      <c r="E102" s="84" t="s">
        <v>330</v>
      </c>
      <c r="F102" s="86" t="s">
        <v>331</v>
      </c>
      <c r="G102" s="87" t="s">
        <v>462</v>
      </c>
      <c r="H102" s="87" t="s">
        <v>520</v>
      </c>
      <c r="I102" s="87"/>
      <c r="J102" s="87" t="s">
        <v>451</v>
      </c>
      <c r="K102" s="88" t="str">
        <f t="shared" si="3"/>
        <v>Д</v>
      </c>
      <c r="L102" s="88" t="str">
        <f t="shared" si="4"/>
        <v>М</v>
      </c>
      <c r="M102" s="89" t="str">
        <f t="shared" si="5"/>
        <v>Бизнес-процессы в сфере туризма и гостеприимства</v>
      </c>
      <c r="N102" s="89" t="s">
        <v>301</v>
      </c>
    </row>
    <row r="103" spans="1:14" customFormat="1" ht="30" hidden="1" customHeight="1" x14ac:dyDescent="0.25">
      <c r="A103" s="62" t="s">
        <v>522</v>
      </c>
      <c r="B103" s="84" t="s">
        <v>508</v>
      </c>
      <c r="C103" s="85" t="s">
        <v>295</v>
      </c>
      <c r="D103" s="85" t="s">
        <v>296</v>
      </c>
      <c r="E103" s="84" t="s">
        <v>330</v>
      </c>
      <c r="F103" s="86" t="s">
        <v>331</v>
      </c>
      <c r="G103" s="87" t="s">
        <v>462</v>
      </c>
      <c r="H103" s="87" t="s">
        <v>523</v>
      </c>
      <c r="I103" s="87" t="s">
        <v>524</v>
      </c>
      <c r="J103" s="87" t="s">
        <v>451</v>
      </c>
      <c r="K103" s="88" t="str">
        <f t="shared" si="3"/>
        <v>Д</v>
      </c>
      <c r="L103" s="88" t="str">
        <f t="shared" si="4"/>
        <v>М</v>
      </c>
      <c r="M103" s="89" t="str">
        <f t="shared" si="5"/>
        <v>Межкультурные коммуникации в туризме (Вуз-партнёр – Ереванский государственный университет)</v>
      </c>
      <c r="N103" s="89" t="s">
        <v>301</v>
      </c>
    </row>
    <row r="104" spans="1:14" customFormat="1" ht="30" hidden="1" customHeight="1" x14ac:dyDescent="0.25">
      <c r="A104" s="62" t="s">
        <v>525</v>
      </c>
      <c r="B104" s="84" t="s">
        <v>508</v>
      </c>
      <c r="C104" s="85" t="s">
        <v>295</v>
      </c>
      <c r="D104" s="85" t="s">
        <v>296</v>
      </c>
      <c r="E104" s="84" t="s">
        <v>330</v>
      </c>
      <c r="F104" s="86" t="s">
        <v>331</v>
      </c>
      <c r="G104" s="87" t="s">
        <v>462</v>
      </c>
      <c r="H104" s="87" t="s">
        <v>523</v>
      </c>
      <c r="I104" s="87" t="s">
        <v>526</v>
      </c>
      <c r="J104" s="87" t="s">
        <v>451</v>
      </c>
      <c r="K104" s="88" t="str">
        <f t="shared" si="3"/>
        <v>Д</v>
      </c>
      <c r="L104" s="88" t="str">
        <f t="shared" si="4"/>
        <v>М</v>
      </c>
      <c r="M104" s="89" t="str">
        <f t="shared" si="5"/>
        <v>Межкультурные коммуникации в туризме (Вуз-партнёр – Ереванский Государственный университет языков и социальных наук имени В. Я. Брюсова)</v>
      </c>
      <c r="N104" s="89" t="s">
        <v>301</v>
      </c>
    </row>
    <row r="105" spans="1:14" customFormat="1" ht="30" hidden="1" customHeight="1" x14ac:dyDescent="0.25">
      <c r="A105" s="62" t="s">
        <v>527</v>
      </c>
      <c r="B105" s="84" t="s">
        <v>528</v>
      </c>
      <c r="C105" s="85" t="s">
        <v>295</v>
      </c>
      <c r="D105" s="85" t="s">
        <v>304</v>
      </c>
      <c r="E105" s="84" t="s">
        <v>393</v>
      </c>
      <c r="F105" s="86" t="s">
        <v>368</v>
      </c>
      <c r="G105" s="87" t="s">
        <v>529</v>
      </c>
      <c r="H105" s="87" t="s">
        <v>530</v>
      </c>
      <c r="I105" s="87"/>
      <c r="J105" s="87" t="s">
        <v>451</v>
      </c>
      <c r="K105" s="88" t="str">
        <f t="shared" si="3"/>
        <v>Д</v>
      </c>
      <c r="L105" s="88" t="str">
        <f t="shared" si="4"/>
        <v>А</v>
      </c>
      <c r="M105" s="89" t="str">
        <f t="shared" si="5"/>
        <v>Экономика инноваций [язык реализации –Английский]</v>
      </c>
      <c r="N105" s="89" t="s">
        <v>301</v>
      </c>
    </row>
    <row r="106" spans="1:14" customFormat="1" ht="30" hidden="1" customHeight="1" x14ac:dyDescent="0.25">
      <c r="A106" s="62" t="s">
        <v>531</v>
      </c>
      <c r="B106" s="84" t="s">
        <v>528</v>
      </c>
      <c r="C106" s="85" t="s">
        <v>295</v>
      </c>
      <c r="D106" s="85" t="s">
        <v>296</v>
      </c>
      <c r="E106" s="84" t="s">
        <v>393</v>
      </c>
      <c r="F106" s="86" t="s">
        <v>368</v>
      </c>
      <c r="G106" s="87" t="s">
        <v>529</v>
      </c>
      <c r="H106" s="87" t="s">
        <v>530</v>
      </c>
      <c r="I106" s="87"/>
      <c r="J106" s="87" t="s">
        <v>451</v>
      </c>
      <c r="K106" s="88" t="str">
        <f t="shared" si="3"/>
        <v>Д</v>
      </c>
      <c r="L106" s="88" t="str">
        <f t="shared" si="4"/>
        <v>А</v>
      </c>
      <c r="M106" s="89" t="str">
        <f t="shared" si="5"/>
        <v>Экономика инноваций</v>
      </c>
      <c r="N106" s="89" t="s">
        <v>301</v>
      </c>
    </row>
    <row r="107" spans="1:14" customFormat="1" ht="30" hidden="1" customHeight="1" x14ac:dyDescent="0.25">
      <c r="A107" s="62" t="s">
        <v>532</v>
      </c>
      <c r="B107" s="84" t="s">
        <v>528</v>
      </c>
      <c r="C107" s="85" t="s">
        <v>295</v>
      </c>
      <c r="D107" s="85" t="s">
        <v>296</v>
      </c>
      <c r="E107" s="84" t="s">
        <v>393</v>
      </c>
      <c r="F107" s="86" t="s">
        <v>368</v>
      </c>
      <c r="G107" s="87" t="s">
        <v>529</v>
      </c>
      <c r="H107" s="87" t="s">
        <v>533</v>
      </c>
      <c r="I107" s="87"/>
      <c r="J107" s="87" t="s">
        <v>451</v>
      </c>
      <c r="K107" s="88" t="str">
        <f t="shared" si="3"/>
        <v>Д</v>
      </c>
      <c r="L107" s="88" t="str">
        <f t="shared" si="4"/>
        <v>А</v>
      </c>
      <c r="M107" s="89" t="str">
        <f t="shared" si="5"/>
        <v>Экономика сферы услуг</v>
      </c>
      <c r="N107" s="89" t="s">
        <v>301</v>
      </c>
    </row>
    <row r="108" spans="1:14" customFormat="1" ht="30" hidden="1" customHeight="1" x14ac:dyDescent="0.25">
      <c r="A108" s="62" t="s">
        <v>534</v>
      </c>
      <c r="B108" s="84" t="s">
        <v>535</v>
      </c>
      <c r="C108" s="85" t="s">
        <v>295</v>
      </c>
      <c r="D108" s="85" t="s">
        <v>296</v>
      </c>
      <c r="E108" s="84" t="s">
        <v>393</v>
      </c>
      <c r="F108" s="86" t="s">
        <v>368</v>
      </c>
      <c r="G108" s="87" t="s">
        <v>449</v>
      </c>
      <c r="H108" s="87" t="s">
        <v>449</v>
      </c>
      <c r="I108" s="87"/>
      <c r="J108" s="87" t="s">
        <v>451</v>
      </c>
      <c r="K108" s="88" t="str">
        <f t="shared" si="3"/>
        <v>Д</v>
      </c>
      <c r="L108" s="88" t="str">
        <f t="shared" si="4"/>
        <v>А</v>
      </c>
      <c r="M108" s="89" t="str">
        <f t="shared" si="5"/>
        <v>Менеджмент</v>
      </c>
      <c r="N108" s="89" t="s">
        <v>301</v>
      </c>
    </row>
    <row r="109" spans="1:14" customFormat="1" ht="30" hidden="1" customHeight="1" x14ac:dyDescent="0.25">
      <c r="A109" s="62" t="s">
        <v>536</v>
      </c>
      <c r="B109" s="84" t="s">
        <v>448</v>
      </c>
      <c r="C109" s="85" t="s">
        <v>403</v>
      </c>
      <c r="D109" s="85" t="s">
        <v>296</v>
      </c>
      <c r="E109" s="84" t="s">
        <v>406</v>
      </c>
      <c r="F109" s="86" t="s">
        <v>312</v>
      </c>
      <c r="G109" s="87" t="s">
        <v>449</v>
      </c>
      <c r="H109" s="87" t="s">
        <v>450</v>
      </c>
      <c r="I109" s="87"/>
      <c r="J109" s="87" t="s">
        <v>451</v>
      </c>
      <c r="K109" s="88" t="str">
        <f t="shared" si="3"/>
        <v>В</v>
      </c>
      <c r="L109" s="88" t="str">
        <f t="shared" si="4"/>
        <v>Б</v>
      </c>
      <c r="M109" s="89" t="str">
        <f t="shared" si="5"/>
        <v>Управление предприятиями наукоемких отраслей промышленности</v>
      </c>
      <c r="N109" s="89" t="s">
        <v>301</v>
      </c>
    </row>
    <row r="110" spans="1:14" customFormat="1" ht="30" hidden="1" customHeight="1" x14ac:dyDescent="0.25">
      <c r="A110" s="62" t="s">
        <v>537</v>
      </c>
      <c r="B110" s="84" t="s">
        <v>448</v>
      </c>
      <c r="C110" s="85" t="s">
        <v>403</v>
      </c>
      <c r="D110" s="85" t="s">
        <v>296</v>
      </c>
      <c r="E110" s="84" t="s">
        <v>406</v>
      </c>
      <c r="F110" s="86" t="s">
        <v>312</v>
      </c>
      <c r="G110" s="87" t="s">
        <v>449</v>
      </c>
      <c r="H110" s="87" t="s">
        <v>455</v>
      </c>
      <c r="I110" s="87"/>
      <c r="J110" s="87" t="s">
        <v>451</v>
      </c>
      <c r="K110" s="88" t="str">
        <f t="shared" si="3"/>
        <v>В</v>
      </c>
      <c r="L110" s="88" t="str">
        <f t="shared" si="4"/>
        <v>Б</v>
      </c>
      <c r="M110" s="89" t="str">
        <f t="shared" si="5"/>
        <v>Управление предприятиями</v>
      </c>
      <c r="N110" s="89" t="s">
        <v>301</v>
      </c>
    </row>
    <row r="111" spans="1:14" customFormat="1" ht="30" hidden="1" customHeight="1" x14ac:dyDescent="0.25">
      <c r="A111" s="62" t="s">
        <v>538</v>
      </c>
      <c r="B111" s="84" t="s">
        <v>461</v>
      </c>
      <c r="C111" s="85" t="s">
        <v>403</v>
      </c>
      <c r="D111" s="85" t="s">
        <v>296</v>
      </c>
      <c r="E111" s="84" t="s">
        <v>297</v>
      </c>
      <c r="F111" s="86" t="s">
        <v>312</v>
      </c>
      <c r="G111" s="87" t="s">
        <v>462</v>
      </c>
      <c r="H111" s="87" t="s">
        <v>463</v>
      </c>
      <c r="I111" s="87"/>
      <c r="J111" s="87" t="s">
        <v>451</v>
      </c>
      <c r="K111" s="88" t="str">
        <f t="shared" si="3"/>
        <v>В</v>
      </c>
      <c r="L111" s="88" t="str">
        <f t="shared" si="4"/>
        <v>Б</v>
      </c>
      <c r="M111" s="89" t="str">
        <f t="shared" si="5"/>
        <v>Международный туризм</v>
      </c>
      <c r="N111" s="89" t="s">
        <v>301</v>
      </c>
    </row>
    <row r="112" spans="1:14" customFormat="1" ht="30" hidden="1" customHeight="1" x14ac:dyDescent="0.25">
      <c r="A112" s="62" t="s">
        <v>539</v>
      </c>
      <c r="B112" s="84" t="s">
        <v>465</v>
      </c>
      <c r="C112" s="85" t="s">
        <v>403</v>
      </c>
      <c r="D112" s="85" t="s">
        <v>296</v>
      </c>
      <c r="E112" s="84" t="s">
        <v>297</v>
      </c>
      <c r="F112" s="86" t="s">
        <v>312</v>
      </c>
      <c r="G112" s="87" t="s">
        <v>466</v>
      </c>
      <c r="H112" s="87" t="s">
        <v>467</v>
      </c>
      <c r="I112" s="87"/>
      <c r="J112" s="87" t="s">
        <v>451</v>
      </c>
      <c r="K112" s="88" t="str">
        <f t="shared" si="3"/>
        <v>В</v>
      </c>
      <c r="L112" s="88" t="str">
        <f t="shared" si="4"/>
        <v>Б</v>
      </c>
      <c r="M112" s="89" t="str">
        <f t="shared" si="5"/>
        <v>Международный ресторанный бизнес</v>
      </c>
      <c r="N112" s="89" t="s">
        <v>301</v>
      </c>
    </row>
    <row r="113" spans="1:14" customFormat="1" ht="30" hidden="1" customHeight="1" x14ac:dyDescent="0.25">
      <c r="A113" s="62" t="s">
        <v>540</v>
      </c>
      <c r="B113" s="84" t="s">
        <v>465</v>
      </c>
      <c r="C113" s="85" t="s">
        <v>403</v>
      </c>
      <c r="D113" s="85" t="s">
        <v>296</v>
      </c>
      <c r="E113" s="84" t="s">
        <v>297</v>
      </c>
      <c r="F113" s="86" t="s">
        <v>312</v>
      </c>
      <c r="G113" s="87" t="s">
        <v>466</v>
      </c>
      <c r="H113" s="87" t="s">
        <v>469</v>
      </c>
      <c r="I113" s="87"/>
      <c r="J113" s="87" t="s">
        <v>451</v>
      </c>
      <c r="K113" s="88" t="str">
        <f t="shared" si="3"/>
        <v>В</v>
      </c>
      <c r="L113" s="88" t="str">
        <f t="shared" si="4"/>
        <v>Б</v>
      </c>
      <c r="M113" s="89" t="str">
        <f t="shared" si="5"/>
        <v>Международный гостиничный бизнес</v>
      </c>
      <c r="N113" s="89" t="s">
        <v>301</v>
      </c>
    </row>
    <row r="114" spans="1:14" customFormat="1" ht="30" hidden="1" customHeight="1" x14ac:dyDescent="0.25">
      <c r="A114" s="62" t="s">
        <v>541</v>
      </c>
      <c r="B114" s="84" t="s">
        <v>461</v>
      </c>
      <c r="C114" s="85" t="s">
        <v>419</v>
      </c>
      <c r="D114" s="85" t="s">
        <v>296</v>
      </c>
      <c r="E114" s="84" t="s">
        <v>297</v>
      </c>
      <c r="F114" s="86" t="s">
        <v>312</v>
      </c>
      <c r="G114" s="87" t="s">
        <v>462</v>
      </c>
      <c r="H114" s="87" t="s">
        <v>463</v>
      </c>
      <c r="I114" s="87"/>
      <c r="J114" s="87" t="s">
        <v>451</v>
      </c>
      <c r="K114" s="88" t="str">
        <f t="shared" si="3"/>
        <v>З</v>
      </c>
      <c r="L114" s="88" t="str">
        <f t="shared" si="4"/>
        <v>Б</v>
      </c>
      <c r="M114" s="89" t="str">
        <f t="shared" si="5"/>
        <v>Международный туризм</v>
      </c>
      <c r="N114" s="89" t="s">
        <v>301</v>
      </c>
    </row>
    <row r="115" spans="1:14" customFormat="1" ht="30" hidden="1" customHeight="1" x14ac:dyDescent="0.25">
      <c r="A115" s="62" t="s">
        <v>542</v>
      </c>
      <c r="B115" s="84" t="s">
        <v>465</v>
      </c>
      <c r="C115" s="85" t="s">
        <v>419</v>
      </c>
      <c r="D115" s="85" t="s">
        <v>296</v>
      </c>
      <c r="E115" s="84" t="s">
        <v>297</v>
      </c>
      <c r="F115" s="86" t="s">
        <v>312</v>
      </c>
      <c r="G115" s="87" t="s">
        <v>466</v>
      </c>
      <c r="H115" s="87" t="s">
        <v>469</v>
      </c>
      <c r="I115" s="87"/>
      <c r="J115" s="87" t="s">
        <v>451</v>
      </c>
      <c r="K115" s="88" t="str">
        <f t="shared" si="3"/>
        <v>З</v>
      </c>
      <c r="L115" s="88" t="str">
        <f t="shared" si="4"/>
        <v>Б</v>
      </c>
      <c r="M115" s="89" t="str">
        <f t="shared" si="5"/>
        <v>Международный гостиничный бизнес</v>
      </c>
      <c r="N115" s="89" t="s">
        <v>301</v>
      </c>
    </row>
    <row r="116" spans="1:14" customFormat="1" ht="30" hidden="1" customHeight="1" x14ac:dyDescent="0.25">
      <c r="A116" s="62" t="s">
        <v>543</v>
      </c>
      <c r="B116" s="84" t="s">
        <v>488</v>
      </c>
      <c r="C116" s="85" t="s">
        <v>419</v>
      </c>
      <c r="D116" s="85" t="s">
        <v>296</v>
      </c>
      <c r="E116" s="84" t="s">
        <v>544</v>
      </c>
      <c r="F116" s="86" t="s">
        <v>331</v>
      </c>
      <c r="G116" s="87" t="s">
        <v>449</v>
      </c>
      <c r="H116" s="87" t="s">
        <v>489</v>
      </c>
      <c r="I116" s="87"/>
      <c r="J116" s="87" t="s">
        <v>451</v>
      </c>
      <c r="K116" s="88" t="str">
        <f t="shared" si="3"/>
        <v>З</v>
      </c>
      <c r="L116" s="88" t="str">
        <f t="shared" si="4"/>
        <v>М</v>
      </c>
      <c r="M116" s="89" t="str">
        <f t="shared" si="5"/>
        <v>Инновационный менеджмент в промышленности</v>
      </c>
      <c r="N116" s="89" t="s">
        <v>301</v>
      </c>
    </row>
    <row r="117" spans="1:14" customFormat="1" ht="30" hidden="1" customHeight="1" x14ac:dyDescent="0.25">
      <c r="A117" s="62" t="s">
        <v>545</v>
      </c>
      <c r="B117" s="84" t="s">
        <v>488</v>
      </c>
      <c r="C117" s="85" t="s">
        <v>419</v>
      </c>
      <c r="D117" s="85" t="s">
        <v>296</v>
      </c>
      <c r="E117" s="84" t="s">
        <v>544</v>
      </c>
      <c r="F117" s="86" t="s">
        <v>331</v>
      </c>
      <c r="G117" s="87" t="s">
        <v>449</v>
      </c>
      <c r="H117" s="87" t="s">
        <v>546</v>
      </c>
      <c r="I117" s="87"/>
      <c r="J117" s="87" t="s">
        <v>451</v>
      </c>
      <c r="K117" s="88" t="str">
        <f t="shared" si="3"/>
        <v>З</v>
      </c>
      <c r="L117" s="88" t="str">
        <f t="shared" si="4"/>
        <v>М</v>
      </c>
      <c r="M117" s="89" t="str">
        <f t="shared" si="5"/>
        <v>Управление клиентским опытом и инновации в сервисе</v>
      </c>
      <c r="N117" s="89" t="s">
        <v>301</v>
      </c>
    </row>
    <row r="118" spans="1:14" customFormat="1" ht="30" hidden="1" customHeight="1" x14ac:dyDescent="0.25">
      <c r="A118" s="62" t="s">
        <v>547</v>
      </c>
      <c r="B118" s="84" t="s">
        <v>488</v>
      </c>
      <c r="C118" s="85" t="s">
        <v>419</v>
      </c>
      <c r="D118" s="85" t="s">
        <v>296</v>
      </c>
      <c r="E118" s="84" t="s">
        <v>544</v>
      </c>
      <c r="F118" s="86" t="s">
        <v>331</v>
      </c>
      <c r="G118" s="87" t="s">
        <v>449</v>
      </c>
      <c r="H118" s="87" t="s">
        <v>491</v>
      </c>
      <c r="I118" s="87"/>
      <c r="J118" s="87" t="s">
        <v>451</v>
      </c>
      <c r="K118" s="88" t="str">
        <f t="shared" si="3"/>
        <v>З</v>
      </c>
      <c r="L118" s="88" t="str">
        <f t="shared" si="4"/>
        <v>М</v>
      </c>
      <c r="M118" s="89" t="str">
        <f t="shared" si="5"/>
        <v>Девелопмент и управление недвижимостью</v>
      </c>
      <c r="N118" s="89" t="s">
        <v>301</v>
      </c>
    </row>
    <row r="119" spans="1:14" customFormat="1" ht="30" hidden="1" customHeight="1" x14ac:dyDescent="0.25">
      <c r="A119" s="62" t="s">
        <v>548</v>
      </c>
      <c r="B119" s="84" t="s">
        <v>488</v>
      </c>
      <c r="C119" s="85" t="s">
        <v>419</v>
      </c>
      <c r="D119" s="85" t="s">
        <v>296</v>
      </c>
      <c r="E119" s="84" t="s">
        <v>413</v>
      </c>
      <c r="F119" s="86" t="s">
        <v>331</v>
      </c>
      <c r="G119" s="87" t="s">
        <v>449</v>
      </c>
      <c r="H119" s="87" t="s">
        <v>501</v>
      </c>
      <c r="I119" s="87" t="s">
        <v>503</v>
      </c>
      <c r="J119" s="87" t="s">
        <v>451</v>
      </c>
      <c r="K119" s="88" t="str">
        <f t="shared" si="3"/>
        <v>З</v>
      </c>
      <c r="L119" s="88" t="str">
        <f t="shared" si="4"/>
        <v>М</v>
      </c>
      <c r="M119" s="89" t="str">
        <f t="shared" si="5"/>
        <v>Управление внешнеэкономической деятельностью (Вуз-партнёр – АНО ДПО "Школа экспорта Акционерного общества "Российский экспортный центр")</v>
      </c>
      <c r="N119" s="89" t="s">
        <v>301</v>
      </c>
    </row>
    <row r="120" spans="1:14" customFormat="1" ht="30" hidden="1" customHeight="1" x14ac:dyDescent="0.25">
      <c r="A120" s="62" t="s">
        <v>549</v>
      </c>
      <c r="B120" s="84" t="s">
        <v>550</v>
      </c>
      <c r="C120" s="85" t="s">
        <v>295</v>
      </c>
      <c r="D120" s="85" t="s">
        <v>296</v>
      </c>
      <c r="E120" s="84" t="s">
        <v>404</v>
      </c>
      <c r="F120" s="86" t="s">
        <v>298</v>
      </c>
      <c r="G120" s="87" t="s">
        <v>551</v>
      </c>
      <c r="H120" s="87" t="s">
        <v>552</v>
      </c>
      <c r="I120" s="87"/>
      <c r="J120" s="87" t="s">
        <v>553</v>
      </c>
      <c r="K120" s="88" t="str">
        <f t="shared" si="3"/>
        <v>Д</v>
      </c>
      <c r="L120" s="88" t="str">
        <f t="shared" si="4"/>
        <v>С</v>
      </c>
      <c r="M120" s="89" t="str">
        <f t="shared" si="5"/>
        <v>Прикладная геология, горное дело, нефтегазовое дело и геодезия (УГСН)</v>
      </c>
      <c r="N120" s="89" t="s">
        <v>301</v>
      </c>
    </row>
    <row r="121" spans="1:14" customFormat="1" ht="30" hidden="1" customHeight="1" x14ac:dyDescent="0.25">
      <c r="A121" s="62" t="s">
        <v>554</v>
      </c>
      <c r="B121" s="84" t="s">
        <v>555</v>
      </c>
      <c r="C121" s="85" t="s">
        <v>295</v>
      </c>
      <c r="D121" s="85" t="s">
        <v>296</v>
      </c>
      <c r="E121" s="84" t="s">
        <v>297</v>
      </c>
      <c r="F121" s="86" t="s">
        <v>298</v>
      </c>
      <c r="G121" s="87" t="s">
        <v>556</v>
      </c>
      <c r="H121" s="87" t="s">
        <v>557</v>
      </c>
      <c r="I121" s="87"/>
      <c r="J121" s="87" t="s">
        <v>553</v>
      </c>
      <c r="K121" s="88" t="str">
        <f t="shared" si="3"/>
        <v>Д</v>
      </c>
      <c r="L121" s="88" t="str">
        <f t="shared" si="4"/>
        <v>С</v>
      </c>
      <c r="M121" s="89" t="str">
        <f t="shared" si="5"/>
        <v>Геологическая съемка, поиски и разведка месторождений твердых полезных ископаемых</v>
      </c>
      <c r="N121" s="89" t="s">
        <v>301</v>
      </c>
    </row>
    <row r="122" spans="1:14" customFormat="1" ht="30" hidden="1" customHeight="1" x14ac:dyDescent="0.25">
      <c r="A122" s="62" t="s">
        <v>558</v>
      </c>
      <c r="B122" s="84" t="s">
        <v>555</v>
      </c>
      <c r="C122" s="85" t="s">
        <v>295</v>
      </c>
      <c r="D122" s="85" t="s">
        <v>296</v>
      </c>
      <c r="E122" s="84" t="s">
        <v>297</v>
      </c>
      <c r="F122" s="86" t="s">
        <v>298</v>
      </c>
      <c r="G122" s="87" t="s">
        <v>556</v>
      </c>
      <c r="H122" s="87" t="s">
        <v>559</v>
      </c>
      <c r="I122" s="87"/>
      <c r="J122" s="87" t="s">
        <v>553</v>
      </c>
      <c r="K122" s="88" t="str">
        <f t="shared" si="3"/>
        <v>Д</v>
      </c>
      <c r="L122" s="88" t="str">
        <f t="shared" si="4"/>
        <v>С</v>
      </c>
      <c r="M122" s="89" t="str">
        <f t="shared" si="5"/>
        <v>Геология нефти и газа</v>
      </c>
      <c r="N122" s="89" t="s">
        <v>301</v>
      </c>
    </row>
    <row r="123" spans="1:14" customFormat="1" ht="30" hidden="1" customHeight="1" x14ac:dyDescent="0.25">
      <c r="A123" s="62" t="s">
        <v>560</v>
      </c>
      <c r="B123" s="84" t="s">
        <v>561</v>
      </c>
      <c r="C123" s="85" t="s">
        <v>295</v>
      </c>
      <c r="D123" s="85" t="s">
        <v>296</v>
      </c>
      <c r="E123" s="84" t="s">
        <v>404</v>
      </c>
      <c r="F123" s="86" t="s">
        <v>298</v>
      </c>
      <c r="G123" s="87" t="s">
        <v>562</v>
      </c>
      <c r="H123" s="87" t="s">
        <v>563</v>
      </c>
      <c r="I123" s="87"/>
      <c r="J123" s="87" t="s">
        <v>553</v>
      </c>
      <c r="K123" s="88" t="str">
        <f t="shared" si="3"/>
        <v>Д</v>
      </c>
      <c r="L123" s="88" t="str">
        <f t="shared" si="4"/>
        <v>С</v>
      </c>
      <c r="M123" s="89" t="str">
        <f t="shared" si="5"/>
        <v>Маркшейдерское дело</v>
      </c>
      <c r="N123" s="89" t="s">
        <v>301</v>
      </c>
    </row>
    <row r="124" spans="1:14" customFormat="1" ht="30" hidden="1" customHeight="1" x14ac:dyDescent="0.25">
      <c r="A124" s="62" t="s">
        <v>564</v>
      </c>
      <c r="B124" s="84" t="s">
        <v>565</v>
      </c>
      <c r="C124" s="85" t="s">
        <v>295</v>
      </c>
      <c r="D124" s="85" t="s">
        <v>296</v>
      </c>
      <c r="E124" s="84" t="s">
        <v>311</v>
      </c>
      <c r="F124" s="86" t="s">
        <v>312</v>
      </c>
      <c r="G124" s="87" t="s">
        <v>566</v>
      </c>
      <c r="H124" s="87" t="s">
        <v>567</v>
      </c>
      <c r="I124" s="87"/>
      <c r="J124" s="87" t="s">
        <v>553</v>
      </c>
      <c r="K124" s="88" t="str">
        <f t="shared" si="3"/>
        <v>Д</v>
      </c>
      <c r="L124" s="88" t="str">
        <f t="shared" si="4"/>
        <v>Б</v>
      </c>
      <c r="M124" s="89" t="str">
        <f t="shared" si="5"/>
        <v>Математические методы механики полета ракет-носителей и космических аппаратов</v>
      </c>
      <c r="N124" s="89" t="s">
        <v>301</v>
      </c>
    </row>
    <row r="125" spans="1:14" customFormat="1" ht="30" hidden="1" customHeight="1" x14ac:dyDescent="0.25">
      <c r="A125" s="62" t="s">
        <v>568</v>
      </c>
      <c r="B125" s="84" t="s">
        <v>565</v>
      </c>
      <c r="C125" s="85" t="s">
        <v>295</v>
      </c>
      <c r="D125" s="85" t="s">
        <v>296</v>
      </c>
      <c r="E125" s="84" t="s">
        <v>311</v>
      </c>
      <c r="F125" s="86" t="s">
        <v>312</v>
      </c>
      <c r="G125" s="87" t="s">
        <v>566</v>
      </c>
      <c r="H125" s="87" t="s">
        <v>569</v>
      </c>
      <c r="I125" s="87"/>
      <c r="J125" s="87" t="s">
        <v>553</v>
      </c>
      <c r="K125" s="88" t="str">
        <f t="shared" si="3"/>
        <v>Д</v>
      </c>
      <c r="L125" s="88" t="str">
        <f t="shared" si="4"/>
        <v>Б</v>
      </c>
      <c r="M125" s="89" t="str">
        <f t="shared" si="5"/>
        <v>Математические методы механики космического полета и анализа геоинформационных данных</v>
      </c>
      <c r="N125" s="89" t="s">
        <v>301</v>
      </c>
    </row>
    <row r="126" spans="1:14" customFormat="1" ht="30" hidden="1" customHeight="1" x14ac:dyDescent="0.25">
      <c r="A126" s="62" t="s">
        <v>570</v>
      </c>
      <c r="B126" s="84" t="s">
        <v>571</v>
      </c>
      <c r="C126" s="85" t="s">
        <v>295</v>
      </c>
      <c r="D126" s="85" t="s">
        <v>296</v>
      </c>
      <c r="E126" s="84" t="s">
        <v>297</v>
      </c>
      <c r="F126" s="86" t="s">
        <v>312</v>
      </c>
      <c r="G126" s="87" t="s">
        <v>572</v>
      </c>
      <c r="H126" s="87" t="s">
        <v>573</v>
      </c>
      <c r="I126" s="87"/>
      <c r="J126" s="87" t="s">
        <v>553</v>
      </c>
      <c r="K126" s="88" t="str">
        <f t="shared" si="3"/>
        <v>Д</v>
      </c>
      <c r="L126" s="88" t="str">
        <f t="shared" si="4"/>
        <v>Б</v>
      </c>
      <c r="M126" s="89" t="str">
        <f t="shared" si="5"/>
        <v>Архитектура (УГСН)</v>
      </c>
      <c r="N126" s="89" t="s">
        <v>301</v>
      </c>
    </row>
    <row r="127" spans="1:14" customFormat="1" ht="30" hidden="1" customHeight="1" x14ac:dyDescent="0.25">
      <c r="A127" s="62" t="s">
        <v>574</v>
      </c>
      <c r="B127" s="84" t="s">
        <v>575</v>
      </c>
      <c r="C127" s="85" t="s">
        <v>295</v>
      </c>
      <c r="D127" s="85" t="s">
        <v>296</v>
      </c>
      <c r="E127" s="84" t="s">
        <v>297</v>
      </c>
      <c r="F127" s="86" t="s">
        <v>312</v>
      </c>
      <c r="G127" s="87" t="s">
        <v>572</v>
      </c>
      <c r="H127" s="87" t="s">
        <v>572</v>
      </c>
      <c r="I127" s="87"/>
      <c r="J127" s="87" t="s">
        <v>553</v>
      </c>
      <c r="K127" s="88" t="str">
        <f t="shared" si="3"/>
        <v>Д</v>
      </c>
      <c r="L127" s="88" t="str">
        <f t="shared" si="4"/>
        <v>Б</v>
      </c>
      <c r="M127" s="89" t="str">
        <f t="shared" si="5"/>
        <v>Архитектура</v>
      </c>
      <c r="N127" s="89" t="s">
        <v>301</v>
      </c>
    </row>
    <row r="128" spans="1:14" customFormat="1" ht="30" hidden="1" customHeight="1" x14ac:dyDescent="0.25">
      <c r="A128" s="62" t="s">
        <v>576</v>
      </c>
      <c r="B128" s="84" t="s">
        <v>577</v>
      </c>
      <c r="C128" s="85" t="s">
        <v>295</v>
      </c>
      <c r="D128" s="85" t="s">
        <v>296</v>
      </c>
      <c r="E128" s="84" t="s">
        <v>297</v>
      </c>
      <c r="F128" s="86" t="s">
        <v>312</v>
      </c>
      <c r="G128" s="87" t="s">
        <v>578</v>
      </c>
      <c r="H128" s="87" t="s">
        <v>578</v>
      </c>
      <c r="I128" s="87"/>
      <c r="J128" s="87" t="s">
        <v>553</v>
      </c>
      <c r="K128" s="88" t="str">
        <f t="shared" si="3"/>
        <v>Д</v>
      </c>
      <c r="L128" s="88" t="str">
        <f t="shared" si="4"/>
        <v>Б</v>
      </c>
      <c r="M128" s="89" t="str">
        <f t="shared" si="5"/>
        <v>Реконструкция и реставрация архитектурного наследия</v>
      </c>
      <c r="N128" s="89" t="s">
        <v>301</v>
      </c>
    </row>
    <row r="129" spans="1:14" customFormat="1" ht="30" hidden="1" customHeight="1" x14ac:dyDescent="0.25">
      <c r="A129" s="62" t="s">
        <v>579</v>
      </c>
      <c r="B129" s="84" t="s">
        <v>580</v>
      </c>
      <c r="C129" s="85" t="s">
        <v>295</v>
      </c>
      <c r="D129" s="85" t="s">
        <v>296</v>
      </c>
      <c r="E129" s="84" t="s">
        <v>297</v>
      </c>
      <c r="F129" s="86" t="s">
        <v>312</v>
      </c>
      <c r="G129" s="87" t="s">
        <v>581</v>
      </c>
      <c r="H129" s="87" t="s">
        <v>582</v>
      </c>
      <c r="I129" s="87"/>
      <c r="J129" s="87" t="s">
        <v>553</v>
      </c>
      <c r="K129" s="88" t="str">
        <f t="shared" si="3"/>
        <v>Д</v>
      </c>
      <c r="L129" s="88" t="str">
        <f t="shared" si="4"/>
        <v>Б</v>
      </c>
      <c r="M129" s="89" t="str">
        <f t="shared" si="5"/>
        <v>Дизайн промышленных и социальных объектов</v>
      </c>
      <c r="N129" s="89" t="s">
        <v>301</v>
      </c>
    </row>
    <row r="130" spans="1:14" customFormat="1" ht="30" hidden="1" customHeight="1" x14ac:dyDescent="0.25">
      <c r="A130" s="62" t="s">
        <v>583</v>
      </c>
      <c r="B130" s="84" t="s">
        <v>584</v>
      </c>
      <c r="C130" s="85" t="s">
        <v>295</v>
      </c>
      <c r="D130" s="85" t="s">
        <v>296</v>
      </c>
      <c r="E130" s="84" t="s">
        <v>311</v>
      </c>
      <c r="F130" s="86" t="s">
        <v>312</v>
      </c>
      <c r="G130" s="87" t="s">
        <v>585</v>
      </c>
      <c r="H130" s="87" t="s">
        <v>585</v>
      </c>
      <c r="I130" s="87"/>
      <c r="J130" s="87" t="s">
        <v>553</v>
      </c>
      <c r="K130" s="88" t="str">
        <f t="shared" si="3"/>
        <v>Д</v>
      </c>
      <c r="L130" s="88" t="str">
        <f t="shared" si="4"/>
        <v>Б</v>
      </c>
      <c r="M130" s="89" t="str">
        <f t="shared" si="5"/>
        <v>Строительство</v>
      </c>
      <c r="N130" s="89" t="s">
        <v>301</v>
      </c>
    </row>
    <row r="131" spans="1:14" customFormat="1" ht="30" hidden="1" customHeight="1" x14ac:dyDescent="0.25">
      <c r="A131" s="62" t="s">
        <v>586</v>
      </c>
      <c r="B131" s="84" t="s">
        <v>587</v>
      </c>
      <c r="C131" s="85" t="s">
        <v>295</v>
      </c>
      <c r="D131" s="85" t="s">
        <v>296</v>
      </c>
      <c r="E131" s="84" t="s">
        <v>311</v>
      </c>
      <c r="F131" s="86" t="s">
        <v>312</v>
      </c>
      <c r="G131" s="87" t="s">
        <v>588</v>
      </c>
      <c r="H131" s="87" t="s">
        <v>588</v>
      </c>
      <c r="I131" s="87"/>
      <c r="J131" s="87" t="s">
        <v>553</v>
      </c>
      <c r="K131" s="88" t="str">
        <f t="shared" ref="K131:K194" si="6">IF(C131="очная","Д",IF(C131="Очно-заочная","В",IF(C131="Заочная","З","-")))</f>
        <v>Д</v>
      </c>
      <c r="L131" s="88" t="str">
        <f t="shared" ref="L131:L194" si="7">IF(N131="да","ЦМ",LEFT(F131,1))</f>
        <v>Б</v>
      </c>
      <c r="M131" s="89" t="str">
        <f t="shared" ref="M131:M194" si="8">CONCATENATE(H131,IF(I131&gt;0,CONCATENATE(" (Вуз-партнёр – ",I131,")"),IF(D131=$D$3,"",CONCATENATE(" [язык реализации –",D131,"]"))))</f>
        <v>Энергетическое машиностроение</v>
      </c>
      <c r="N131" s="89" t="s">
        <v>301</v>
      </c>
    </row>
    <row r="132" spans="1:14" customFormat="1" ht="30" hidden="1" customHeight="1" x14ac:dyDescent="0.25">
      <c r="A132" s="62" t="s">
        <v>589</v>
      </c>
      <c r="B132" s="84" t="s">
        <v>587</v>
      </c>
      <c r="C132" s="85" t="s">
        <v>295</v>
      </c>
      <c r="D132" s="85" t="s">
        <v>296</v>
      </c>
      <c r="E132" s="84" t="s">
        <v>311</v>
      </c>
      <c r="F132" s="86" t="s">
        <v>312</v>
      </c>
      <c r="G132" s="87" t="s">
        <v>588</v>
      </c>
      <c r="H132" s="87" t="s">
        <v>590</v>
      </c>
      <c r="I132" s="87"/>
      <c r="J132" s="87" t="s">
        <v>553</v>
      </c>
      <c r="K132" s="88" t="str">
        <f t="shared" si="6"/>
        <v>Д</v>
      </c>
      <c r="L132" s="88" t="str">
        <f t="shared" si="7"/>
        <v>Б</v>
      </c>
      <c r="M132" s="89" t="str">
        <f t="shared" si="8"/>
        <v>Комбинированные энергетические установки и альтернативная энергетика</v>
      </c>
      <c r="N132" s="89" t="s">
        <v>301</v>
      </c>
    </row>
    <row r="133" spans="1:14" customFormat="1" ht="30" hidden="1" customHeight="1" x14ac:dyDescent="0.25">
      <c r="A133" s="62" t="s">
        <v>591</v>
      </c>
      <c r="B133" s="84" t="s">
        <v>592</v>
      </c>
      <c r="C133" s="85" t="s">
        <v>295</v>
      </c>
      <c r="D133" s="85" t="s">
        <v>296</v>
      </c>
      <c r="E133" s="84" t="s">
        <v>311</v>
      </c>
      <c r="F133" s="86" t="s">
        <v>312</v>
      </c>
      <c r="G133" s="87" t="s">
        <v>593</v>
      </c>
      <c r="H133" s="87" t="s">
        <v>593</v>
      </c>
      <c r="I133" s="87"/>
      <c r="J133" s="87" t="s">
        <v>553</v>
      </c>
      <c r="K133" s="88" t="str">
        <f t="shared" si="6"/>
        <v>Д</v>
      </c>
      <c r="L133" s="88" t="str">
        <f t="shared" si="7"/>
        <v>Б</v>
      </c>
      <c r="M133" s="89" t="str">
        <f t="shared" si="8"/>
        <v>Конструкторско-технологическое обеспечение машиностроительных производств</v>
      </c>
      <c r="N133" s="89" t="s">
        <v>301</v>
      </c>
    </row>
    <row r="134" spans="1:14" customFormat="1" ht="30" hidden="1" customHeight="1" x14ac:dyDescent="0.25">
      <c r="A134" s="62" t="s">
        <v>594</v>
      </c>
      <c r="B134" s="84" t="s">
        <v>592</v>
      </c>
      <c r="C134" s="85" t="s">
        <v>295</v>
      </c>
      <c r="D134" s="85" t="s">
        <v>296</v>
      </c>
      <c r="E134" s="84" t="s">
        <v>311</v>
      </c>
      <c r="F134" s="86" t="s">
        <v>312</v>
      </c>
      <c r="G134" s="87" t="s">
        <v>593</v>
      </c>
      <c r="H134" s="87" t="s">
        <v>595</v>
      </c>
      <c r="I134" s="87"/>
      <c r="J134" s="87" t="s">
        <v>553</v>
      </c>
      <c r="K134" s="88" t="str">
        <f t="shared" si="6"/>
        <v>Д</v>
      </c>
      <c r="L134" s="88" t="str">
        <f t="shared" si="7"/>
        <v>Б</v>
      </c>
      <c r="M134" s="89" t="str">
        <f t="shared" si="8"/>
        <v>Системная инженерия машиностроительных производств</v>
      </c>
      <c r="N134" s="89" t="s">
        <v>301</v>
      </c>
    </row>
    <row r="135" spans="1:14" customFormat="1" ht="30" hidden="1" customHeight="1" x14ac:dyDescent="0.25">
      <c r="A135" s="62" t="s">
        <v>596</v>
      </c>
      <c r="B135" s="84" t="s">
        <v>597</v>
      </c>
      <c r="C135" s="85" t="s">
        <v>295</v>
      </c>
      <c r="D135" s="85" t="s">
        <v>296</v>
      </c>
      <c r="E135" s="84" t="s">
        <v>311</v>
      </c>
      <c r="F135" s="86" t="s">
        <v>312</v>
      </c>
      <c r="G135" s="87" t="s">
        <v>598</v>
      </c>
      <c r="H135" s="87" t="s">
        <v>599</v>
      </c>
      <c r="I135" s="87"/>
      <c r="J135" s="87" t="s">
        <v>553</v>
      </c>
      <c r="K135" s="88" t="str">
        <f t="shared" si="6"/>
        <v>Д</v>
      </c>
      <c r="L135" s="88" t="str">
        <f t="shared" si="7"/>
        <v>Б</v>
      </c>
      <c r="M135" s="89" t="str">
        <f t="shared" si="8"/>
        <v>Разработка нефтяных и газовых месторождений, транспортировка, хранение и переработка нефти и газа</v>
      </c>
      <c r="N135" s="89" t="s">
        <v>301</v>
      </c>
    </row>
    <row r="136" spans="1:14" customFormat="1" ht="30" hidden="1" customHeight="1" x14ac:dyDescent="0.25">
      <c r="A136" s="62" t="s">
        <v>600</v>
      </c>
      <c r="B136" s="84" t="s">
        <v>601</v>
      </c>
      <c r="C136" s="85" t="s">
        <v>295</v>
      </c>
      <c r="D136" s="85" t="s">
        <v>296</v>
      </c>
      <c r="E136" s="84" t="s">
        <v>311</v>
      </c>
      <c r="F136" s="86" t="s">
        <v>312</v>
      </c>
      <c r="G136" s="87" t="s">
        <v>602</v>
      </c>
      <c r="H136" s="87" t="s">
        <v>602</v>
      </c>
      <c r="I136" s="87"/>
      <c r="J136" s="87" t="s">
        <v>553</v>
      </c>
      <c r="K136" s="88" t="str">
        <f t="shared" si="6"/>
        <v>Д</v>
      </c>
      <c r="L136" s="88" t="str">
        <f t="shared" si="7"/>
        <v>Б</v>
      </c>
      <c r="M136" s="89" t="str">
        <f t="shared" si="8"/>
        <v>Эксплуатация транспортно-технологических машин и комплексов</v>
      </c>
      <c r="N136" s="89" t="s">
        <v>301</v>
      </c>
    </row>
    <row r="137" spans="1:14" customFormat="1" ht="30" hidden="1" customHeight="1" x14ac:dyDescent="0.25">
      <c r="A137" s="62" t="s">
        <v>603</v>
      </c>
      <c r="B137" s="84" t="s">
        <v>601</v>
      </c>
      <c r="C137" s="85" t="s">
        <v>295</v>
      </c>
      <c r="D137" s="85" t="s">
        <v>296</v>
      </c>
      <c r="E137" s="84" t="s">
        <v>311</v>
      </c>
      <c r="F137" s="86" t="s">
        <v>312</v>
      </c>
      <c r="G137" s="87" t="s">
        <v>602</v>
      </c>
      <c r="H137" s="87" t="s">
        <v>604</v>
      </c>
      <c r="I137" s="87"/>
      <c r="J137" s="87" t="s">
        <v>553</v>
      </c>
      <c r="K137" s="88" t="str">
        <f t="shared" si="6"/>
        <v>Д</v>
      </c>
      <c r="L137" s="88" t="str">
        <f t="shared" si="7"/>
        <v>Б</v>
      </c>
      <c r="M137" s="89" t="str">
        <f t="shared" si="8"/>
        <v>Эксплуатация автомобилей и электромобилей</v>
      </c>
      <c r="N137" s="89" t="s">
        <v>301</v>
      </c>
    </row>
    <row r="138" spans="1:14" customFormat="1" ht="30" hidden="1" customHeight="1" x14ac:dyDescent="0.25">
      <c r="A138" s="62" t="s">
        <v>605</v>
      </c>
      <c r="B138" s="84" t="s">
        <v>606</v>
      </c>
      <c r="C138" s="85" t="s">
        <v>295</v>
      </c>
      <c r="D138" s="85" t="s">
        <v>296</v>
      </c>
      <c r="E138" s="84" t="s">
        <v>311</v>
      </c>
      <c r="F138" s="86" t="s">
        <v>312</v>
      </c>
      <c r="G138" s="87" t="s">
        <v>472</v>
      </c>
      <c r="H138" s="87" t="s">
        <v>607</v>
      </c>
      <c r="I138" s="87"/>
      <c r="J138" s="87" t="s">
        <v>553</v>
      </c>
      <c r="K138" s="88" t="str">
        <f t="shared" si="6"/>
        <v>Д</v>
      </c>
      <c r="L138" s="88" t="str">
        <f t="shared" si="7"/>
        <v>Б</v>
      </c>
      <c r="M138" s="89" t="str">
        <f t="shared" si="8"/>
        <v>Управление инновациями в инженерном бизнесе</v>
      </c>
      <c r="N138" s="89" t="s">
        <v>301</v>
      </c>
    </row>
    <row r="139" spans="1:14" customFormat="1" ht="30" hidden="1" customHeight="1" x14ac:dyDescent="0.25">
      <c r="A139" s="62" t="s">
        <v>608</v>
      </c>
      <c r="B139" s="84" t="s">
        <v>606</v>
      </c>
      <c r="C139" s="85" t="s">
        <v>295</v>
      </c>
      <c r="D139" s="85" t="s">
        <v>304</v>
      </c>
      <c r="E139" s="84" t="s">
        <v>311</v>
      </c>
      <c r="F139" s="86" t="s">
        <v>312</v>
      </c>
      <c r="G139" s="87" t="s">
        <v>472</v>
      </c>
      <c r="H139" s="87" t="s">
        <v>609</v>
      </c>
      <c r="I139" s="87"/>
      <c r="J139" s="87" t="s">
        <v>553</v>
      </c>
      <c r="K139" s="88" t="str">
        <f t="shared" si="6"/>
        <v>Д</v>
      </c>
      <c r="L139" s="88" t="str">
        <f t="shared" si="7"/>
        <v>Б</v>
      </c>
      <c r="M139" s="89" t="str">
        <f t="shared" si="8"/>
        <v>Механика полета и управление космическими системами [язык реализации –Английский]</v>
      </c>
      <c r="N139" s="89" t="s">
        <v>301</v>
      </c>
    </row>
    <row r="140" spans="1:14" customFormat="1" ht="30" hidden="1" customHeight="1" x14ac:dyDescent="0.25">
      <c r="A140" s="62" t="s">
        <v>610</v>
      </c>
      <c r="B140" s="84" t="s">
        <v>606</v>
      </c>
      <c r="C140" s="85" t="s">
        <v>295</v>
      </c>
      <c r="D140" s="85" t="s">
        <v>296</v>
      </c>
      <c r="E140" s="84" t="s">
        <v>311</v>
      </c>
      <c r="F140" s="86" t="s">
        <v>312</v>
      </c>
      <c r="G140" s="87" t="s">
        <v>472</v>
      </c>
      <c r="H140" s="87" t="s">
        <v>611</v>
      </c>
      <c r="I140" s="87"/>
      <c r="J140" s="87" t="s">
        <v>553</v>
      </c>
      <c r="K140" s="88" t="str">
        <f t="shared" si="6"/>
        <v>Д</v>
      </c>
      <c r="L140" s="88" t="str">
        <f t="shared" si="7"/>
        <v>Б</v>
      </c>
      <c r="M140" s="89" t="str">
        <f t="shared" si="8"/>
        <v>Информационные технологии в управлении и кибербезопасность</v>
      </c>
      <c r="N140" s="89" t="s">
        <v>301</v>
      </c>
    </row>
    <row r="141" spans="1:14" customFormat="1" ht="30" hidden="1" customHeight="1" x14ac:dyDescent="0.25">
      <c r="A141" s="62" t="s">
        <v>612</v>
      </c>
      <c r="B141" s="84" t="s">
        <v>606</v>
      </c>
      <c r="C141" s="85" t="s">
        <v>295</v>
      </c>
      <c r="D141" s="85" t="s">
        <v>296</v>
      </c>
      <c r="E141" s="84" t="s">
        <v>311</v>
      </c>
      <c r="F141" s="86" t="s">
        <v>312</v>
      </c>
      <c r="G141" s="87" t="s">
        <v>472</v>
      </c>
      <c r="H141" s="87" t="s">
        <v>613</v>
      </c>
      <c r="I141" s="87"/>
      <c r="J141" s="87" t="s">
        <v>553</v>
      </c>
      <c r="K141" s="88" t="str">
        <f t="shared" si="6"/>
        <v>Д</v>
      </c>
      <c r="L141" s="88" t="str">
        <f t="shared" si="7"/>
        <v>Б</v>
      </c>
      <c r="M141" s="89" t="str">
        <f t="shared" si="8"/>
        <v>Data Engineering, программирование и компьютерное моделирование интеллектуальных систем</v>
      </c>
      <c r="N141" s="89" t="s">
        <v>301</v>
      </c>
    </row>
    <row r="142" spans="1:14" customFormat="1" ht="30" hidden="1" customHeight="1" x14ac:dyDescent="0.25">
      <c r="A142" s="62" t="s">
        <v>614</v>
      </c>
      <c r="B142" s="84" t="s">
        <v>606</v>
      </c>
      <c r="C142" s="85" t="s">
        <v>295</v>
      </c>
      <c r="D142" s="85" t="s">
        <v>304</v>
      </c>
      <c r="E142" s="84" t="s">
        <v>311</v>
      </c>
      <c r="F142" s="86" t="s">
        <v>312</v>
      </c>
      <c r="G142" s="87" t="s">
        <v>472</v>
      </c>
      <c r="H142" s="87" t="s">
        <v>615</v>
      </c>
      <c r="I142" s="87"/>
      <c r="J142" s="87" t="s">
        <v>553</v>
      </c>
      <c r="K142" s="88" t="str">
        <f t="shared" si="6"/>
        <v>Д</v>
      </c>
      <c r="L142" s="88" t="str">
        <f t="shared" si="7"/>
        <v>Б</v>
      </c>
      <c r="M142" s="89" t="str">
        <f t="shared" si="8"/>
        <v>Data Engineering и управление космическими системами [язык реализации –Английский]</v>
      </c>
      <c r="N142" s="89" t="s">
        <v>301</v>
      </c>
    </row>
    <row r="143" spans="1:14" customFormat="1" ht="30" hidden="1" customHeight="1" x14ac:dyDescent="0.25">
      <c r="A143" s="62" t="s">
        <v>616</v>
      </c>
      <c r="B143" s="84" t="s">
        <v>606</v>
      </c>
      <c r="C143" s="85" t="s">
        <v>295</v>
      </c>
      <c r="D143" s="85" t="s">
        <v>296</v>
      </c>
      <c r="E143" s="84" t="s">
        <v>311</v>
      </c>
      <c r="F143" s="86" t="s">
        <v>312</v>
      </c>
      <c r="G143" s="87" t="s">
        <v>472</v>
      </c>
      <c r="H143" s="87" t="s">
        <v>617</v>
      </c>
      <c r="I143" s="87"/>
      <c r="J143" s="87" t="s">
        <v>553</v>
      </c>
      <c r="K143" s="88" t="str">
        <f t="shared" si="6"/>
        <v>Д</v>
      </c>
      <c r="L143" s="88" t="str">
        <f t="shared" si="7"/>
        <v>Б</v>
      </c>
      <c r="M143" s="89" t="str">
        <f t="shared" si="8"/>
        <v>Управление информационными процессами, машинное обучение и кибербезопасность</v>
      </c>
      <c r="N143" s="89" t="s">
        <v>301</v>
      </c>
    </row>
    <row r="144" spans="1:14" customFormat="1" ht="30" hidden="1" customHeight="1" x14ac:dyDescent="0.25">
      <c r="A144" s="62" t="s">
        <v>618</v>
      </c>
      <c r="B144" s="84" t="s">
        <v>606</v>
      </c>
      <c r="C144" s="85" t="s">
        <v>295</v>
      </c>
      <c r="D144" s="85" t="s">
        <v>296</v>
      </c>
      <c r="E144" s="84" t="s">
        <v>311</v>
      </c>
      <c r="F144" s="86" t="s">
        <v>312</v>
      </c>
      <c r="G144" s="87" t="s">
        <v>472</v>
      </c>
      <c r="H144" s="87" t="s">
        <v>619</v>
      </c>
      <c r="I144" s="87"/>
      <c r="J144" s="87" t="s">
        <v>553</v>
      </c>
      <c r="K144" s="88" t="str">
        <f t="shared" si="6"/>
        <v>Д</v>
      </c>
      <c r="L144" s="88" t="str">
        <f t="shared" si="7"/>
        <v>Б</v>
      </c>
      <c r="M144" s="89" t="str">
        <f t="shared" si="8"/>
        <v>Data Engineering, интеллектуальные системы и кибербезопасность</v>
      </c>
      <c r="N144" s="89" t="s">
        <v>301</v>
      </c>
    </row>
    <row r="145" spans="1:14" customFormat="1" ht="30" hidden="1" customHeight="1" x14ac:dyDescent="0.25">
      <c r="A145" s="62" t="s">
        <v>620</v>
      </c>
      <c r="B145" s="84" t="s">
        <v>606</v>
      </c>
      <c r="C145" s="85" t="s">
        <v>295</v>
      </c>
      <c r="D145" s="85" t="s">
        <v>304</v>
      </c>
      <c r="E145" s="84" t="s">
        <v>311</v>
      </c>
      <c r="F145" s="86" t="s">
        <v>312</v>
      </c>
      <c r="G145" s="87" t="s">
        <v>472</v>
      </c>
      <c r="H145" s="87" t="s">
        <v>621</v>
      </c>
      <c r="I145" s="87"/>
      <c r="J145" s="87" t="s">
        <v>553</v>
      </c>
      <c r="K145" s="88" t="str">
        <f t="shared" si="6"/>
        <v>Д</v>
      </c>
      <c r="L145" s="88" t="str">
        <f t="shared" si="7"/>
        <v>Б</v>
      </c>
      <c r="M145" s="89" t="str">
        <f t="shared" si="8"/>
        <v>Data Science и космические системы [язык реализации –Английский]</v>
      </c>
      <c r="N145" s="89" t="s">
        <v>301</v>
      </c>
    </row>
    <row r="146" spans="1:14" customFormat="1" ht="30" hidden="1" customHeight="1" x14ac:dyDescent="0.25">
      <c r="A146" s="62" t="s">
        <v>622</v>
      </c>
      <c r="B146" s="84" t="s">
        <v>623</v>
      </c>
      <c r="C146" s="85" t="s">
        <v>295</v>
      </c>
      <c r="D146" s="85" t="s">
        <v>296</v>
      </c>
      <c r="E146" s="84" t="s">
        <v>311</v>
      </c>
      <c r="F146" s="86" t="s">
        <v>312</v>
      </c>
      <c r="G146" s="87" t="s">
        <v>624</v>
      </c>
      <c r="H146" s="87" t="s">
        <v>625</v>
      </c>
      <c r="I146" s="87"/>
      <c r="J146" s="87" t="s">
        <v>553</v>
      </c>
      <c r="K146" s="88" t="str">
        <f t="shared" si="6"/>
        <v>Д</v>
      </c>
      <c r="L146" s="88" t="str">
        <f t="shared" si="7"/>
        <v>Б</v>
      </c>
      <c r="M146" s="89" t="str">
        <f t="shared" si="8"/>
        <v>Управление инновациями в отраслях промышленности</v>
      </c>
      <c r="N146" s="89" t="s">
        <v>301</v>
      </c>
    </row>
    <row r="147" spans="1:14" customFormat="1" ht="30" hidden="1" customHeight="1" x14ac:dyDescent="0.25">
      <c r="A147" s="62" t="s">
        <v>626</v>
      </c>
      <c r="B147" s="84" t="s">
        <v>627</v>
      </c>
      <c r="C147" s="85" t="s">
        <v>295</v>
      </c>
      <c r="D147" s="85" t="s">
        <v>296</v>
      </c>
      <c r="E147" s="84" t="s">
        <v>311</v>
      </c>
      <c r="F147" s="86" t="s">
        <v>312</v>
      </c>
      <c r="G147" s="87" t="s">
        <v>628</v>
      </c>
      <c r="H147" s="87" t="s">
        <v>628</v>
      </c>
      <c r="I147" s="87"/>
      <c r="J147" s="87" t="s">
        <v>553</v>
      </c>
      <c r="K147" s="88" t="str">
        <f t="shared" si="6"/>
        <v>Д</v>
      </c>
      <c r="L147" s="88" t="str">
        <f t="shared" si="7"/>
        <v>Б</v>
      </c>
      <c r="M147" s="89" t="str">
        <f t="shared" si="8"/>
        <v>Наноинженерия</v>
      </c>
      <c r="N147" s="89" t="s">
        <v>301</v>
      </c>
    </row>
    <row r="148" spans="1:14" customFormat="1" ht="30" hidden="1" customHeight="1" x14ac:dyDescent="0.25">
      <c r="A148" s="62" t="s">
        <v>629</v>
      </c>
      <c r="B148" s="84" t="s">
        <v>627</v>
      </c>
      <c r="C148" s="85" t="s">
        <v>295</v>
      </c>
      <c r="D148" s="85" t="s">
        <v>296</v>
      </c>
      <c r="E148" s="84" t="s">
        <v>311</v>
      </c>
      <c r="F148" s="86" t="s">
        <v>312</v>
      </c>
      <c r="G148" s="87" t="s">
        <v>628</v>
      </c>
      <c r="H148" s="87" t="s">
        <v>630</v>
      </c>
      <c r="I148" s="87"/>
      <c r="J148" s="87" t="s">
        <v>553</v>
      </c>
      <c r="K148" s="88" t="str">
        <f t="shared" si="6"/>
        <v>Д</v>
      </c>
      <c r="L148" s="88" t="str">
        <f t="shared" si="7"/>
        <v>Б</v>
      </c>
      <c r="M148" s="89" t="str">
        <f t="shared" si="8"/>
        <v>Нанотехнологии и наноматериалы в приборостроении</v>
      </c>
      <c r="N148" s="89" t="s">
        <v>301</v>
      </c>
    </row>
    <row r="149" spans="1:14" customFormat="1" ht="30" hidden="1" customHeight="1" x14ac:dyDescent="0.25">
      <c r="A149" s="62" t="s">
        <v>631</v>
      </c>
      <c r="B149" s="84" t="s">
        <v>632</v>
      </c>
      <c r="C149" s="85" t="s">
        <v>295</v>
      </c>
      <c r="D149" s="85" t="s">
        <v>304</v>
      </c>
      <c r="E149" s="84" t="s">
        <v>330</v>
      </c>
      <c r="F149" s="86" t="s">
        <v>331</v>
      </c>
      <c r="G149" s="87" t="s">
        <v>566</v>
      </c>
      <c r="H149" s="87" t="s">
        <v>633</v>
      </c>
      <c r="I149" s="87" t="s">
        <v>634</v>
      </c>
      <c r="J149" s="87" t="s">
        <v>553</v>
      </c>
      <c r="K149" s="88" t="str">
        <f t="shared" si="6"/>
        <v>Д</v>
      </c>
      <c r="L149" s="88" t="str">
        <f t="shared" si="7"/>
        <v>М</v>
      </c>
      <c r="M149" s="89" t="str">
        <f t="shared" si="8"/>
        <v>Баллистическое проектирование космических комплексов и систем (Вуз-партнёр – EPF Graduate School of Engineering)</v>
      </c>
      <c r="N149" s="89" t="s">
        <v>301</v>
      </c>
    </row>
    <row r="150" spans="1:14" customFormat="1" ht="30" hidden="1" customHeight="1" x14ac:dyDescent="0.25">
      <c r="A150" s="62" t="s">
        <v>635</v>
      </c>
      <c r="B150" s="84" t="s">
        <v>632</v>
      </c>
      <c r="C150" s="85" t="s">
        <v>295</v>
      </c>
      <c r="D150" s="85" t="s">
        <v>296</v>
      </c>
      <c r="E150" s="84" t="s">
        <v>330</v>
      </c>
      <c r="F150" s="86" t="s">
        <v>331</v>
      </c>
      <c r="G150" s="87" t="s">
        <v>566</v>
      </c>
      <c r="H150" s="87" t="s">
        <v>633</v>
      </c>
      <c r="I150" s="87"/>
      <c r="J150" s="87" t="s">
        <v>553</v>
      </c>
      <c r="K150" s="88" t="str">
        <f t="shared" si="6"/>
        <v>Д</v>
      </c>
      <c r="L150" s="88" t="str">
        <f t="shared" si="7"/>
        <v>М</v>
      </c>
      <c r="M150" s="89" t="str">
        <f t="shared" si="8"/>
        <v>Баллистическое проектирование космических комплексов и систем</v>
      </c>
      <c r="N150" s="89" t="s">
        <v>301</v>
      </c>
    </row>
    <row r="151" spans="1:14" customFormat="1" ht="30" hidden="1" customHeight="1" x14ac:dyDescent="0.25">
      <c r="A151" s="62" t="s">
        <v>636</v>
      </c>
      <c r="B151" s="84" t="s">
        <v>632</v>
      </c>
      <c r="C151" s="85" t="s">
        <v>295</v>
      </c>
      <c r="D151" s="85" t="s">
        <v>296</v>
      </c>
      <c r="E151" s="84" t="s">
        <v>330</v>
      </c>
      <c r="F151" s="86" t="s">
        <v>331</v>
      </c>
      <c r="G151" s="87" t="s">
        <v>566</v>
      </c>
      <c r="H151" s="87" t="s">
        <v>637</v>
      </c>
      <c r="I151" s="87"/>
      <c r="J151" s="87" t="s">
        <v>553</v>
      </c>
      <c r="K151" s="88" t="str">
        <f t="shared" si="6"/>
        <v>Д</v>
      </c>
      <c r="L151" s="88" t="str">
        <f t="shared" si="7"/>
        <v>М</v>
      </c>
      <c r="M151" s="89" t="str">
        <f t="shared" si="8"/>
        <v>Data Science и цифровая трансформация</v>
      </c>
      <c r="N151" s="89" t="s">
        <v>301</v>
      </c>
    </row>
    <row r="152" spans="1:14" customFormat="1" ht="30" hidden="1" customHeight="1" x14ac:dyDescent="0.25">
      <c r="A152" s="62" t="s">
        <v>638</v>
      </c>
      <c r="B152" s="84" t="s">
        <v>632</v>
      </c>
      <c r="C152" s="85" t="s">
        <v>295</v>
      </c>
      <c r="D152" s="85" t="s">
        <v>296</v>
      </c>
      <c r="E152" s="84" t="s">
        <v>330</v>
      </c>
      <c r="F152" s="86" t="s">
        <v>331</v>
      </c>
      <c r="G152" s="87" t="s">
        <v>566</v>
      </c>
      <c r="H152" s="87" t="s">
        <v>639</v>
      </c>
      <c r="I152" s="87"/>
      <c r="J152" s="87" t="s">
        <v>553</v>
      </c>
      <c r="K152" s="88" t="str">
        <f t="shared" si="6"/>
        <v>Д</v>
      </c>
      <c r="L152" s="88" t="str">
        <f t="shared" si="7"/>
        <v>М</v>
      </c>
      <c r="M152" s="89" t="str">
        <f t="shared" si="8"/>
        <v>Проектирование космических миссий и систем</v>
      </c>
      <c r="N152" s="89" t="s">
        <v>301</v>
      </c>
    </row>
    <row r="153" spans="1:14" customFormat="1" ht="30" hidden="1" customHeight="1" x14ac:dyDescent="0.25">
      <c r="A153" s="62" t="s">
        <v>640</v>
      </c>
      <c r="B153" s="84" t="s">
        <v>641</v>
      </c>
      <c r="C153" s="85" t="s">
        <v>295</v>
      </c>
      <c r="D153" s="85" t="s">
        <v>296</v>
      </c>
      <c r="E153" s="84" t="s">
        <v>330</v>
      </c>
      <c r="F153" s="86" t="s">
        <v>331</v>
      </c>
      <c r="G153" s="87" t="s">
        <v>642</v>
      </c>
      <c r="H153" s="87" t="s">
        <v>643</v>
      </c>
      <c r="I153" s="87"/>
      <c r="J153" s="87" t="s">
        <v>553</v>
      </c>
      <c r="K153" s="88" t="str">
        <f t="shared" si="6"/>
        <v>Д</v>
      </c>
      <c r="L153" s="88" t="str">
        <f t="shared" si="7"/>
        <v>М</v>
      </c>
      <c r="M153" s="89" t="str">
        <f t="shared" si="8"/>
        <v>Анализ больших данных и технологии защиты информации</v>
      </c>
      <c r="N153" s="89" t="s">
        <v>301</v>
      </c>
    </row>
    <row r="154" spans="1:14" customFormat="1" ht="30" hidden="1" customHeight="1" x14ac:dyDescent="0.25">
      <c r="A154" s="62" t="s">
        <v>644</v>
      </c>
      <c r="B154" s="84" t="s">
        <v>645</v>
      </c>
      <c r="C154" s="85" t="s">
        <v>295</v>
      </c>
      <c r="D154" s="85" t="s">
        <v>296</v>
      </c>
      <c r="E154" s="84" t="s">
        <v>330</v>
      </c>
      <c r="F154" s="86" t="s">
        <v>331</v>
      </c>
      <c r="G154" s="87" t="s">
        <v>646</v>
      </c>
      <c r="H154" s="87" t="s">
        <v>647</v>
      </c>
      <c r="I154" s="87"/>
      <c r="J154" s="87" t="s">
        <v>553</v>
      </c>
      <c r="K154" s="88" t="str">
        <f t="shared" si="6"/>
        <v>Д</v>
      </c>
      <c r="L154" s="88" t="str">
        <f t="shared" si="7"/>
        <v>М</v>
      </c>
      <c r="M154" s="89" t="str">
        <f t="shared" si="8"/>
        <v>Инновационные технологии в поиске и разведке месторождений нефти и газа</v>
      </c>
      <c r="N154" s="89" t="s">
        <v>301</v>
      </c>
    </row>
    <row r="155" spans="1:14" customFormat="1" ht="30" hidden="1" customHeight="1" x14ac:dyDescent="0.25">
      <c r="A155" s="62" t="s">
        <v>648</v>
      </c>
      <c r="B155" s="84" t="s">
        <v>645</v>
      </c>
      <c r="C155" s="85" t="s">
        <v>295</v>
      </c>
      <c r="D155" s="85" t="s">
        <v>296</v>
      </c>
      <c r="E155" s="84" t="s">
        <v>330</v>
      </c>
      <c r="F155" s="86" t="s">
        <v>331</v>
      </c>
      <c r="G155" s="87" t="s">
        <v>646</v>
      </c>
      <c r="H155" s="87" t="s">
        <v>649</v>
      </c>
      <c r="I155" s="87"/>
      <c r="J155" s="87" t="s">
        <v>553</v>
      </c>
      <c r="K155" s="88" t="str">
        <f t="shared" si="6"/>
        <v>Д</v>
      </c>
      <c r="L155" s="88" t="str">
        <f t="shared" si="7"/>
        <v>М</v>
      </c>
      <c r="M155" s="89" t="str">
        <f t="shared" si="8"/>
        <v>Инновационные технологии в поиске и разведке твердых полезных ископаемых</v>
      </c>
      <c r="N155" s="89" t="s">
        <v>301</v>
      </c>
    </row>
    <row r="156" spans="1:14" customFormat="1" ht="30" hidden="1" customHeight="1" x14ac:dyDescent="0.25">
      <c r="A156" s="62" t="s">
        <v>650</v>
      </c>
      <c r="B156" s="84" t="s">
        <v>645</v>
      </c>
      <c r="C156" s="85" t="s">
        <v>295</v>
      </c>
      <c r="D156" s="85" t="s">
        <v>304</v>
      </c>
      <c r="E156" s="84" t="s">
        <v>330</v>
      </c>
      <c r="F156" s="86" t="s">
        <v>331</v>
      </c>
      <c r="G156" s="87" t="s">
        <v>646</v>
      </c>
      <c r="H156" s="87" t="s">
        <v>651</v>
      </c>
      <c r="I156" s="87" t="s">
        <v>652</v>
      </c>
      <c r="J156" s="87" t="s">
        <v>553</v>
      </c>
      <c r="K156" s="88" t="str">
        <f t="shared" si="6"/>
        <v>Д</v>
      </c>
      <c r="L156" s="88" t="str">
        <f t="shared" si="7"/>
        <v>М</v>
      </c>
      <c r="M156" s="89" t="str">
        <f t="shared" si="8"/>
        <v>Горнопромышленная геология (Вуз-партнёр – Университет Дар-эс-Салам)</v>
      </c>
      <c r="N156" s="89" t="s">
        <v>301</v>
      </c>
    </row>
    <row r="157" spans="1:14" customFormat="1" ht="30" hidden="1" customHeight="1" x14ac:dyDescent="0.25">
      <c r="A157" s="62" t="s">
        <v>653</v>
      </c>
      <c r="B157" s="84" t="s">
        <v>645</v>
      </c>
      <c r="C157" s="85" t="s">
        <v>295</v>
      </c>
      <c r="D157" s="85" t="s">
        <v>304</v>
      </c>
      <c r="E157" s="84" t="s">
        <v>330</v>
      </c>
      <c r="F157" s="86" t="s">
        <v>331</v>
      </c>
      <c r="G157" s="87" t="s">
        <v>646</v>
      </c>
      <c r="H157" s="87" t="s">
        <v>651</v>
      </c>
      <c r="I157" s="87" t="s">
        <v>654</v>
      </c>
      <c r="J157" s="87" t="s">
        <v>553</v>
      </c>
      <c r="K157" s="88" t="str">
        <f t="shared" si="6"/>
        <v>Д</v>
      </c>
      <c r="L157" s="88" t="str">
        <f t="shared" si="7"/>
        <v>М</v>
      </c>
      <c r="M157" s="89" t="str">
        <f t="shared" si="8"/>
        <v>Горнопромышленная геология (Вуз-партнёр – ФГАОУ ВО «Национальный исследовательский технологический университет «МИСИС»)</v>
      </c>
      <c r="N157" s="89" t="s">
        <v>301</v>
      </c>
    </row>
    <row r="158" spans="1:14" customFormat="1" ht="30" hidden="1" customHeight="1" x14ac:dyDescent="0.25">
      <c r="A158" s="62" t="s">
        <v>655</v>
      </c>
      <c r="B158" s="84" t="s">
        <v>645</v>
      </c>
      <c r="C158" s="85" t="s">
        <v>295</v>
      </c>
      <c r="D158" s="85" t="s">
        <v>296</v>
      </c>
      <c r="E158" s="84" t="s">
        <v>330</v>
      </c>
      <c r="F158" s="86" t="s">
        <v>331</v>
      </c>
      <c r="G158" s="87" t="s">
        <v>646</v>
      </c>
      <c r="H158" s="87" t="s">
        <v>656</v>
      </c>
      <c r="I158" s="87"/>
      <c r="J158" s="87" t="s">
        <v>553</v>
      </c>
      <c r="K158" s="88" t="str">
        <f t="shared" si="6"/>
        <v>Д</v>
      </c>
      <c r="L158" s="88" t="str">
        <f t="shared" si="7"/>
        <v>М</v>
      </c>
      <c r="M158" s="89" t="str">
        <f t="shared" si="8"/>
        <v>Искусственный интеллект в геологоразведке и добыче полезных ископаемых</v>
      </c>
      <c r="N158" s="89" t="s">
        <v>301</v>
      </c>
    </row>
    <row r="159" spans="1:14" customFormat="1" ht="30" hidden="1" customHeight="1" x14ac:dyDescent="0.25">
      <c r="A159" s="62" t="s">
        <v>657</v>
      </c>
      <c r="B159" s="84" t="s">
        <v>658</v>
      </c>
      <c r="C159" s="85" t="s">
        <v>295</v>
      </c>
      <c r="D159" s="85" t="s">
        <v>296</v>
      </c>
      <c r="E159" s="84" t="s">
        <v>330</v>
      </c>
      <c r="F159" s="86" t="s">
        <v>331</v>
      </c>
      <c r="G159" s="87" t="s">
        <v>572</v>
      </c>
      <c r="H159" s="87" t="s">
        <v>659</v>
      </c>
      <c r="I159" s="87"/>
      <c r="J159" s="87" t="s">
        <v>553</v>
      </c>
      <c r="K159" s="88" t="str">
        <f t="shared" si="6"/>
        <v>Д</v>
      </c>
      <c r="L159" s="88" t="str">
        <f t="shared" si="7"/>
        <v>М</v>
      </c>
      <c r="M159" s="89" t="str">
        <f t="shared" si="8"/>
        <v>Архитектура жилых, общественных и промышленных зданий</v>
      </c>
      <c r="N159" s="89" t="s">
        <v>301</v>
      </c>
    </row>
    <row r="160" spans="1:14" customFormat="1" ht="30" hidden="1" customHeight="1" x14ac:dyDescent="0.25">
      <c r="A160" s="62" t="s">
        <v>660</v>
      </c>
      <c r="B160" s="84" t="s">
        <v>658</v>
      </c>
      <c r="C160" s="85" t="s">
        <v>295</v>
      </c>
      <c r="D160" s="85" t="s">
        <v>296</v>
      </c>
      <c r="E160" s="84" t="s">
        <v>330</v>
      </c>
      <c r="F160" s="86" t="s">
        <v>331</v>
      </c>
      <c r="G160" s="87" t="s">
        <v>572</v>
      </c>
      <c r="H160" s="87" t="s">
        <v>661</v>
      </c>
      <c r="I160" s="87"/>
      <c r="J160" s="87" t="s">
        <v>553</v>
      </c>
      <c r="K160" s="88" t="str">
        <f t="shared" si="6"/>
        <v>Д</v>
      </c>
      <c r="L160" s="88" t="str">
        <f t="shared" si="7"/>
        <v>М</v>
      </c>
      <c r="M160" s="89" t="str">
        <f t="shared" si="8"/>
        <v>Технологии интеллектуального архитектурного проектирования</v>
      </c>
      <c r="N160" s="89" t="s">
        <v>301</v>
      </c>
    </row>
    <row r="161" spans="1:14" customFormat="1" ht="30" hidden="1" customHeight="1" x14ac:dyDescent="0.25">
      <c r="A161" s="62" t="s">
        <v>662</v>
      </c>
      <c r="B161" s="84" t="s">
        <v>663</v>
      </c>
      <c r="C161" s="85" t="s">
        <v>295</v>
      </c>
      <c r="D161" s="85" t="s">
        <v>296</v>
      </c>
      <c r="E161" s="84" t="s">
        <v>330</v>
      </c>
      <c r="F161" s="86" t="s">
        <v>331</v>
      </c>
      <c r="G161" s="87" t="s">
        <v>578</v>
      </c>
      <c r="H161" s="87" t="s">
        <v>664</v>
      </c>
      <c r="I161" s="87"/>
      <c r="J161" s="87" t="s">
        <v>553</v>
      </c>
      <c r="K161" s="88" t="str">
        <f t="shared" si="6"/>
        <v>Д</v>
      </c>
      <c r="L161" s="88" t="str">
        <f t="shared" si="7"/>
        <v>М</v>
      </c>
      <c r="M161" s="89" t="str">
        <f t="shared" si="8"/>
        <v>Архитектура историко-культурных объектов</v>
      </c>
      <c r="N161" s="89" t="s">
        <v>301</v>
      </c>
    </row>
    <row r="162" spans="1:14" customFormat="1" ht="30" hidden="1" customHeight="1" x14ac:dyDescent="0.25">
      <c r="A162" s="62" t="s">
        <v>665</v>
      </c>
      <c r="B162" s="84" t="s">
        <v>666</v>
      </c>
      <c r="C162" s="85" t="s">
        <v>295</v>
      </c>
      <c r="D162" s="85" t="s">
        <v>296</v>
      </c>
      <c r="E162" s="84" t="s">
        <v>330</v>
      </c>
      <c r="F162" s="86" t="s">
        <v>331</v>
      </c>
      <c r="G162" s="87" t="s">
        <v>581</v>
      </c>
      <c r="H162" s="87" t="s">
        <v>667</v>
      </c>
      <c r="I162" s="87"/>
      <c r="J162" s="87" t="s">
        <v>553</v>
      </c>
      <c r="K162" s="88" t="str">
        <f t="shared" si="6"/>
        <v>Д</v>
      </c>
      <c r="L162" s="88" t="str">
        <f t="shared" si="7"/>
        <v>М</v>
      </c>
      <c r="M162" s="89" t="str">
        <f t="shared" si="8"/>
        <v>Параметрический дизайн в архитектурной среде</v>
      </c>
      <c r="N162" s="89" t="s">
        <v>301</v>
      </c>
    </row>
    <row r="163" spans="1:14" customFormat="1" ht="30" hidden="1" customHeight="1" x14ac:dyDescent="0.25">
      <c r="A163" s="62" t="s">
        <v>668</v>
      </c>
      <c r="B163" s="84" t="s">
        <v>666</v>
      </c>
      <c r="C163" s="85" t="s">
        <v>295</v>
      </c>
      <c r="D163" s="85" t="s">
        <v>296</v>
      </c>
      <c r="E163" s="84" t="s">
        <v>330</v>
      </c>
      <c r="F163" s="86" t="s">
        <v>331</v>
      </c>
      <c r="G163" s="87" t="s">
        <v>581</v>
      </c>
      <c r="H163" s="87" t="s">
        <v>669</v>
      </c>
      <c r="I163" s="87"/>
      <c r="J163" s="87" t="s">
        <v>553</v>
      </c>
      <c r="K163" s="88" t="str">
        <f t="shared" si="6"/>
        <v>Д</v>
      </c>
      <c r="L163" s="88" t="str">
        <f t="shared" si="7"/>
        <v>ЦМ</v>
      </c>
      <c r="M163" s="89" t="str">
        <f t="shared" si="8"/>
        <v>Параметрический цифровой дизайн в архитектурной среде</v>
      </c>
      <c r="N163" s="89" t="s">
        <v>484</v>
      </c>
    </row>
    <row r="164" spans="1:14" customFormat="1" ht="30" hidden="1" customHeight="1" x14ac:dyDescent="0.25">
      <c r="A164" s="62" t="s">
        <v>670</v>
      </c>
      <c r="B164" s="84" t="s">
        <v>671</v>
      </c>
      <c r="C164" s="85" t="s">
        <v>295</v>
      </c>
      <c r="D164" s="85" t="s">
        <v>304</v>
      </c>
      <c r="E164" s="84" t="s">
        <v>330</v>
      </c>
      <c r="F164" s="86" t="s">
        <v>331</v>
      </c>
      <c r="G164" s="87" t="s">
        <v>585</v>
      </c>
      <c r="H164" s="87" t="s">
        <v>672</v>
      </c>
      <c r="I164" s="87"/>
      <c r="J164" s="87" t="s">
        <v>553</v>
      </c>
      <c r="K164" s="88" t="str">
        <f t="shared" si="6"/>
        <v>Д</v>
      </c>
      <c r="L164" s="88" t="str">
        <f t="shared" si="7"/>
        <v>М</v>
      </c>
      <c r="M164" s="89" t="str">
        <f t="shared" si="8"/>
        <v>Строительная инженерия и построенная среда [язык реализации –Английский]</v>
      </c>
      <c r="N164" s="89" t="s">
        <v>301</v>
      </c>
    </row>
    <row r="165" spans="1:14" customFormat="1" ht="30" hidden="1" customHeight="1" x14ac:dyDescent="0.25">
      <c r="A165" s="62" t="s">
        <v>673</v>
      </c>
      <c r="B165" s="84" t="s">
        <v>671</v>
      </c>
      <c r="C165" s="85" t="s">
        <v>295</v>
      </c>
      <c r="D165" s="85" t="s">
        <v>296</v>
      </c>
      <c r="E165" s="84" t="s">
        <v>330</v>
      </c>
      <c r="F165" s="86" t="s">
        <v>331</v>
      </c>
      <c r="G165" s="87" t="s">
        <v>585</v>
      </c>
      <c r="H165" s="87" t="s">
        <v>674</v>
      </c>
      <c r="I165" s="87"/>
      <c r="J165" s="87" t="s">
        <v>553</v>
      </c>
      <c r="K165" s="88" t="str">
        <f t="shared" si="6"/>
        <v>Д</v>
      </c>
      <c r="L165" s="88" t="str">
        <f t="shared" si="7"/>
        <v>М</v>
      </c>
      <c r="M165" s="89" t="str">
        <f t="shared" si="8"/>
        <v>Гидротехническое строительство и технологии водопользования</v>
      </c>
      <c r="N165" s="89" t="s">
        <v>301</v>
      </c>
    </row>
    <row r="166" spans="1:14" customFormat="1" ht="30" hidden="1" customHeight="1" x14ac:dyDescent="0.25">
      <c r="A166" s="62" t="s">
        <v>675</v>
      </c>
      <c r="B166" s="84" t="s">
        <v>671</v>
      </c>
      <c r="C166" s="85" t="s">
        <v>295</v>
      </c>
      <c r="D166" s="85" t="s">
        <v>296</v>
      </c>
      <c r="E166" s="84" t="s">
        <v>330</v>
      </c>
      <c r="F166" s="86" t="s">
        <v>331</v>
      </c>
      <c r="G166" s="87" t="s">
        <v>585</v>
      </c>
      <c r="H166" s="87" t="s">
        <v>676</v>
      </c>
      <c r="I166" s="87"/>
      <c r="J166" s="87" t="s">
        <v>553</v>
      </c>
      <c r="K166" s="88" t="str">
        <f t="shared" si="6"/>
        <v>Д</v>
      </c>
      <c r="L166" s="88" t="str">
        <f t="shared" si="7"/>
        <v>М</v>
      </c>
      <c r="M166" s="89" t="str">
        <f t="shared" si="8"/>
        <v>Технология, организация и экономика строительства</v>
      </c>
      <c r="N166" s="89" t="s">
        <v>301</v>
      </c>
    </row>
    <row r="167" spans="1:14" customFormat="1" ht="30" hidden="1" customHeight="1" x14ac:dyDescent="0.25">
      <c r="A167" s="62" t="s">
        <v>677</v>
      </c>
      <c r="B167" s="84" t="s">
        <v>671</v>
      </c>
      <c r="C167" s="85" t="s">
        <v>295</v>
      </c>
      <c r="D167" s="85" t="s">
        <v>296</v>
      </c>
      <c r="E167" s="84" t="s">
        <v>330</v>
      </c>
      <c r="F167" s="86" t="s">
        <v>331</v>
      </c>
      <c r="G167" s="87" t="s">
        <v>585</v>
      </c>
      <c r="H167" s="87" t="s">
        <v>678</v>
      </c>
      <c r="I167" s="87"/>
      <c r="J167" s="87" t="s">
        <v>553</v>
      </c>
      <c r="K167" s="88" t="str">
        <f t="shared" si="6"/>
        <v>Д</v>
      </c>
      <c r="L167" s="88" t="str">
        <f t="shared" si="7"/>
        <v>М</v>
      </c>
      <c r="M167" s="89" t="str">
        <f t="shared" si="8"/>
        <v>Проектирование зданий и специальных сооружений</v>
      </c>
      <c r="N167" s="89" t="s">
        <v>301</v>
      </c>
    </row>
    <row r="168" spans="1:14" customFormat="1" ht="30" hidden="1" customHeight="1" x14ac:dyDescent="0.25">
      <c r="A168" s="62" t="s">
        <v>679</v>
      </c>
      <c r="B168" s="84" t="s">
        <v>671</v>
      </c>
      <c r="C168" s="85" t="s">
        <v>295</v>
      </c>
      <c r="D168" s="85" t="s">
        <v>296</v>
      </c>
      <c r="E168" s="84" t="s">
        <v>330</v>
      </c>
      <c r="F168" s="86" t="s">
        <v>331</v>
      </c>
      <c r="G168" s="87" t="s">
        <v>585</v>
      </c>
      <c r="H168" s="87" t="s">
        <v>680</v>
      </c>
      <c r="I168" s="87" t="s">
        <v>512</v>
      </c>
      <c r="J168" s="87" t="s">
        <v>553</v>
      </c>
      <c r="K168" s="88" t="str">
        <f t="shared" si="6"/>
        <v>Д</v>
      </c>
      <c r="L168" s="88" t="str">
        <f t="shared" si="7"/>
        <v>М</v>
      </c>
      <c r="M168" s="89" t="str">
        <f t="shared" si="8"/>
        <v>Инновационные и энергосберегающие технологии в строительстве (Вуз-партнёр – Южно-Казахстанский государственный университет им. М.Ауэзова)</v>
      </c>
      <c r="N168" s="89" t="s">
        <v>301</v>
      </c>
    </row>
    <row r="169" spans="1:14" customFormat="1" ht="30" hidden="1" customHeight="1" x14ac:dyDescent="0.25">
      <c r="A169" s="62" t="s">
        <v>681</v>
      </c>
      <c r="B169" s="84" t="s">
        <v>671</v>
      </c>
      <c r="C169" s="85" t="s">
        <v>295</v>
      </c>
      <c r="D169" s="85" t="s">
        <v>296</v>
      </c>
      <c r="E169" s="84" t="s">
        <v>330</v>
      </c>
      <c r="F169" s="86" t="s">
        <v>331</v>
      </c>
      <c r="G169" s="87" t="s">
        <v>585</v>
      </c>
      <c r="H169" s="87" t="s">
        <v>682</v>
      </c>
      <c r="I169" s="87"/>
      <c r="J169" s="87" t="s">
        <v>553</v>
      </c>
      <c r="K169" s="88" t="str">
        <f t="shared" si="6"/>
        <v>Д</v>
      </c>
      <c r="L169" s="88" t="str">
        <f t="shared" si="7"/>
        <v>М</v>
      </c>
      <c r="M169" s="89" t="str">
        <f t="shared" si="8"/>
        <v>Искусственный интеллект в строительстве</v>
      </c>
      <c r="N169" s="89" t="s">
        <v>301</v>
      </c>
    </row>
    <row r="170" spans="1:14" customFormat="1" ht="30" hidden="1" customHeight="1" x14ac:dyDescent="0.25">
      <c r="A170" s="62" t="s">
        <v>683</v>
      </c>
      <c r="B170" s="84" t="s">
        <v>684</v>
      </c>
      <c r="C170" s="85" t="s">
        <v>295</v>
      </c>
      <c r="D170" s="85" t="s">
        <v>296</v>
      </c>
      <c r="E170" s="84" t="s">
        <v>330</v>
      </c>
      <c r="F170" s="86" t="s">
        <v>331</v>
      </c>
      <c r="G170" s="87" t="s">
        <v>588</v>
      </c>
      <c r="H170" s="87" t="s">
        <v>685</v>
      </c>
      <c r="I170" s="87"/>
      <c r="J170" s="87" t="s">
        <v>553</v>
      </c>
      <c r="K170" s="88" t="str">
        <f t="shared" si="6"/>
        <v>Д</v>
      </c>
      <c r="L170" s="88" t="str">
        <f t="shared" si="7"/>
        <v>М</v>
      </c>
      <c r="M170" s="89" t="str">
        <f t="shared" si="8"/>
        <v>Интеллектуальные энергетические системы</v>
      </c>
      <c r="N170" s="89" t="s">
        <v>301</v>
      </c>
    </row>
    <row r="171" spans="1:14" customFormat="1" ht="30" hidden="1" customHeight="1" x14ac:dyDescent="0.25">
      <c r="A171" s="62" t="s">
        <v>686</v>
      </c>
      <c r="B171" s="84" t="s">
        <v>684</v>
      </c>
      <c r="C171" s="85" t="s">
        <v>295</v>
      </c>
      <c r="D171" s="85" t="s">
        <v>304</v>
      </c>
      <c r="E171" s="84" t="s">
        <v>330</v>
      </c>
      <c r="F171" s="86" t="s">
        <v>331</v>
      </c>
      <c r="G171" s="87" t="s">
        <v>588</v>
      </c>
      <c r="H171" s="87" t="s">
        <v>687</v>
      </c>
      <c r="I171" s="87"/>
      <c r="J171" s="87" t="s">
        <v>553</v>
      </c>
      <c r="K171" s="88" t="str">
        <f t="shared" si="6"/>
        <v>Д</v>
      </c>
      <c r="L171" s="88" t="str">
        <f t="shared" si="7"/>
        <v>М</v>
      </c>
      <c r="M171" s="89" t="str">
        <f t="shared" si="8"/>
        <v>Машиностроение [язык реализации –Английский]</v>
      </c>
      <c r="N171" s="89" t="s">
        <v>301</v>
      </c>
    </row>
    <row r="172" spans="1:14" customFormat="1" ht="30" hidden="1" customHeight="1" x14ac:dyDescent="0.25">
      <c r="A172" s="62" t="s">
        <v>688</v>
      </c>
      <c r="B172" s="84" t="s">
        <v>684</v>
      </c>
      <c r="C172" s="85" t="s">
        <v>295</v>
      </c>
      <c r="D172" s="85" t="s">
        <v>296</v>
      </c>
      <c r="E172" s="84" t="s">
        <v>330</v>
      </c>
      <c r="F172" s="86" t="s">
        <v>331</v>
      </c>
      <c r="G172" s="87" t="s">
        <v>588</v>
      </c>
      <c r="H172" s="87" t="s">
        <v>689</v>
      </c>
      <c r="I172" s="87"/>
      <c r="J172" s="87" t="s">
        <v>553</v>
      </c>
      <c r="K172" s="88" t="str">
        <f t="shared" si="6"/>
        <v>Д</v>
      </c>
      <c r="L172" s="88" t="str">
        <f t="shared" si="7"/>
        <v>М</v>
      </c>
      <c r="M172" s="89" t="str">
        <f t="shared" si="8"/>
        <v>Эксплуатация оборудования энергетических систем</v>
      </c>
      <c r="N172" s="89" t="s">
        <v>301</v>
      </c>
    </row>
    <row r="173" spans="1:14" customFormat="1" ht="30" hidden="1" customHeight="1" x14ac:dyDescent="0.25">
      <c r="A173" s="62" t="s">
        <v>690</v>
      </c>
      <c r="B173" s="84" t="s">
        <v>691</v>
      </c>
      <c r="C173" s="85" t="s">
        <v>295</v>
      </c>
      <c r="D173" s="85" t="s">
        <v>296</v>
      </c>
      <c r="E173" s="84" t="s">
        <v>330</v>
      </c>
      <c r="F173" s="86" t="s">
        <v>331</v>
      </c>
      <c r="G173" s="87" t="s">
        <v>593</v>
      </c>
      <c r="H173" s="87" t="s">
        <v>692</v>
      </c>
      <c r="I173" s="87"/>
      <c r="J173" s="87" t="s">
        <v>553</v>
      </c>
      <c r="K173" s="88" t="str">
        <f t="shared" si="6"/>
        <v>Д</v>
      </c>
      <c r="L173" s="88" t="str">
        <f t="shared" si="7"/>
        <v>М</v>
      </c>
      <c r="M173" s="89" t="str">
        <f t="shared" si="8"/>
        <v>Технологии машиностроения и автоматизации производства</v>
      </c>
      <c r="N173" s="89" t="s">
        <v>301</v>
      </c>
    </row>
    <row r="174" spans="1:14" customFormat="1" ht="30" hidden="1" customHeight="1" x14ac:dyDescent="0.25">
      <c r="A174" s="62" t="s">
        <v>693</v>
      </c>
      <c r="B174" s="84" t="s">
        <v>691</v>
      </c>
      <c r="C174" s="85" t="s">
        <v>295</v>
      </c>
      <c r="D174" s="85" t="s">
        <v>296</v>
      </c>
      <c r="E174" s="84" t="s">
        <v>330</v>
      </c>
      <c r="F174" s="86" t="s">
        <v>331</v>
      </c>
      <c r="G174" s="87" t="s">
        <v>593</v>
      </c>
      <c r="H174" s="87" t="s">
        <v>694</v>
      </c>
      <c r="I174" s="87"/>
      <c r="J174" s="87" t="s">
        <v>553</v>
      </c>
      <c r="K174" s="88" t="str">
        <f t="shared" si="6"/>
        <v>Д</v>
      </c>
      <c r="L174" s="88" t="str">
        <f t="shared" si="7"/>
        <v>М</v>
      </c>
      <c r="M174" s="89" t="str">
        <f t="shared" si="8"/>
        <v>Проектирование энергетических установок</v>
      </c>
      <c r="N174" s="89" t="s">
        <v>301</v>
      </c>
    </row>
    <row r="175" spans="1:14" customFormat="1" ht="30" hidden="1" customHeight="1" x14ac:dyDescent="0.25">
      <c r="A175" s="62" t="s">
        <v>695</v>
      </c>
      <c r="B175" s="84" t="s">
        <v>691</v>
      </c>
      <c r="C175" s="85" t="s">
        <v>295</v>
      </c>
      <c r="D175" s="85" t="s">
        <v>296</v>
      </c>
      <c r="E175" s="84" t="s">
        <v>330</v>
      </c>
      <c r="F175" s="86" t="s">
        <v>331</v>
      </c>
      <c r="G175" s="87" t="s">
        <v>593</v>
      </c>
      <c r="H175" s="87" t="s">
        <v>696</v>
      </c>
      <c r="I175" s="87"/>
      <c r="J175" s="87" t="s">
        <v>553</v>
      </c>
      <c r="K175" s="88" t="str">
        <f t="shared" si="6"/>
        <v>Д</v>
      </c>
      <c r="L175" s="88" t="str">
        <f t="shared" si="7"/>
        <v>М</v>
      </c>
      <c r="M175" s="89" t="str">
        <f t="shared" si="8"/>
        <v>Интеллектуальное машиностроительное проектирование и производство</v>
      </c>
      <c r="N175" s="89" t="s">
        <v>301</v>
      </c>
    </row>
    <row r="176" spans="1:14" customFormat="1" ht="30" hidden="1" customHeight="1" x14ac:dyDescent="0.25">
      <c r="A176" s="62" t="s">
        <v>697</v>
      </c>
      <c r="B176" s="84" t="s">
        <v>698</v>
      </c>
      <c r="C176" s="85" t="s">
        <v>295</v>
      </c>
      <c r="D176" s="85" t="s">
        <v>304</v>
      </c>
      <c r="E176" s="84" t="s">
        <v>330</v>
      </c>
      <c r="F176" s="86" t="s">
        <v>331</v>
      </c>
      <c r="G176" s="87" t="s">
        <v>598</v>
      </c>
      <c r="H176" s="87" t="s">
        <v>699</v>
      </c>
      <c r="I176" s="87"/>
      <c r="J176" s="87" t="s">
        <v>553</v>
      </c>
      <c r="K176" s="88" t="str">
        <f t="shared" si="6"/>
        <v>Д</v>
      </c>
      <c r="L176" s="88" t="str">
        <f t="shared" si="7"/>
        <v>М</v>
      </c>
      <c r="M176" s="89" t="str">
        <f t="shared" si="8"/>
        <v>Технологии добычи и транспортировки нефти и газа [язык реализации –Английский]</v>
      </c>
      <c r="N176" s="89" t="s">
        <v>301</v>
      </c>
    </row>
    <row r="177" spans="1:14" customFormat="1" ht="30" hidden="1" customHeight="1" x14ac:dyDescent="0.25">
      <c r="A177" s="62" t="s">
        <v>700</v>
      </c>
      <c r="B177" s="84" t="s">
        <v>698</v>
      </c>
      <c r="C177" s="85" t="s">
        <v>295</v>
      </c>
      <c r="D177" s="85" t="s">
        <v>296</v>
      </c>
      <c r="E177" s="84" t="s">
        <v>330</v>
      </c>
      <c r="F177" s="86" t="s">
        <v>331</v>
      </c>
      <c r="G177" s="87" t="s">
        <v>598</v>
      </c>
      <c r="H177" s="87" t="s">
        <v>701</v>
      </c>
      <c r="I177" s="87"/>
      <c r="J177" s="87" t="s">
        <v>553</v>
      </c>
      <c r="K177" s="88" t="str">
        <f t="shared" si="6"/>
        <v>Д</v>
      </c>
      <c r="L177" s="88" t="str">
        <f t="shared" si="7"/>
        <v>М</v>
      </c>
      <c r="M177" s="89" t="str">
        <f t="shared" si="8"/>
        <v>Технологии добычи, транспортировки и переработки нефти и газа</v>
      </c>
      <c r="N177" s="89" t="s">
        <v>301</v>
      </c>
    </row>
    <row r="178" spans="1:14" customFormat="1" ht="30" hidden="1" customHeight="1" x14ac:dyDescent="0.25">
      <c r="A178" s="62" t="s">
        <v>702</v>
      </c>
      <c r="B178" s="84" t="s">
        <v>698</v>
      </c>
      <c r="C178" s="85" t="s">
        <v>295</v>
      </c>
      <c r="D178" s="85" t="s">
        <v>296</v>
      </c>
      <c r="E178" s="84" t="s">
        <v>330</v>
      </c>
      <c r="F178" s="86" t="s">
        <v>331</v>
      </c>
      <c r="G178" s="87" t="s">
        <v>598</v>
      </c>
      <c r="H178" s="87" t="s">
        <v>703</v>
      </c>
      <c r="I178" s="87"/>
      <c r="J178" s="87" t="s">
        <v>553</v>
      </c>
      <c r="K178" s="88" t="str">
        <f t="shared" si="6"/>
        <v>Д</v>
      </c>
      <c r="L178" s="88" t="str">
        <f t="shared" si="7"/>
        <v>М</v>
      </c>
      <c r="M178" s="89" t="str">
        <f t="shared" si="8"/>
        <v>Искусственный интеллект в нефтегазовом деле</v>
      </c>
      <c r="N178" s="89" t="s">
        <v>301</v>
      </c>
    </row>
    <row r="179" spans="1:14" customFormat="1" ht="30" hidden="1" customHeight="1" x14ac:dyDescent="0.25">
      <c r="A179" s="62" t="s">
        <v>704</v>
      </c>
      <c r="B179" s="84" t="s">
        <v>705</v>
      </c>
      <c r="C179" s="85" t="s">
        <v>295</v>
      </c>
      <c r="D179" s="85" t="s">
        <v>296</v>
      </c>
      <c r="E179" s="84" t="s">
        <v>330</v>
      </c>
      <c r="F179" s="86" t="s">
        <v>331</v>
      </c>
      <c r="G179" s="87" t="s">
        <v>706</v>
      </c>
      <c r="H179" s="87" t="s">
        <v>707</v>
      </c>
      <c r="I179" s="87"/>
      <c r="J179" s="87" t="s">
        <v>553</v>
      </c>
      <c r="K179" s="88" t="str">
        <f t="shared" si="6"/>
        <v>Д</v>
      </c>
      <c r="L179" s="88" t="str">
        <f t="shared" si="7"/>
        <v>М</v>
      </c>
      <c r="M179" s="89" t="str">
        <f t="shared" si="8"/>
        <v>Современные конструкционные материалы</v>
      </c>
      <c r="N179" s="89" t="s">
        <v>301</v>
      </c>
    </row>
    <row r="180" spans="1:14" ht="30" hidden="1" customHeight="1" x14ac:dyDescent="0.25">
      <c r="A180" s="62" t="s">
        <v>708</v>
      </c>
      <c r="B180" s="84" t="s">
        <v>709</v>
      </c>
      <c r="C180" s="85" t="s">
        <v>295</v>
      </c>
      <c r="D180" s="85" t="s">
        <v>296</v>
      </c>
      <c r="E180" s="84" t="s">
        <v>330</v>
      </c>
      <c r="F180" s="86" t="s">
        <v>331</v>
      </c>
      <c r="G180" s="87" t="s">
        <v>710</v>
      </c>
      <c r="H180" s="87" t="s">
        <v>711</v>
      </c>
      <c r="I180" s="87"/>
      <c r="J180" s="87" t="s">
        <v>553</v>
      </c>
      <c r="K180" s="88" t="str">
        <f t="shared" si="6"/>
        <v>Д</v>
      </c>
      <c r="L180" s="88" t="str">
        <f t="shared" si="7"/>
        <v>М</v>
      </c>
      <c r="M180" s="89" t="str">
        <f t="shared" si="8"/>
        <v>Логистика в мультимодальных транспортных системах</v>
      </c>
      <c r="N180" s="89" t="s">
        <v>301</v>
      </c>
    </row>
    <row r="181" spans="1:14" ht="30" hidden="1" customHeight="1" x14ac:dyDescent="0.25">
      <c r="A181" s="62" t="s">
        <v>712</v>
      </c>
      <c r="B181" s="84" t="s">
        <v>713</v>
      </c>
      <c r="C181" s="85" t="s">
        <v>295</v>
      </c>
      <c r="D181" s="85" t="s">
        <v>296</v>
      </c>
      <c r="E181" s="84" t="s">
        <v>330</v>
      </c>
      <c r="F181" s="86" t="s">
        <v>331</v>
      </c>
      <c r="G181" s="87" t="s">
        <v>602</v>
      </c>
      <c r="H181" s="87" t="s">
        <v>714</v>
      </c>
      <c r="I181" s="87"/>
      <c r="J181" s="87" t="s">
        <v>553</v>
      </c>
      <c r="K181" s="88" t="str">
        <f t="shared" si="6"/>
        <v>Д</v>
      </c>
      <c r="L181" s="88" t="str">
        <f t="shared" si="7"/>
        <v>М</v>
      </c>
      <c r="M181" s="89" t="str">
        <f t="shared" si="8"/>
        <v>Эксплуатация и техническая экспертиза автотранспортных средств</v>
      </c>
      <c r="N181" s="89" t="s">
        <v>301</v>
      </c>
    </row>
    <row r="182" spans="1:14" ht="30" hidden="1" customHeight="1" x14ac:dyDescent="0.25">
      <c r="A182" s="62" t="s">
        <v>715</v>
      </c>
      <c r="B182" s="84" t="s">
        <v>713</v>
      </c>
      <c r="C182" s="85" t="s">
        <v>295</v>
      </c>
      <c r="D182" s="85" t="s">
        <v>296</v>
      </c>
      <c r="E182" s="84" t="s">
        <v>330</v>
      </c>
      <c r="F182" s="86" t="s">
        <v>331</v>
      </c>
      <c r="G182" s="87" t="s">
        <v>602</v>
      </c>
      <c r="H182" s="87" t="s">
        <v>716</v>
      </c>
      <c r="I182" s="87"/>
      <c r="J182" s="87" t="s">
        <v>553</v>
      </c>
      <c r="K182" s="88" t="str">
        <f t="shared" si="6"/>
        <v>Д</v>
      </c>
      <c r="L182" s="88" t="str">
        <f t="shared" si="7"/>
        <v>М</v>
      </c>
      <c r="M182" s="89" t="str">
        <f t="shared" si="8"/>
        <v>Интеллектуальные транспортные системы</v>
      </c>
      <c r="N182" s="89" t="s">
        <v>301</v>
      </c>
    </row>
    <row r="183" spans="1:14" ht="30" hidden="1" customHeight="1" x14ac:dyDescent="0.25">
      <c r="A183" s="62" t="s">
        <v>717</v>
      </c>
      <c r="B183" s="84" t="s">
        <v>471</v>
      </c>
      <c r="C183" s="85" t="s">
        <v>295</v>
      </c>
      <c r="D183" s="85" t="s">
        <v>296</v>
      </c>
      <c r="E183" s="84" t="s">
        <v>330</v>
      </c>
      <c r="F183" s="86" t="s">
        <v>331</v>
      </c>
      <c r="G183" s="87" t="s">
        <v>472</v>
      </c>
      <c r="H183" s="87" t="s">
        <v>718</v>
      </c>
      <c r="I183" s="87"/>
      <c r="J183" s="87" t="s">
        <v>553</v>
      </c>
      <c r="K183" s="88" t="str">
        <f t="shared" si="6"/>
        <v>Д</v>
      </c>
      <c r="L183" s="88" t="str">
        <f t="shared" si="7"/>
        <v>М</v>
      </c>
      <c r="M183" s="89" t="str">
        <f t="shared" si="8"/>
        <v>Искусственный интеллект и робототехнические системы</v>
      </c>
      <c r="N183" s="89" t="s">
        <v>301</v>
      </c>
    </row>
    <row r="184" spans="1:14" ht="30" hidden="1" customHeight="1" x14ac:dyDescent="0.25">
      <c r="A184" s="62" t="s">
        <v>719</v>
      </c>
      <c r="B184" s="84" t="s">
        <v>471</v>
      </c>
      <c r="C184" s="85" t="s">
        <v>295</v>
      </c>
      <c r="D184" s="85" t="s">
        <v>304</v>
      </c>
      <c r="E184" s="84" t="s">
        <v>330</v>
      </c>
      <c r="F184" s="86" t="s">
        <v>331</v>
      </c>
      <c r="G184" s="87" t="s">
        <v>472</v>
      </c>
      <c r="H184" s="87" t="s">
        <v>720</v>
      </c>
      <c r="I184" s="87"/>
      <c r="J184" s="87" t="s">
        <v>553</v>
      </c>
      <c r="K184" s="88" t="str">
        <f t="shared" si="6"/>
        <v>Д</v>
      </c>
      <c r="L184" s="88" t="str">
        <f t="shared" si="7"/>
        <v>М</v>
      </c>
      <c r="M184" s="89" t="str">
        <f t="shared" si="8"/>
        <v>Data Science и космическая инженерия [язык реализации –Английский]</v>
      </c>
      <c r="N184" s="89" t="s">
        <v>301</v>
      </c>
    </row>
    <row r="185" spans="1:14" ht="30" hidden="1" customHeight="1" x14ac:dyDescent="0.25">
      <c r="A185" s="62" t="s">
        <v>721</v>
      </c>
      <c r="B185" s="84" t="s">
        <v>471</v>
      </c>
      <c r="C185" s="85" t="s">
        <v>295</v>
      </c>
      <c r="D185" s="85" t="s">
        <v>304</v>
      </c>
      <c r="E185" s="84" t="s">
        <v>330</v>
      </c>
      <c r="F185" s="86" t="s">
        <v>331</v>
      </c>
      <c r="G185" s="87" t="s">
        <v>472</v>
      </c>
      <c r="H185" s="87" t="s">
        <v>722</v>
      </c>
      <c r="I185" s="87" t="s">
        <v>723</v>
      </c>
      <c r="J185" s="87" t="s">
        <v>553</v>
      </c>
      <c r="K185" s="88" t="str">
        <f t="shared" si="6"/>
        <v>Д</v>
      </c>
      <c r="L185" s="88" t="str">
        <f t="shared" si="7"/>
        <v>М</v>
      </c>
      <c r="M185" s="89" t="str">
        <f t="shared" si="8"/>
        <v>Искусственный интеллект, машинное обучение и космические науки (Вуз-партнёр – Университет Симбиозис Интернешнл)</v>
      </c>
      <c r="N185" s="89" t="s">
        <v>301</v>
      </c>
    </row>
    <row r="186" spans="1:14" ht="30" hidden="1" customHeight="1" x14ac:dyDescent="0.25">
      <c r="A186" s="62" t="s">
        <v>724</v>
      </c>
      <c r="B186" s="84" t="s">
        <v>471</v>
      </c>
      <c r="C186" s="85" t="s">
        <v>295</v>
      </c>
      <c r="D186" s="85" t="s">
        <v>304</v>
      </c>
      <c r="E186" s="84" t="s">
        <v>330</v>
      </c>
      <c r="F186" s="86" t="s">
        <v>331</v>
      </c>
      <c r="G186" s="87" t="s">
        <v>472</v>
      </c>
      <c r="H186" s="87" t="s">
        <v>722</v>
      </c>
      <c r="I186" s="87" t="s">
        <v>725</v>
      </c>
      <c r="J186" s="87" t="s">
        <v>553</v>
      </c>
      <c r="K186" s="88" t="str">
        <f t="shared" si="6"/>
        <v>Д</v>
      </c>
      <c r="L186" s="88" t="str">
        <f t="shared" si="7"/>
        <v>М</v>
      </c>
      <c r="M186" s="89" t="str">
        <f t="shared" si="8"/>
        <v>Искусственный интеллект, машинное обучение и космические науки (Вуз-партнёр – Университет Грегори в Утуру)</v>
      </c>
      <c r="N186" s="89" t="s">
        <v>301</v>
      </c>
    </row>
    <row r="187" spans="1:14" ht="30" hidden="1" customHeight="1" x14ac:dyDescent="0.25">
      <c r="A187" s="62" t="s">
        <v>726</v>
      </c>
      <c r="B187" s="84" t="s">
        <v>471</v>
      </c>
      <c r="C187" s="85" t="s">
        <v>295</v>
      </c>
      <c r="D187" s="85" t="s">
        <v>304</v>
      </c>
      <c r="E187" s="84" t="s">
        <v>330</v>
      </c>
      <c r="F187" s="86" t="s">
        <v>331</v>
      </c>
      <c r="G187" s="87" t="s">
        <v>472</v>
      </c>
      <c r="H187" s="87" t="s">
        <v>722</v>
      </c>
      <c r="I187" s="87"/>
      <c r="J187" s="87" t="s">
        <v>553</v>
      </c>
      <c r="K187" s="88" t="str">
        <f t="shared" si="6"/>
        <v>Д</v>
      </c>
      <c r="L187" s="88" t="str">
        <f t="shared" si="7"/>
        <v>М</v>
      </c>
      <c r="M187" s="89" t="str">
        <f t="shared" si="8"/>
        <v>Искусственный интеллект, машинное обучение и космические науки [язык реализации –Английский]</v>
      </c>
      <c r="N187" s="89" t="s">
        <v>301</v>
      </c>
    </row>
    <row r="188" spans="1:14" ht="30" hidden="1" customHeight="1" x14ac:dyDescent="0.25">
      <c r="A188" s="62" t="s">
        <v>727</v>
      </c>
      <c r="B188" s="84" t="s">
        <v>471</v>
      </c>
      <c r="C188" s="85" t="s">
        <v>295</v>
      </c>
      <c r="D188" s="85" t="s">
        <v>296</v>
      </c>
      <c r="E188" s="84" t="s">
        <v>330</v>
      </c>
      <c r="F188" s="86" t="s">
        <v>331</v>
      </c>
      <c r="G188" s="87" t="s">
        <v>472</v>
      </c>
      <c r="H188" s="87" t="s">
        <v>643</v>
      </c>
      <c r="I188" s="87"/>
      <c r="J188" s="87" t="s">
        <v>553</v>
      </c>
      <c r="K188" s="88" t="str">
        <f t="shared" si="6"/>
        <v>Д</v>
      </c>
      <c r="L188" s="88" t="str">
        <f t="shared" si="7"/>
        <v>М</v>
      </c>
      <c r="M188" s="89" t="str">
        <f t="shared" si="8"/>
        <v>Анализ больших данных и технологии защиты информации</v>
      </c>
      <c r="N188" s="89" t="s">
        <v>301</v>
      </c>
    </row>
    <row r="189" spans="1:14" customFormat="1" ht="30" hidden="1" customHeight="1" x14ac:dyDescent="0.25">
      <c r="A189" s="62" t="s">
        <v>728</v>
      </c>
      <c r="B189" s="84" t="s">
        <v>471</v>
      </c>
      <c r="C189" s="85" t="s">
        <v>295</v>
      </c>
      <c r="D189" s="85" t="s">
        <v>296</v>
      </c>
      <c r="E189" s="84" t="s">
        <v>330</v>
      </c>
      <c r="F189" s="86" t="s">
        <v>331</v>
      </c>
      <c r="G189" s="87" t="s">
        <v>472</v>
      </c>
      <c r="H189" s="87" t="s">
        <v>682</v>
      </c>
      <c r="I189" s="87"/>
      <c r="J189" s="87" t="s">
        <v>553</v>
      </c>
      <c r="K189" s="88" t="str">
        <f t="shared" si="6"/>
        <v>Д</v>
      </c>
      <c r="L189" s="88" t="str">
        <f t="shared" si="7"/>
        <v>М</v>
      </c>
      <c r="M189" s="89" t="str">
        <f t="shared" si="8"/>
        <v>Искусственный интеллект в строительстве</v>
      </c>
      <c r="N189" s="89" t="s">
        <v>301</v>
      </c>
    </row>
    <row r="190" spans="1:14" customFormat="1" ht="30" hidden="1" customHeight="1" x14ac:dyDescent="0.25">
      <c r="A190" s="62" t="s">
        <v>729</v>
      </c>
      <c r="B190" s="84" t="s">
        <v>471</v>
      </c>
      <c r="C190" s="85" t="s">
        <v>295</v>
      </c>
      <c r="D190" s="85" t="s">
        <v>296</v>
      </c>
      <c r="E190" s="84" t="s">
        <v>330</v>
      </c>
      <c r="F190" s="86" t="s">
        <v>331</v>
      </c>
      <c r="G190" s="87" t="s">
        <v>472</v>
      </c>
      <c r="H190" s="87" t="s">
        <v>685</v>
      </c>
      <c r="I190" s="87"/>
      <c r="J190" s="87" t="s">
        <v>553</v>
      </c>
      <c r="K190" s="88" t="str">
        <f t="shared" si="6"/>
        <v>Д</v>
      </c>
      <c r="L190" s="88" t="str">
        <f t="shared" si="7"/>
        <v>М</v>
      </c>
      <c r="M190" s="89" t="str">
        <f t="shared" si="8"/>
        <v>Интеллектуальные энергетические системы</v>
      </c>
      <c r="N190" s="89" t="s">
        <v>301</v>
      </c>
    </row>
    <row r="191" spans="1:14" ht="30" hidden="1" customHeight="1" x14ac:dyDescent="0.25">
      <c r="A191" s="62" t="s">
        <v>730</v>
      </c>
      <c r="B191" s="84" t="s">
        <v>471</v>
      </c>
      <c r="C191" s="85" t="s">
        <v>295</v>
      </c>
      <c r="D191" s="85" t="s">
        <v>296</v>
      </c>
      <c r="E191" s="84" t="s">
        <v>330</v>
      </c>
      <c r="F191" s="86" t="s">
        <v>331</v>
      </c>
      <c r="G191" s="87" t="s">
        <v>472</v>
      </c>
      <c r="H191" s="87" t="s">
        <v>731</v>
      </c>
      <c r="I191" s="87"/>
      <c r="J191" s="87" t="s">
        <v>553</v>
      </c>
      <c r="K191" s="88" t="str">
        <f t="shared" si="6"/>
        <v>Д</v>
      </c>
      <c r="L191" s="88" t="str">
        <f t="shared" si="7"/>
        <v>М</v>
      </c>
      <c r="M191" s="89" t="str">
        <f t="shared" si="8"/>
        <v>Искусственный интеллект в управлении инновационными проектами в промышленности</v>
      </c>
      <c r="N191" s="89" t="s">
        <v>301</v>
      </c>
    </row>
    <row r="192" spans="1:14" customFormat="1" ht="30" hidden="1" customHeight="1" x14ac:dyDescent="0.25">
      <c r="A192" s="62" t="s">
        <v>732</v>
      </c>
      <c r="B192" s="84" t="s">
        <v>471</v>
      </c>
      <c r="C192" s="85" t="s">
        <v>295</v>
      </c>
      <c r="D192" s="85" t="s">
        <v>296</v>
      </c>
      <c r="E192" s="84" t="s">
        <v>330</v>
      </c>
      <c r="F192" s="86" t="s">
        <v>331</v>
      </c>
      <c r="G192" s="87" t="s">
        <v>472</v>
      </c>
      <c r="H192" s="87" t="s">
        <v>703</v>
      </c>
      <c r="I192" s="87"/>
      <c r="J192" s="87" t="s">
        <v>553</v>
      </c>
      <c r="K192" s="88" t="str">
        <f t="shared" si="6"/>
        <v>Д</v>
      </c>
      <c r="L192" s="88" t="str">
        <f t="shared" si="7"/>
        <v>М</v>
      </c>
      <c r="M192" s="89" t="str">
        <f t="shared" si="8"/>
        <v>Искусственный интеллект в нефтегазовом деле</v>
      </c>
      <c r="N192" s="89" t="s">
        <v>301</v>
      </c>
    </row>
    <row r="193" spans="1:14" ht="30" hidden="1" customHeight="1" x14ac:dyDescent="0.25">
      <c r="A193" s="62" t="s">
        <v>733</v>
      </c>
      <c r="B193" s="84" t="s">
        <v>471</v>
      </c>
      <c r="C193" s="85" t="s">
        <v>295</v>
      </c>
      <c r="D193" s="85" t="s">
        <v>296</v>
      </c>
      <c r="E193" s="84" t="s">
        <v>330</v>
      </c>
      <c r="F193" s="86" t="s">
        <v>331</v>
      </c>
      <c r="G193" s="87" t="s">
        <v>472</v>
      </c>
      <c r="H193" s="87" t="s">
        <v>656</v>
      </c>
      <c r="I193" s="87"/>
      <c r="J193" s="87" t="s">
        <v>553</v>
      </c>
      <c r="K193" s="88" t="str">
        <f t="shared" si="6"/>
        <v>Д</v>
      </c>
      <c r="L193" s="88" t="str">
        <f t="shared" si="7"/>
        <v>М</v>
      </c>
      <c r="M193" s="89" t="str">
        <f t="shared" si="8"/>
        <v>Искусственный интеллект в геологоразведке и добыче полезных ископаемых</v>
      </c>
      <c r="N193" s="89" t="s">
        <v>301</v>
      </c>
    </row>
    <row r="194" spans="1:14" ht="30" hidden="1" customHeight="1" x14ac:dyDescent="0.25">
      <c r="A194" s="62" t="s">
        <v>734</v>
      </c>
      <c r="B194" s="84" t="s">
        <v>471</v>
      </c>
      <c r="C194" s="85" t="s">
        <v>295</v>
      </c>
      <c r="D194" s="85" t="s">
        <v>296</v>
      </c>
      <c r="E194" s="84" t="s">
        <v>330</v>
      </c>
      <c r="F194" s="86" t="s">
        <v>331</v>
      </c>
      <c r="G194" s="87" t="s">
        <v>472</v>
      </c>
      <c r="H194" s="87" t="s">
        <v>661</v>
      </c>
      <c r="I194" s="87"/>
      <c r="J194" s="87" t="s">
        <v>553</v>
      </c>
      <c r="K194" s="88" t="str">
        <f t="shared" si="6"/>
        <v>Д</v>
      </c>
      <c r="L194" s="88" t="str">
        <f t="shared" si="7"/>
        <v>М</v>
      </c>
      <c r="M194" s="89" t="str">
        <f t="shared" si="8"/>
        <v>Технологии интеллектуального архитектурного проектирования</v>
      </c>
      <c r="N194" s="89" t="s">
        <v>301</v>
      </c>
    </row>
    <row r="195" spans="1:14" ht="30" hidden="1" customHeight="1" x14ac:dyDescent="0.25">
      <c r="A195" s="62" t="s">
        <v>735</v>
      </c>
      <c r="B195" s="84" t="s">
        <v>471</v>
      </c>
      <c r="C195" s="85" t="s">
        <v>295</v>
      </c>
      <c r="D195" s="85" t="s">
        <v>296</v>
      </c>
      <c r="E195" s="84" t="s">
        <v>330</v>
      </c>
      <c r="F195" s="86" t="s">
        <v>331</v>
      </c>
      <c r="G195" s="87" t="s">
        <v>472</v>
      </c>
      <c r="H195" s="87" t="s">
        <v>716</v>
      </c>
      <c r="I195" s="87"/>
      <c r="J195" s="87" t="s">
        <v>553</v>
      </c>
      <c r="K195" s="88" t="str">
        <f t="shared" ref="K195:K258" si="9">IF(C195="очная","Д",IF(C195="Очно-заочная","В",IF(C195="Заочная","З","-")))</f>
        <v>Д</v>
      </c>
      <c r="L195" s="88" t="str">
        <f t="shared" ref="L195:L258" si="10">IF(N195="да","ЦМ",LEFT(F195,1))</f>
        <v>М</v>
      </c>
      <c r="M195" s="89" t="str">
        <f t="shared" ref="M195:M258" si="11">CONCATENATE(H195,IF(I195&gt;0,CONCATENATE(" (Вуз-партнёр – ",I195,")"),IF(D195=$D$3,"",CONCATENATE(" [язык реализации –",D195,"]"))))</f>
        <v>Интеллектуальные транспортные системы</v>
      </c>
      <c r="N195" s="89" t="s">
        <v>301</v>
      </c>
    </row>
    <row r="196" spans="1:14" ht="30" hidden="1" customHeight="1" x14ac:dyDescent="0.25">
      <c r="A196" s="62" t="s">
        <v>736</v>
      </c>
      <c r="B196" s="84" t="s">
        <v>471</v>
      </c>
      <c r="C196" s="85" t="s">
        <v>295</v>
      </c>
      <c r="D196" s="85" t="s">
        <v>296</v>
      </c>
      <c r="E196" s="84" t="s">
        <v>330</v>
      </c>
      <c r="F196" s="86" t="s">
        <v>331</v>
      </c>
      <c r="G196" s="87" t="s">
        <v>472</v>
      </c>
      <c r="H196" s="87" t="s">
        <v>737</v>
      </c>
      <c r="I196" s="87"/>
      <c r="J196" s="87" t="s">
        <v>553</v>
      </c>
      <c r="K196" s="88" t="str">
        <f t="shared" si="9"/>
        <v>Д</v>
      </c>
      <c r="L196" s="88" t="str">
        <f t="shared" si="10"/>
        <v>М</v>
      </c>
      <c r="M196" s="89" t="str">
        <f t="shared" si="11"/>
        <v>Нанотехнологии и искусственный интеллект</v>
      </c>
      <c r="N196" s="89" t="s">
        <v>301</v>
      </c>
    </row>
    <row r="197" spans="1:14" ht="30" hidden="1" customHeight="1" x14ac:dyDescent="0.25">
      <c r="A197" s="62" t="s">
        <v>738</v>
      </c>
      <c r="B197" s="84" t="s">
        <v>471</v>
      </c>
      <c r="C197" s="85" t="s">
        <v>295</v>
      </c>
      <c r="D197" s="85" t="s">
        <v>296</v>
      </c>
      <c r="E197" s="84" t="s">
        <v>330</v>
      </c>
      <c r="F197" s="86" t="s">
        <v>331</v>
      </c>
      <c r="G197" s="87" t="s">
        <v>472</v>
      </c>
      <c r="H197" s="87" t="s">
        <v>696</v>
      </c>
      <c r="I197" s="87"/>
      <c r="J197" s="87" t="s">
        <v>553</v>
      </c>
      <c r="K197" s="88" t="str">
        <f t="shared" si="9"/>
        <v>Д</v>
      </c>
      <c r="L197" s="88" t="str">
        <f t="shared" si="10"/>
        <v>М</v>
      </c>
      <c r="M197" s="89" t="str">
        <f t="shared" si="11"/>
        <v>Интеллектуальное машиностроительное проектирование и производство</v>
      </c>
      <c r="N197" s="89" t="s">
        <v>301</v>
      </c>
    </row>
    <row r="198" spans="1:14" ht="30" hidden="1" customHeight="1" x14ac:dyDescent="0.25">
      <c r="A198" s="62" t="s">
        <v>739</v>
      </c>
      <c r="B198" s="84" t="s">
        <v>740</v>
      </c>
      <c r="C198" s="85" t="s">
        <v>295</v>
      </c>
      <c r="D198" s="85" t="s">
        <v>296</v>
      </c>
      <c r="E198" s="84" t="s">
        <v>330</v>
      </c>
      <c r="F198" s="86" t="s">
        <v>331</v>
      </c>
      <c r="G198" s="87" t="s">
        <v>624</v>
      </c>
      <c r="H198" s="87" t="s">
        <v>731</v>
      </c>
      <c r="I198" s="87"/>
      <c r="J198" s="87" t="s">
        <v>553</v>
      </c>
      <c r="K198" s="88" t="str">
        <f t="shared" si="9"/>
        <v>Д</v>
      </c>
      <c r="L198" s="88" t="str">
        <f t="shared" si="10"/>
        <v>М</v>
      </c>
      <c r="M198" s="89" t="str">
        <f t="shared" si="11"/>
        <v>Искусственный интеллект в управлении инновационными проектами в промышленности</v>
      </c>
      <c r="N198" s="89" t="s">
        <v>301</v>
      </c>
    </row>
    <row r="199" spans="1:14" ht="30" hidden="1" customHeight="1" x14ac:dyDescent="0.25">
      <c r="A199" s="62" t="s">
        <v>741</v>
      </c>
      <c r="B199" s="84" t="s">
        <v>740</v>
      </c>
      <c r="C199" s="85" t="s">
        <v>295</v>
      </c>
      <c r="D199" s="85" t="s">
        <v>304</v>
      </c>
      <c r="E199" s="84" t="s">
        <v>330</v>
      </c>
      <c r="F199" s="86" t="s">
        <v>331</v>
      </c>
      <c r="G199" s="87" t="s">
        <v>624</v>
      </c>
      <c r="H199" s="87" t="s">
        <v>742</v>
      </c>
      <c r="I199" s="87"/>
      <c r="J199" s="87" t="s">
        <v>553</v>
      </c>
      <c r="K199" s="88" t="str">
        <f t="shared" si="9"/>
        <v>Д</v>
      </c>
      <c r="L199" s="88" t="str">
        <f t="shared" si="10"/>
        <v>М</v>
      </c>
      <c r="M199" s="89" t="str">
        <f t="shared" si="11"/>
        <v>Цифровая трансформация в управлении производством [язык реализации –Английский]</v>
      </c>
      <c r="N199" s="89" t="s">
        <v>301</v>
      </c>
    </row>
    <row r="200" spans="1:14" ht="30" hidden="1" customHeight="1" x14ac:dyDescent="0.25">
      <c r="A200" s="62" t="s">
        <v>743</v>
      </c>
      <c r="B200" s="84" t="s">
        <v>740</v>
      </c>
      <c r="C200" s="85" t="s">
        <v>295</v>
      </c>
      <c r="D200" s="85" t="s">
        <v>296</v>
      </c>
      <c r="E200" s="84" t="s">
        <v>330</v>
      </c>
      <c r="F200" s="86" t="s">
        <v>331</v>
      </c>
      <c r="G200" s="87" t="s">
        <v>624</v>
      </c>
      <c r="H200" s="87" t="s">
        <v>742</v>
      </c>
      <c r="I200" s="87"/>
      <c r="J200" s="87" t="s">
        <v>553</v>
      </c>
      <c r="K200" s="88" t="str">
        <f t="shared" si="9"/>
        <v>Д</v>
      </c>
      <c r="L200" s="88" t="str">
        <f t="shared" si="10"/>
        <v>М</v>
      </c>
      <c r="M200" s="89" t="str">
        <f t="shared" si="11"/>
        <v>Цифровая трансформация в управлении производством</v>
      </c>
      <c r="N200" s="89" t="s">
        <v>301</v>
      </c>
    </row>
    <row r="201" spans="1:14" ht="30" hidden="1" customHeight="1" x14ac:dyDescent="0.25">
      <c r="A201" s="62" t="s">
        <v>744</v>
      </c>
      <c r="B201" s="84" t="s">
        <v>745</v>
      </c>
      <c r="C201" s="85" t="s">
        <v>295</v>
      </c>
      <c r="D201" s="85" t="s">
        <v>296</v>
      </c>
      <c r="E201" s="84" t="s">
        <v>330</v>
      </c>
      <c r="F201" s="86" t="s">
        <v>331</v>
      </c>
      <c r="G201" s="87" t="s">
        <v>746</v>
      </c>
      <c r="H201" s="87" t="s">
        <v>747</v>
      </c>
      <c r="I201" s="87"/>
      <c r="J201" s="87" t="s">
        <v>553</v>
      </c>
      <c r="K201" s="88" t="str">
        <f t="shared" si="9"/>
        <v>Д</v>
      </c>
      <c r="L201" s="88" t="str">
        <f t="shared" si="10"/>
        <v>М</v>
      </c>
      <c r="M201" s="89" t="str">
        <f t="shared" si="11"/>
        <v>Инженерно-физические технологии в наноиндустрии</v>
      </c>
      <c r="N201" s="89" t="s">
        <v>301</v>
      </c>
    </row>
    <row r="202" spans="1:14" customFormat="1" ht="30" hidden="1" customHeight="1" x14ac:dyDescent="0.25">
      <c r="A202" s="62" t="s">
        <v>748</v>
      </c>
      <c r="B202" s="84" t="s">
        <v>745</v>
      </c>
      <c r="C202" s="85" t="s">
        <v>295</v>
      </c>
      <c r="D202" s="85" t="s">
        <v>296</v>
      </c>
      <c r="E202" s="84" t="s">
        <v>330</v>
      </c>
      <c r="F202" s="86" t="s">
        <v>331</v>
      </c>
      <c r="G202" s="87" t="s">
        <v>746</v>
      </c>
      <c r="H202" s="87" t="s">
        <v>747</v>
      </c>
      <c r="I202" s="87" t="s">
        <v>514</v>
      </c>
      <c r="J202" s="87" t="s">
        <v>553</v>
      </c>
      <c r="K202" s="88" t="str">
        <f t="shared" si="9"/>
        <v>Д</v>
      </c>
      <c r="L202" s="88" t="str">
        <f t="shared" si="10"/>
        <v>М</v>
      </c>
      <c r="M202" s="89" t="str">
        <f t="shared" si="11"/>
        <v>Инженерно-физические технологии в наноиндустрии (Вуз-партнёр – Евразийский национальный университет имени Л. Н. Гумилёва)</v>
      </c>
      <c r="N202" s="89" t="s">
        <v>301</v>
      </c>
    </row>
    <row r="203" spans="1:14" ht="30" hidden="1" customHeight="1" x14ac:dyDescent="0.25">
      <c r="A203" s="62" t="s">
        <v>749</v>
      </c>
      <c r="B203" s="84" t="s">
        <v>745</v>
      </c>
      <c r="C203" s="85" t="s">
        <v>295</v>
      </c>
      <c r="D203" s="85" t="s">
        <v>296</v>
      </c>
      <c r="E203" s="84" t="s">
        <v>330</v>
      </c>
      <c r="F203" s="86" t="s">
        <v>331</v>
      </c>
      <c r="G203" s="87" t="s">
        <v>746</v>
      </c>
      <c r="H203" s="87" t="s">
        <v>750</v>
      </c>
      <c r="I203" s="87" t="s">
        <v>516</v>
      </c>
      <c r="J203" s="87" t="s">
        <v>553</v>
      </c>
      <c r="K203" s="88" t="str">
        <f t="shared" si="9"/>
        <v>Д</v>
      </c>
      <c r="L203" s="88" t="str">
        <f t="shared" si="10"/>
        <v>М</v>
      </c>
      <c r="M203" s="89" t="str">
        <f t="shared" si="11"/>
        <v>Нанотехнологии (Вуз-партнёр – Казахский национальный университет им. Аль-Фараби)</v>
      </c>
      <c r="N203" s="89" t="s">
        <v>301</v>
      </c>
    </row>
    <row r="204" spans="1:14" ht="30" hidden="1" customHeight="1" x14ac:dyDescent="0.25">
      <c r="A204" s="62" t="s">
        <v>751</v>
      </c>
      <c r="B204" s="84" t="s">
        <v>745</v>
      </c>
      <c r="C204" s="85" t="s">
        <v>295</v>
      </c>
      <c r="D204" s="85" t="s">
        <v>296</v>
      </c>
      <c r="E204" s="84" t="s">
        <v>330</v>
      </c>
      <c r="F204" s="86" t="s">
        <v>331</v>
      </c>
      <c r="G204" s="87" t="s">
        <v>746</v>
      </c>
      <c r="H204" s="87" t="s">
        <v>752</v>
      </c>
      <c r="I204" s="87"/>
      <c r="J204" s="87" t="s">
        <v>553</v>
      </c>
      <c r="K204" s="88" t="str">
        <f t="shared" si="9"/>
        <v>Д</v>
      </c>
      <c r="L204" s="88" t="str">
        <f t="shared" si="10"/>
        <v>М</v>
      </c>
      <c r="M204" s="89" t="str">
        <f t="shared" si="11"/>
        <v>Новые материалы и технологии опто-, нано- и микроэлектроники</v>
      </c>
      <c r="N204" s="89" t="s">
        <v>301</v>
      </c>
    </row>
    <row r="205" spans="1:14" customFormat="1" ht="30" hidden="1" customHeight="1" x14ac:dyDescent="0.25">
      <c r="A205" s="62" t="s">
        <v>753</v>
      </c>
      <c r="B205" s="84" t="s">
        <v>745</v>
      </c>
      <c r="C205" s="85" t="s">
        <v>295</v>
      </c>
      <c r="D205" s="85" t="s">
        <v>296</v>
      </c>
      <c r="E205" s="84" t="s">
        <v>330</v>
      </c>
      <c r="F205" s="86" t="s">
        <v>331</v>
      </c>
      <c r="G205" s="87" t="s">
        <v>746</v>
      </c>
      <c r="H205" s="87" t="s">
        <v>737</v>
      </c>
      <c r="I205" s="87"/>
      <c r="J205" s="87" t="s">
        <v>553</v>
      </c>
      <c r="K205" s="88" t="str">
        <f t="shared" si="9"/>
        <v>Д</v>
      </c>
      <c r="L205" s="88" t="str">
        <f t="shared" si="10"/>
        <v>М</v>
      </c>
      <c r="M205" s="89" t="str">
        <f t="shared" si="11"/>
        <v>Нанотехнологии и искусственный интеллект</v>
      </c>
      <c r="N205" s="89" t="s">
        <v>301</v>
      </c>
    </row>
    <row r="206" spans="1:14" ht="30" hidden="1" customHeight="1" x14ac:dyDescent="0.25">
      <c r="A206" s="62" t="s">
        <v>754</v>
      </c>
      <c r="B206" s="84" t="s">
        <v>755</v>
      </c>
      <c r="C206" s="85" t="s">
        <v>295</v>
      </c>
      <c r="D206" s="85" t="s">
        <v>304</v>
      </c>
      <c r="E206" s="84" t="s">
        <v>330</v>
      </c>
      <c r="F206" s="86" t="s">
        <v>331</v>
      </c>
      <c r="G206" s="87" t="s">
        <v>756</v>
      </c>
      <c r="H206" s="87" t="s">
        <v>757</v>
      </c>
      <c r="I206" s="87"/>
      <c r="J206" s="87" t="s">
        <v>553</v>
      </c>
      <c r="K206" s="88" t="str">
        <f t="shared" si="9"/>
        <v>Д</v>
      </c>
      <c r="L206" s="88" t="str">
        <f t="shared" si="10"/>
        <v>М</v>
      </c>
      <c r="M206" s="89" t="str">
        <f t="shared" si="11"/>
        <v>Педагогика в инженерном деле [язык реализации –Английский]</v>
      </c>
      <c r="N206" s="89" t="s">
        <v>301</v>
      </c>
    </row>
    <row r="207" spans="1:14" customFormat="1" ht="30" hidden="1" customHeight="1" x14ac:dyDescent="0.25">
      <c r="A207" s="62" t="s">
        <v>758</v>
      </c>
      <c r="B207" s="84" t="s">
        <v>755</v>
      </c>
      <c r="C207" s="85" t="s">
        <v>295</v>
      </c>
      <c r="D207" s="85" t="s">
        <v>296</v>
      </c>
      <c r="E207" s="84" t="s">
        <v>330</v>
      </c>
      <c r="F207" s="86" t="s">
        <v>331</v>
      </c>
      <c r="G207" s="87" t="s">
        <v>756</v>
      </c>
      <c r="H207" s="87" t="s">
        <v>757</v>
      </c>
      <c r="I207" s="87"/>
      <c r="J207" s="87" t="s">
        <v>553</v>
      </c>
      <c r="K207" s="88" t="str">
        <f t="shared" si="9"/>
        <v>Д</v>
      </c>
      <c r="L207" s="88" t="str">
        <f t="shared" si="10"/>
        <v>М</v>
      </c>
      <c r="M207" s="89" t="str">
        <f t="shared" si="11"/>
        <v>Педагогика в инженерном деле</v>
      </c>
      <c r="N207" s="89" t="s">
        <v>301</v>
      </c>
    </row>
    <row r="208" spans="1:14" ht="30" hidden="1" customHeight="1" x14ac:dyDescent="0.25">
      <c r="A208" s="62" t="s">
        <v>759</v>
      </c>
      <c r="B208" s="84" t="s">
        <v>760</v>
      </c>
      <c r="C208" s="85" t="s">
        <v>295</v>
      </c>
      <c r="D208" s="85" t="s">
        <v>304</v>
      </c>
      <c r="E208" s="84" t="s">
        <v>311</v>
      </c>
      <c r="F208" s="86" t="s">
        <v>368</v>
      </c>
      <c r="G208" s="87" t="s">
        <v>761</v>
      </c>
      <c r="H208" s="87" t="s">
        <v>761</v>
      </c>
      <c r="I208" s="87"/>
      <c r="J208" s="87" t="s">
        <v>553</v>
      </c>
      <c r="K208" s="88" t="str">
        <f t="shared" si="9"/>
        <v>Д</v>
      </c>
      <c r="L208" s="88" t="str">
        <f t="shared" si="10"/>
        <v>А</v>
      </c>
      <c r="M208" s="89" t="str">
        <f t="shared" si="11"/>
        <v>Теоретическая механика, динамика машин [язык реализации –Английский]</v>
      </c>
      <c r="N208" s="89" t="s">
        <v>301</v>
      </c>
    </row>
    <row r="209" spans="1:14" customFormat="1" ht="30" hidden="1" customHeight="1" x14ac:dyDescent="0.25">
      <c r="A209" s="62" t="s">
        <v>762</v>
      </c>
      <c r="B209" s="84" t="s">
        <v>760</v>
      </c>
      <c r="C209" s="85" t="s">
        <v>295</v>
      </c>
      <c r="D209" s="85" t="s">
        <v>296</v>
      </c>
      <c r="E209" s="84" t="s">
        <v>311</v>
      </c>
      <c r="F209" s="86" t="s">
        <v>368</v>
      </c>
      <c r="G209" s="87" t="s">
        <v>761</v>
      </c>
      <c r="H209" s="87" t="s">
        <v>761</v>
      </c>
      <c r="I209" s="87"/>
      <c r="J209" s="87" t="s">
        <v>553</v>
      </c>
      <c r="K209" s="88" t="str">
        <f t="shared" si="9"/>
        <v>Д</v>
      </c>
      <c r="L209" s="88" t="str">
        <f t="shared" si="10"/>
        <v>А</v>
      </c>
      <c r="M209" s="89" t="str">
        <f t="shared" si="11"/>
        <v>Теоретическая механика, динамика машин</v>
      </c>
      <c r="N209" s="89" t="s">
        <v>301</v>
      </c>
    </row>
    <row r="210" spans="1:14" customFormat="1" ht="30" hidden="1" customHeight="1" x14ac:dyDescent="0.25">
      <c r="A210" s="62" t="s">
        <v>763</v>
      </c>
      <c r="B210" s="84" t="s">
        <v>764</v>
      </c>
      <c r="C210" s="85" t="s">
        <v>295</v>
      </c>
      <c r="D210" s="85" t="s">
        <v>304</v>
      </c>
      <c r="E210" s="84" t="s">
        <v>393</v>
      </c>
      <c r="F210" s="86" t="s">
        <v>368</v>
      </c>
      <c r="G210" s="87" t="s">
        <v>765</v>
      </c>
      <c r="H210" s="87" t="s">
        <v>765</v>
      </c>
      <c r="I210" s="87"/>
      <c r="J210" s="87" t="s">
        <v>553</v>
      </c>
      <c r="K210" s="88" t="str">
        <f t="shared" si="9"/>
        <v>Д</v>
      </c>
      <c r="L210" s="88" t="str">
        <f t="shared" si="10"/>
        <v>А</v>
      </c>
      <c r="M210" s="89" t="str">
        <f t="shared" si="11"/>
        <v>Искусственный интеллект и машинное обучение [язык реализации –Английский]</v>
      </c>
      <c r="N210" s="89" t="s">
        <v>301</v>
      </c>
    </row>
    <row r="211" spans="1:14" customFormat="1" ht="30" hidden="1" customHeight="1" x14ac:dyDescent="0.25">
      <c r="A211" s="62" t="s">
        <v>766</v>
      </c>
      <c r="B211" s="84" t="s">
        <v>764</v>
      </c>
      <c r="C211" s="85" t="s">
        <v>295</v>
      </c>
      <c r="D211" s="85" t="s">
        <v>296</v>
      </c>
      <c r="E211" s="84" t="s">
        <v>393</v>
      </c>
      <c r="F211" s="86" t="s">
        <v>368</v>
      </c>
      <c r="G211" s="87" t="s">
        <v>765</v>
      </c>
      <c r="H211" s="87" t="s">
        <v>765</v>
      </c>
      <c r="I211" s="87"/>
      <c r="J211" s="87" t="s">
        <v>553</v>
      </c>
      <c r="K211" s="88" t="str">
        <f t="shared" si="9"/>
        <v>Д</v>
      </c>
      <c r="L211" s="88" t="str">
        <f t="shared" si="10"/>
        <v>А</v>
      </c>
      <c r="M211" s="89" t="str">
        <f t="shared" si="11"/>
        <v>Искусственный интеллект и машинное обучение</v>
      </c>
      <c r="N211" s="89" t="s">
        <v>301</v>
      </c>
    </row>
    <row r="212" spans="1:14" customFormat="1" ht="30" hidden="1" customHeight="1" x14ac:dyDescent="0.25">
      <c r="A212" s="62" t="s">
        <v>767</v>
      </c>
      <c r="B212" s="84" t="s">
        <v>768</v>
      </c>
      <c r="C212" s="85" t="s">
        <v>295</v>
      </c>
      <c r="D212" s="85" t="s">
        <v>296</v>
      </c>
      <c r="E212" s="84" t="s">
        <v>393</v>
      </c>
      <c r="F212" s="86" t="s">
        <v>368</v>
      </c>
      <c r="G212" s="87" t="s">
        <v>769</v>
      </c>
      <c r="H212" s="87" t="s">
        <v>769</v>
      </c>
      <c r="I212" s="87"/>
      <c r="J212" s="87" t="s">
        <v>553</v>
      </c>
      <c r="K212" s="88" t="str">
        <f t="shared" si="9"/>
        <v>Д</v>
      </c>
      <c r="L212" s="88" t="str">
        <f t="shared" si="10"/>
        <v>А</v>
      </c>
      <c r="M212" s="89" t="str">
        <f t="shared" si="11"/>
        <v>Общая и региональная геология. Геотектоника и геодинамика</v>
      </c>
      <c r="N212" s="89" t="s">
        <v>301</v>
      </c>
    </row>
    <row r="213" spans="1:14" ht="30" hidden="1" customHeight="1" x14ac:dyDescent="0.25">
      <c r="A213" s="62" t="s">
        <v>770</v>
      </c>
      <c r="B213" s="84" t="s">
        <v>771</v>
      </c>
      <c r="C213" s="85" t="s">
        <v>295</v>
      </c>
      <c r="D213" s="85" t="s">
        <v>304</v>
      </c>
      <c r="E213" s="84" t="s">
        <v>393</v>
      </c>
      <c r="F213" s="86" t="s">
        <v>368</v>
      </c>
      <c r="G213" s="87" t="s">
        <v>772</v>
      </c>
      <c r="H213" s="87" t="s">
        <v>772</v>
      </c>
      <c r="I213" s="87"/>
      <c r="J213" s="87" t="s">
        <v>553</v>
      </c>
      <c r="K213" s="88" t="str">
        <f t="shared" si="9"/>
        <v>Д</v>
      </c>
      <c r="L213" s="88" t="str">
        <f t="shared" si="10"/>
        <v>А</v>
      </c>
      <c r="M213" s="89" t="str">
        <f t="shared" si="11"/>
        <v>Геология, поиски и разведка твердых полезных ископаемых, минерагения [язык реализации –Английский]</v>
      </c>
      <c r="N213" s="89" t="s">
        <v>301</v>
      </c>
    </row>
    <row r="214" spans="1:14" customFormat="1" ht="30" hidden="1" customHeight="1" x14ac:dyDescent="0.25">
      <c r="A214" s="62" t="s">
        <v>773</v>
      </c>
      <c r="B214" s="84" t="s">
        <v>771</v>
      </c>
      <c r="C214" s="85" t="s">
        <v>295</v>
      </c>
      <c r="D214" s="85" t="s">
        <v>296</v>
      </c>
      <c r="E214" s="84" t="s">
        <v>393</v>
      </c>
      <c r="F214" s="86" t="s">
        <v>368</v>
      </c>
      <c r="G214" s="87" t="s">
        <v>772</v>
      </c>
      <c r="H214" s="87" t="s">
        <v>772</v>
      </c>
      <c r="I214" s="87"/>
      <c r="J214" s="87" t="s">
        <v>553</v>
      </c>
      <c r="K214" s="88" t="str">
        <f t="shared" si="9"/>
        <v>Д</v>
      </c>
      <c r="L214" s="88" t="str">
        <f t="shared" si="10"/>
        <v>А</v>
      </c>
      <c r="M214" s="89" t="str">
        <f t="shared" si="11"/>
        <v>Геология, поиски и разведка твердых полезных ископаемых, минерагения</v>
      </c>
      <c r="N214" s="89" t="s">
        <v>301</v>
      </c>
    </row>
    <row r="215" spans="1:14" ht="30" hidden="1" customHeight="1" x14ac:dyDescent="0.25">
      <c r="A215" s="62" t="s">
        <v>774</v>
      </c>
      <c r="B215" s="84" t="s">
        <v>775</v>
      </c>
      <c r="C215" s="85" t="s">
        <v>295</v>
      </c>
      <c r="D215" s="85" t="s">
        <v>304</v>
      </c>
      <c r="E215" s="84" t="s">
        <v>393</v>
      </c>
      <c r="F215" s="86" t="s">
        <v>368</v>
      </c>
      <c r="G215" s="87" t="s">
        <v>776</v>
      </c>
      <c r="H215" s="87" t="s">
        <v>776</v>
      </c>
      <c r="I215" s="87"/>
      <c r="J215" s="87" t="s">
        <v>553</v>
      </c>
      <c r="K215" s="88" t="str">
        <f t="shared" si="9"/>
        <v>Д</v>
      </c>
      <c r="L215" s="88" t="str">
        <f t="shared" si="10"/>
        <v>А</v>
      </c>
      <c r="M215" s="89" t="str">
        <f t="shared" si="11"/>
        <v>Геология, поиски, разведка и эксплуатация нефтяных и газовых месторождений [язык реализации –Английский]</v>
      </c>
      <c r="N215" s="89" t="s">
        <v>301</v>
      </c>
    </row>
    <row r="216" spans="1:14" customFormat="1" ht="30" hidden="1" customHeight="1" x14ac:dyDescent="0.25">
      <c r="A216" s="62" t="s">
        <v>777</v>
      </c>
      <c r="B216" s="84" t="s">
        <v>775</v>
      </c>
      <c r="C216" s="85" t="s">
        <v>295</v>
      </c>
      <c r="D216" s="85" t="s">
        <v>296</v>
      </c>
      <c r="E216" s="84" t="s">
        <v>393</v>
      </c>
      <c r="F216" s="86" t="s">
        <v>368</v>
      </c>
      <c r="G216" s="87" t="s">
        <v>776</v>
      </c>
      <c r="H216" s="87" t="s">
        <v>776</v>
      </c>
      <c r="I216" s="87"/>
      <c r="J216" s="87" t="s">
        <v>553</v>
      </c>
      <c r="K216" s="88" t="str">
        <f t="shared" si="9"/>
        <v>Д</v>
      </c>
      <c r="L216" s="88" t="str">
        <f t="shared" si="10"/>
        <v>А</v>
      </c>
      <c r="M216" s="89" t="str">
        <f t="shared" si="11"/>
        <v>Геология, поиски, разведка и эксплуатация нефтяных и газовых месторождений</v>
      </c>
      <c r="N216" s="89" t="s">
        <v>301</v>
      </c>
    </row>
    <row r="217" spans="1:14" ht="30" hidden="1" customHeight="1" x14ac:dyDescent="0.25">
      <c r="A217" s="62" t="s">
        <v>778</v>
      </c>
      <c r="B217" s="84" t="s">
        <v>779</v>
      </c>
      <c r="C217" s="85" t="s">
        <v>295</v>
      </c>
      <c r="D217" s="85" t="s">
        <v>304</v>
      </c>
      <c r="E217" s="84" t="s">
        <v>393</v>
      </c>
      <c r="F217" s="86" t="s">
        <v>368</v>
      </c>
      <c r="G217" s="87" t="s">
        <v>780</v>
      </c>
      <c r="H217" s="87" t="s">
        <v>780</v>
      </c>
      <c r="I217" s="87"/>
      <c r="J217" s="87" t="s">
        <v>553</v>
      </c>
      <c r="K217" s="88" t="str">
        <f t="shared" si="9"/>
        <v>Д</v>
      </c>
      <c r="L217" s="88" t="str">
        <f t="shared" si="10"/>
        <v>А</v>
      </c>
      <c r="M217" s="89" t="str">
        <f t="shared" si="11"/>
        <v>Геофизика [язык реализации –Английский]</v>
      </c>
      <c r="N217" s="89" t="s">
        <v>301</v>
      </c>
    </row>
    <row r="218" spans="1:14" ht="30" hidden="1" customHeight="1" x14ac:dyDescent="0.25">
      <c r="A218" s="62" t="s">
        <v>781</v>
      </c>
      <c r="B218" s="84" t="s">
        <v>779</v>
      </c>
      <c r="C218" s="85" t="s">
        <v>295</v>
      </c>
      <c r="D218" s="85" t="s">
        <v>296</v>
      </c>
      <c r="E218" s="84" t="s">
        <v>393</v>
      </c>
      <c r="F218" s="86" t="s">
        <v>368</v>
      </c>
      <c r="G218" s="87" t="s">
        <v>780</v>
      </c>
      <c r="H218" s="87" t="s">
        <v>780</v>
      </c>
      <c r="I218" s="87"/>
      <c r="J218" s="87" t="s">
        <v>553</v>
      </c>
      <c r="K218" s="88" t="str">
        <f t="shared" si="9"/>
        <v>Д</v>
      </c>
      <c r="L218" s="88" t="str">
        <f t="shared" si="10"/>
        <v>А</v>
      </c>
      <c r="M218" s="89" t="str">
        <f t="shared" si="11"/>
        <v>Геофизика</v>
      </c>
      <c r="N218" s="89" t="s">
        <v>301</v>
      </c>
    </row>
    <row r="219" spans="1:14" ht="30" hidden="1" customHeight="1" x14ac:dyDescent="0.25">
      <c r="A219" s="62" t="s">
        <v>782</v>
      </c>
      <c r="B219" s="84" t="s">
        <v>783</v>
      </c>
      <c r="C219" s="85" t="s">
        <v>295</v>
      </c>
      <c r="D219" s="85" t="s">
        <v>304</v>
      </c>
      <c r="E219" s="84" t="s">
        <v>311</v>
      </c>
      <c r="F219" s="86" t="s">
        <v>368</v>
      </c>
      <c r="G219" s="87" t="s">
        <v>784</v>
      </c>
      <c r="H219" s="87" t="s">
        <v>784</v>
      </c>
      <c r="I219" s="87"/>
      <c r="J219" s="87" t="s">
        <v>553</v>
      </c>
      <c r="K219" s="88" t="str">
        <f t="shared" si="9"/>
        <v>Д</v>
      </c>
      <c r="L219" s="88" t="str">
        <f t="shared" si="10"/>
        <v>А</v>
      </c>
      <c r="M219" s="89" t="str">
        <f t="shared" si="11"/>
        <v>Строительные конструкции, здания и сооружения [язык реализации –Английский]</v>
      </c>
      <c r="N219" s="89" t="s">
        <v>301</v>
      </c>
    </row>
    <row r="220" spans="1:14" ht="30" hidden="1" customHeight="1" x14ac:dyDescent="0.25">
      <c r="A220" s="62" t="s">
        <v>785</v>
      </c>
      <c r="B220" s="84" t="s">
        <v>783</v>
      </c>
      <c r="C220" s="85" t="s">
        <v>295</v>
      </c>
      <c r="D220" s="85" t="s">
        <v>296</v>
      </c>
      <c r="E220" s="84" t="s">
        <v>311</v>
      </c>
      <c r="F220" s="86" t="s">
        <v>368</v>
      </c>
      <c r="G220" s="87" t="s">
        <v>784</v>
      </c>
      <c r="H220" s="87" t="s">
        <v>784</v>
      </c>
      <c r="I220" s="87"/>
      <c r="J220" s="87" t="s">
        <v>553</v>
      </c>
      <c r="K220" s="88" t="str">
        <f t="shared" si="9"/>
        <v>Д</v>
      </c>
      <c r="L220" s="88" t="str">
        <f t="shared" si="10"/>
        <v>А</v>
      </c>
      <c r="M220" s="89" t="str">
        <f t="shared" si="11"/>
        <v>Строительные конструкции, здания и сооружения</v>
      </c>
      <c r="N220" s="89" t="s">
        <v>301</v>
      </c>
    </row>
    <row r="221" spans="1:14" ht="30" hidden="1" customHeight="1" x14ac:dyDescent="0.25">
      <c r="A221" s="62" t="s">
        <v>786</v>
      </c>
      <c r="B221" s="84" t="s">
        <v>787</v>
      </c>
      <c r="C221" s="85" t="s">
        <v>295</v>
      </c>
      <c r="D221" s="85" t="s">
        <v>304</v>
      </c>
      <c r="E221" s="84" t="s">
        <v>393</v>
      </c>
      <c r="F221" s="86" t="s">
        <v>368</v>
      </c>
      <c r="G221" s="87" t="s">
        <v>788</v>
      </c>
      <c r="H221" s="87" t="s">
        <v>788</v>
      </c>
      <c r="I221" s="87"/>
      <c r="J221" s="87" t="s">
        <v>553</v>
      </c>
      <c r="K221" s="88" t="str">
        <f t="shared" si="9"/>
        <v>Д</v>
      </c>
      <c r="L221" s="88" t="str">
        <f t="shared" si="10"/>
        <v>А</v>
      </c>
      <c r="M221" s="89" t="str">
        <f t="shared" si="11"/>
        <v>Теория и история архитектуры, реставрация и реконструкция историко-архитектурного наследия [язык реализации –Английский]</v>
      </c>
      <c r="N221" s="89" t="s">
        <v>301</v>
      </c>
    </row>
    <row r="222" spans="1:14" customFormat="1" ht="30" hidden="1" customHeight="1" x14ac:dyDescent="0.25">
      <c r="A222" s="62" t="s">
        <v>789</v>
      </c>
      <c r="B222" s="84" t="s">
        <v>787</v>
      </c>
      <c r="C222" s="85" t="s">
        <v>295</v>
      </c>
      <c r="D222" s="85" t="s">
        <v>296</v>
      </c>
      <c r="E222" s="84" t="s">
        <v>393</v>
      </c>
      <c r="F222" s="86" t="s">
        <v>368</v>
      </c>
      <c r="G222" s="87" t="s">
        <v>788</v>
      </c>
      <c r="H222" s="87" t="s">
        <v>788</v>
      </c>
      <c r="I222" s="87"/>
      <c r="J222" s="87" t="s">
        <v>553</v>
      </c>
      <c r="K222" s="88" t="str">
        <f t="shared" si="9"/>
        <v>Д</v>
      </c>
      <c r="L222" s="88" t="str">
        <f t="shared" si="10"/>
        <v>А</v>
      </c>
      <c r="M222" s="89" t="str">
        <f t="shared" si="11"/>
        <v>Теория и история архитектуры, реставрация и реконструкция историко-архитектурного наследия</v>
      </c>
      <c r="N222" s="89" t="s">
        <v>301</v>
      </c>
    </row>
    <row r="223" spans="1:14" ht="30" hidden="1" customHeight="1" x14ac:dyDescent="0.25">
      <c r="A223" s="62" t="s">
        <v>790</v>
      </c>
      <c r="B223" s="84" t="s">
        <v>791</v>
      </c>
      <c r="C223" s="85" t="s">
        <v>295</v>
      </c>
      <c r="D223" s="85" t="s">
        <v>304</v>
      </c>
      <c r="E223" s="84" t="s">
        <v>393</v>
      </c>
      <c r="F223" s="86" t="s">
        <v>368</v>
      </c>
      <c r="G223" s="87" t="s">
        <v>792</v>
      </c>
      <c r="H223" s="87" t="s">
        <v>792</v>
      </c>
      <c r="I223" s="87"/>
      <c r="J223" s="87" t="s">
        <v>553</v>
      </c>
      <c r="K223" s="88" t="str">
        <f t="shared" si="9"/>
        <v>Д</v>
      </c>
      <c r="L223" s="88" t="str">
        <f t="shared" si="10"/>
        <v>А</v>
      </c>
      <c r="M223" s="89" t="str">
        <f t="shared" si="11"/>
        <v>Архитектура зданий и сооружений. Творческие концепции архитектурной деятельности [язык реализации –Английский]</v>
      </c>
      <c r="N223" s="89" t="s">
        <v>301</v>
      </c>
    </row>
    <row r="224" spans="1:14" ht="30" hidden="1" customHeight="1" x14ac:dyDescent="0.25">
      <c r="A224" s="62" t="s">
        <v>793</v>
      </c>
      <c r="B224" s="84" t="s">
        <v>791</v>
      </c>
      <c r="C224" s="85" t="s">
        <v>295</v>
      </c>
      <c r="D224" s="85" t="s">
        <v>296</v>
      </c>
      <c r="E224" s="84" t="s">
        <v>393</v>
      </c>
      <c r="F224" s="86" t="s">
        <v>368</v>
      </c>
      <c r="G224" s="87" t="s">
        <v>792</v>
      </c>
      <c r="H224" s="87" t="s">
        <v>792</v>
      </c>
      <c r="I224" s="87"/>
      <c r="J224" s="87" t="s">
        <v>553</v>
      </c>
      <c r="K224" s="88" t="str">
        <f t="shared" si="9"/>
        <v>Д</v>
      </c>
      <c r="L224" s="88" t="str">
        <f t="shared" si="10"/>
        <v>А</v>
      </c>
      <c r="M224" s="89" t="str">
        <f t="shared" si="11"/>
        <v>Архитектура зданий и сооружений. Творческие концепции архитектурной деятельности</v>
      </c>
      <c r="N224" s="89" t="s">
        <v>301</v>
      </c>
    </row>
    <row r="225" spans="1:14" customFormat="1" ht="30" hidden="1" customHeight="1" x14ac:dyDescent="0.25">
      <c r="A225" s="62" t="s">
        <v>794</v>
      </c>
      <c r="B225" s="84" t="s">
        <v>795</v>
      </c>
      <c r="C225" s="85" t="s">
        <v>295</v>
      </c>
      <c r="D225" s="85" t="s">
        <v>296</v>
      </c>
      <c r="E225" s="84" t="s">
        <v>311</v>
      </c>
      <c r="F225" s="86" t="s">
        <v>368</v>
      </c>
      <c r="G225" s="87" t="s">
        <v>796</v>
      </c>
      <c r="H225" s="87" t="s">
        <v>796</v>
      </c>
      <c r="I225" s="87"/>
      <c r="J225" s="87" t="s">
        <v>553</v>
      </c>
      <c r="K225" s="88" t="str">
        <f t="shared" si="9"/>
        <v>Д</v>
      </c>
      <c r="L225" s="88" t="str">
        <f t="shared" si="10"/>
        <v>А</v>
      </c>
      <c r="M225" s="89" t="str">
        <f t="shared" si="11"/>
        <v>Водоснабжение, канализация, строительные системы охраны водных ресурсов</v>
      </c>
      <c r="N225" s="89" t="s">
        <v>301</v>
      </c>
    </row>
    <row r="226" spans="1:14" ht="30" hidden="1" customHeight="1" x14ac:dyDescent="0.25">
      <c r="A226" s="62" t="s">
        <v>797</v>
      </c>
      <c r="B226" s="84" t="s">
        <v>798</v>
      </c>
      <c r="C226" s="85" t="s">
        <v>295</v>
      </c>
      <c r="D226" s="85" t="s">
        <v>304</v>
      </c>
      <c r="E226" s="84" t="s">
        <v>311</v>
      </c>
      <c r="F226" s="86" t="s">
        <v>368</v>
      </c>
      <c r="G226" s="87" t="s">
        <v>799</v>
      </c>
      <c r="H226" s="87" t="s">
        <v>799</v>
      </c>
      <c r="I226" s="87"/>
      <c r="J226" s="87" t="s">
        <v>553</v>
      </c>
      <c r="K226" s="88" t="str">
        <f t="shared" si="9"/>
        <v>Д</v>
      </c>
      <c r="L226" s="88" t="str">
        <f t="shared" si="10"/>
        <v>А</v>
      </c>
      <c r="M226" s="89" t="str">
        <f t="shared" si="11"/>
        <v>Строительные материалы и изделия [язык реализации –Английский]</v>
      </c>
      <c r="N226" s="89" t="s">
        <v>301</v>
      </c>
    </row>
    <row r="227" spans="1:14" ht="30" hidden="1" customHeight="1" x14ac:dyDescent="0.25">
      <c r="A227" s="62" t="s">
        <v>800</v>
      </c>
      <c r="B227" s="84" t="s">
        <v>798</v>
      </c>
      <c r="C227" s="85" t="s">
        <v>295</v>
      </c>
      <c r="D227" s="85" t="s">
        <v>296</v>
      </c>
      <c r="E227" s="84" t="s">
        <v>311</v>
      </c>
      <c r="F227" s="86" t="s">
        <v>368</v>
      </c>
      <c r="G227" s="87" t="s">
        <v>799</v>
      </c>
      <c r="H227" s="87" t="s">
        <v>799</v>
      </c>
      <c r="I227" s="87"/>
      <c r="J227" s="87" t="s">
        <v>553</v>
      </c>
      <c r="K227" s="88" t="str">
        <f t="shared" si="9"/>
        <v>Д</v>
      </c>
      <c r="L227" s="88" t="str">
        <f t="shared" si="10"/>
        <v>А</v>
      </c>
      <c r="M227" s="89" t="str">
        <f t="shared" si="11"/>
        <v>Строительные материалы и изделия</v>
      </c>
      <c r="N227" s="89" t="s">
        <v>301</v>
      </c>
    </row>
    <row r="228" spans="1:14" ht="30" hidden="1" customHeight="1" x14ac:dyDescent="0.25">
      <c r="A228" s="62" t="s">
        <v>801</v>
      </c>
      <c r="B228" s="84" t="s">
        <v>802</v>
      </c>
      <c r="C228" s="85" t="s">
        <v>295</v>
      </c>
      <c r="D228" s="85" t="s">
        <v>304</v>
      </c>
      <c r="E228" s="84" t="s">
        <v>311</v>
      </c>
      <c r="F228" s="86" t="s">
        <v>368</v>
      </c>
      <c r="G228" s="87" t="s">
        <v>803</v>
      </c>
      <c r="H228" s="87" t="s">
        <v>803</v>
      </c>
      <c r="I228" s="87"/>
      <c r="J228" s="87" t="s">
        <v>553</v>
      </c>
      <c r="K228" s="88" t="str">
        <f t="shared" si="9"/>
        <v>Д</v>
      </c>
      <c r="L228" s="88" t="str">
        <f t="shared" si="10"/>
        <v>А</v>
      </c>
      <c r="M228" s="89" t="str">
        <f t="shared" si="11"/>
        <v>Гидротехническое строительство, гидравлика и инженерная гидрология [язык реализации –Английский]</v>
      </c>
      <c r="N228" s="89" t="s">
        <v>301</v>
      </c>
    </row>
    <row r="229" spans="1:14" ht="30" hidden="1" customHeight="1" x14ac:dyDescent="0.25">
      <c r="A229" s="62" t="s">
        <v>804</v>
      </c>
      <c r="B229" s="84" t="s">
        <v>802</v>
      </c>
      <c r="C229" s="85" t="s">
        <v>295</v>
      </c>
      <c r="D229" s="85" t="s">
        <v>296</v>
      </c>
      <c r="E229" s="84" t="s">
        <v>311</v>
      </c>
      <c r="F229" s="86" t="s">
        <v>368</v>
      </c>
      <c r="G229" s="87" t="s">
        <v>803</v>
      </c>
      <c r="H229" s="87" t="s">
        <v>803</v>
      </c>
      <c r="I229" s="87"/>
      <c r="J229" s="87" t="s">
        <v>553</v>
      </c>
      <c r="K229" s="88" t="str">
        <f t="shared" si="9"/>
        <v>Д</v>
      </c>
      <c r="L229" s="88" t="str">
        <f t="shared" si="10"/>
        <v>А</v>
      </c>
      <c r="M229" s="89" t="str">
        <f t="shared" si="11"/>
        <v>Гидротехническое строительство, гидравлика и инженерная гидрология</v>
      </c>
      <c r="N229" s="89" t="s">
        <v>301</v>
      </c>
    </row>
    <row r="230" spans="1:14" ht="30" hidden="1" customHeight="1" x14ac:dyDescent="0.25">
      <c r="A230" s="62" t="s">
        <v>805</v>
      </c>
      <c r="B230" s="84" t="s">
        <v>806</v>
      </c>
      <c r="C230" s="85" t="s">
        <v>295</v>
      </c>
      <c r="D230" s="85" t="s">
        <v>304</v>
      </c>
      <c r="E230" s="84" t="s">
        <v>311</v>
      </c>
      <c r="F230" s="86" t="s">
        <v>368</v>
      </c>
      <c r="G230" s="87" t="s">
        <v>807</v>
      </c>
      <c r="H230" s="87" t="s">
        <v>807</v>
      </c>
      <c r="I230" s="87"/>
      <c r="J230" s="87" t="s">
        <v>553</v>
      </c>
      <c r="K230" s="88" t="str">
        <f t="shared" si="9"/>
        <v>Д</v>
      </c>
      <c r="L230" s="88" t="str">
        <f t="shared" si="10"/>
        <v>А</v>
      </c>
      <c r="M230" s="89" t="str">
        <f t="shared" si="11"/>
        <v>Технология и организация строительства [язык реализации –Английский]</v>
      </c>
      <c r="N230" s="89" t="s">
        <v>301</v>
      </c>
    </row>
    <row r="231" spans="1:14" ht="30" hidden="1" customHeight="1" x14ac:dyDescent="0.25">
      <c r="A231" s="62" t="s">
        <v>808</v>
      </c>
      <c r="B231" s="84" t="s">
        <v>806</v>
      </c>
      <c r="C231" s="85" t="s">
        <v>295</v>
      </c>
      <c r="D231" s="85" t="s">
        <v>296</v>
      </c>
      <c r="E231" s="84" t="s">
        <v>311</v>
      </c>
      <c r="F231" s="86" t="s">
        <v>368</v>
      </c>
      <c r="G231" s="87" t="s">
        <v>807</v>
      </c>
      <c r="H231" s="87" t="s">
        <v>807</v>
      </c>
      <c r="I231" s="87"/>
      <c r="J231" s="87" t="s">
        <v>553</v>
      </c>
      <c r="K231" s="88" t="str">
        <f t="shared" si="9"/>
        <v>Д</v>
      </c>
      <c r="L231" s="88" t="str">
        <f t="shared" si="10"/>
        <v>А</v>
      </c>
      <c r="M231" s="89" t="str">
        <f t="shared" si="11"/>
        <v>Технология и организация строительства</v>
      </c>
      <c r="N231" s="89" t="s">
        <v>301</v>
      </c>
    </row>
    <row r="232" spans="1:14" ht="30" hidden="1" customHeight="1" x14ac:dyDescent="0.25">
      <c r="A232" s="62" t="s">
        <v>809</v>
      </c>
      <c r="B232" s="84" t="s">
        <v>810</v>
      </c>
      <c r="C232" s="85" t="s">
        <v>295</v>
      </c>
      <c r="D232" s="85" t="s">
        <v>304</v>
      </c>
      <c r="E232" s="84" t="s">
        <v>311</v>
      </c>
      <c r="F232" s="86" t="s">
        <v>368</v>
      </c>
      <c r="G232" s="87" t="s">
        <v>811</v>
      </c>
      <c r="H232" s="87" t="s">
        <v>811</v>
      </c>
      <c r="I232" s="87"/>
      <c r="J232" s="87" t="s">
        <v>553</v>
      </c>
      <c r="K232" s="88" t="str">
        <f t="shared" si="9"/>
        <v>Д</v>
      </c>
      <c r="L232" s="88" t="str">
        <f t="shared" si="10"/>
        <v>А</v>
      </c>
      <c r="M232" s="89" t="str">
        <f t="shared" si="11"/>
        <v>Строительная механика [язык реализации –Английский]</v>
      </c>
      <c r="N232" s="89" t="s">
        <v>301</v>
      </c>
    </row>
    <row r="233" spans="1:14" customFormat="1" ht="30" hidden="1" customHeight="1" x14ac:dyDescent="0.25">
      <c r="A233" s="62" t="s">
        <v>812</v>
      </c>
      <c r="B233" s="84" t="s">
        <v>810</v>
      </c>
      <c r="C233" s="85" t="s">
        <v>295</v>
      </c>
      <c r="D233" s="85" t="s">
        <v>296</v>
      </c>
      <c r="E233" s="84" t="s">
        <v>311</v>
      </c>
      <c r="F233" s="86" t="s">
        <v>368</v>
      </c>
      <c r="G233" s="87" t="s">
        <v>811</v>
      </c>
      <c r="H233" s="87" t="s">
        <v>811</v>
      </c>
      <c r="I233" s="87"/>
      <c r="J233" s="87" t="s">
        <v>553</v>
      </c>
      <c r="K233" s="88" t="str">
        <f t="shared" si="9"/>
        <v>Д</v>
      </c>
      <c r="L233" s="88" t="str">
        <f t="shared" si="10"/>
        <v>А</v>
      </c>
      <c r="M233" s="89" t="str">
        <f t="shared" si="11"/>
        <v>Строительная механика</v>
      </c>
      <c r="N233" s="89" t="s">
        <v>301</v>
      </c>
    </row>
    <row r="234" spans="1:14" customFormat="1" ht="30" hidden="1" customHeight="1" x14ac:dyDescent="0.25">
      <c r="A234" s="62" t="s">
        <v>813</v>
      </c>
      <c r="B234" s="84" t="s">
        <v>814</v>
      </c>
      <c r="C234" s="85" t="s">
        <v>295</v>
      </c>
      <c r="D234" s="85" t="s">
        <v>304</v>
      </c>
      <c r="E234" s="84" t="s">
        <v>311</v>
      </c>
      <c r="F234" s="86" t="s">
        <v>368</v>
      </c>
      <c r="G234" s="87" t="s">
        <v>815</v>
      </c>
      <c r="H234" s="87" t="s">
        <v>815</v>
      </c>
      <c r="I234" s="87"/>
      <c r="J234" s="87" t="s">
        <v>553</v>
      </c>
      <c r="K234" s="88" t="str">
        <f t="shared" si="9"/>
        <v>Д</v>
      </c>
      <c r="L234" s="88" t="str">
        <f t="shared" si="10"/>
        <v>А</v>
      </c>
      <c r="M234" s="89" t="str">
        <f t="shared" si="11"/>
        <v>Проектирование и технология приборостроения и радиоэлектронной аппаратуры [язык реализации –Английский]</v>
      </c>
      <c r="N234" s="89" t="s">
        <v>301</v>
      </c>
    </row>
    <row r="235" spans="1:14" customFormat="1" ht="30" hidden="1" customHeight="1" x14ac:dyDescent="0.25">
      <c r="A235" s="62" t="s">
        <v>816</v>
      </c>
      <c r="B235" s="84" t="s">
        <v>814</v>
      </c>
      <c r="C235" s="85" t="s">
        <v>295</v>
      </c>
      <c r="D235" s="85" t="s">
        <v>296</v>
      </c>
      <c r="E235" s="84" t="s">
        <v>311</v>
      </c>
      <c r="F235" s="86" t="s">
        <v>368</v>
      </c>
      <c r="G235" s="87" t="s">
        <v>815</v>
      </c>
      <c r="H235" s="87" t="s">
        <v>815</v>
      </c>
      <c r="I235" s="87"/>
      <c r="J235" s="87" t="s">
        <v>553</v>
      </c>
      <c r="K235" s="88" t="str">
        <f t="shared" si="9"/>
        <v>Д</v>
      </c>
      <c r="L235" s="88" t="str">
        <f t="shared" si="10"/>
        <v>А</v>
      </c>
      <c r="M235" s="89" t="str">
        <f t="shared" si="11"/>
        <v>Проектирование и технология приборостроения и радиоэлектронной аппаратуры</v>
      </c>
      <c r="N235" s="89" t="s">
        <v>301</v>
      </c>
    </row>
    <row r="236" spans="1:14" customFormat="1" ht="30" hidden="1" customHeight="1" x14ac:dyDescent="0.25">
      <c r="A236" s="62" t="s">
        <v>817</v>
      </c>
      <c r="B236" s="84" t="s">
        <v>818</v>
      </c>
      <c r="C236" s="85" t="s">
        <v>295</v>
      </c>
      <c r="D236" s="85" t="s">
        <v>304</v>
      </c>
      <c r="E236" s="84" t="s">
        <v>393</v>
      </c>
      <c r="F236" s="86" t="s">
        <v>368</v>
      </c>
      <c r="G236" s="87" t="s">
        <v>281</v>
      </c>
      <c r="H236" s="87" t="s">
        <v>819</v>
      </c>
      <c r="I236" s="87"/>
      <c r="J236" s="87" t="s">
        <v>553</v>
      </c>
      <c r="K236" s="88" t="str">
        <f t="shared" si="9"/>
        <v>Д</v>
      </c>
      <c r="L236" s="88" t="str">
        <f t="shared" si="10"/>
        <v>А</v>
      </c>
      <c r="M236" s="89" t="str">
        <f t="shared" si="11"/>
        <v>Системный анализ, управление и обработка информации [язык реализации –Английский]</v>
      </c>
      <c r="N236" s="89" t="s">
        <v>301</v>
      </c>
    </row>
    <row r="237" spans="1:14" customFormat="1" ht="30" hidden="1" customHeight="1" x14ac:dyDescent="0.25">
      <c r="A237" s="62" t="s">
        <v>820</v>
      </c>
      <c r="B237" s="84" t="s">
        <v>818</v>
      </c>
      <c r="C237" s="85" t="s">
        <v>295</v>
      </c>
      <c r="D237" s="85" t="s">
        <v>296</v>
      </c>
      <c r="E237" s="84" t="s">
        <v>393</v>
      </c>
      <c r="F237" s="86" t="s">
        <v>368</v>
      </c>
      <c r="G237" s="87" t="s">
        <v>281</v>
      </c>
      <c r="H237" s="87" t="s">
        <v>819</v>
      </c>
      <c r="I237" s="87"/>
      <c r="J237" s="87" t="s">
        <v>553</v>
      </c>
      <c r="K237" s="88" t="str">
        <f t="shared" si="9"/>
        <v>Д</v>
      </c>
      <c r="L237" s="88" t="str">
        <f t="shared" si="10"/>
        <v>А</v>
      </c>
      <c r="M237" s="89" t="str">
        <f t="shared" si="11"/>
        <v>Системный анализ, управление и обработка информации</v>
      </c>
      <c r="N237" s="89" t="s">
        <v>301</v>
      </c>
    </row>
    <row r="238" spans="1:14" customFormat="1" ht="30" hidden="1" customHeight="1" x14ac:dyDescent="0.25">
      <c r="A238" s="62" t="s">
        <v>821</v>
      </c>
      <c r="B238" s="84" t="s">
        <v>822</v>
      </c>
      <c r="C238" s="85" t="s">
        <v>295</v>
      </c>
      <c r="D238" s="85" t="s">
        <v>296</v>
      </c>
      <c r="E238" s="84" t="s">
        <v>393</v>
      </c>
      <c r="F238" s="86" t="s">
        <v>368</v>
      </c>
      <c r="G238" s="87" t="s">
        <v>823</v>
      </c>
      <c r="H238" s="87" t="s">
        <v>823</v>
      </c>
      <c r="I238" s="87"/>
      <c r="J238" s="87" t="s">
        <v>553</v>
      </c>
      <c r="K238" s="88" t="str">
        <f t="shared" si="9"/>
        <v>Д</v>
      </c>
      <c r="L238" s="88" t="str">
        <f t="shared" si="10"/>
        <v>А</v>
      </c>
      <c r="M238" s="89" t="str">
        <f t="shared" si="11"/>
        <v>Вычислительные системы и их элементы</v>
      </c>
      <c r="N238" s="89" t="s">
        <v>301</v>
      </c>
    </row>
    <row r="239" spans="1:14" customFormat="1" ht="30" hidden="1" customHeight="1" x14ac:dyDescent="0.25">
      <c r="A239" s="62" t="s">
        <v>824</v>
      </c>
      <c r="B239" s="84" t="s">
        <v>825</v>
      </c>
      <c r="C239" s="85" t="s">
        <v>295</v>
      </c>
      <c r="D239" s="85" t="s">
        <v>304</v>
      </c>
      <c r="E239" s="84" t="s">
        <v>393</v>
      </c>
      <c r="F239" s="86" t="s">
        <v>368</v>
      </c>
      <c r="G239" s="87" t="s">
        <v>826</v>
      </c>
      <c r="H239" s="87" t="s">
        <v>826</v>
      </c>
      <c r="I239" s="87"/>
      <c r="J239" s="87" t="s">
        <v>553</v>
      </c>
      <c r="K239" s="88" t="str">
        <f t="shared" si="9"/>
        <v>Д</v>
      </c>
      <c r="L239" s="88" t="str">
        <f t="shared" si="10"/>
        <v>А</v>
      </c>
      <c r="M239" s="89" t="str">
        <f t="shared" si="11"/>
        <v>Управление в организационных системах [язык реализации –Английский]</v>
      </c>
      <c r="N239" s="89" t="s">
        <v>301</v>
      </c>
    </row>
    <row r="240" spans="1:14" customFormat="1" ht="30" hidden="1" customHeight="1" x14ac:dyDescent="0.25">
      <c r="A240" s="62" t="s">
        <v>827</v>
      </c>
      <c r="B240" s="84" t="s">
        <v>825</v>
      </c>
      <c r="C240" s="85" t="s">
        <v>295</v>
      </c>
      <c r="D240" s="85" t="s">
        <v>296</v>
      </c>
      <c r="E240" s="84" t="s">
        <v>393</v>
      </c>
      <c r="F240" s="86" t="s">
        <v>368</v>
      </c>
      <c r="G240" s="87" t="s">
        <v>826</v>
      </c>
      <c r="H240" s="87" t="s">
        <v>826</v>
      </c>
      <c r="I240" s="87"/>
      <c r="J240" s="87" t="s">
        <v>553</v>
      </c>
      <c r="K240" s="88" t="str">
        <f t="shared" si="9"/>
        <v>Д</v>
      </c>
      <c r="L240" s="88" t="str">
        <f t="shared" si="10"/>
        <v>А</v>
      </c>
      <c r="M240" s="89" t="str">
        <f t="shared" si="11"/>
        <v>Управление в организационных системах</v>
      </c>
      <c r="N240" s="89" t="s">
        <v>301</v>
      </c>
    </row>
    <row r="241" spans="1:14" customFormat="1" ht="30" hidden="1" customHeight="1" x14ac:dyDescent="0.25">
      <c r="A241" s="62" t="s">
        <v>828</v>
      </c>
      <c r="B241" s="84" t="s">
        <v>829</v>
      </c>
      <c r="C241" s="85" t="s">
        <v>295</v>
      </c>
      <c r="D241" s="85" t="s">
        <v>304</v>
      </c>
      <c r="E241" s="84" t="s">
        <v>393</v>
      </c>
      <c r="F241" s="86" t="s">
        <v>368</v>
      </c>
      <c r="G241" s="87" t="s">
        <v>830</v>
      </c>
      <c r="H241" s="87" t="s">
        <v>830</v>
      </c>
      <c r="I241" s="87"/>
      <c r="J241" s="87" t="s">
        <v>553</v>
      </c>
      <c r="K241" s="88" t="str">
        <f t="shared" si="9"/>
        <v>Д</v>
      </c>
      <c r="L241" s="88" t="str">
        <f t="shared" si="10"/>
        <v>А</v>
      </c>
      <c r="M241" s="89" t="str">
        <f t="shared" si="11"/>
        <v>Математическое и программное обеспечение вычислительных систем, комплексов и компьютерных сетей [язык реализации –Английский]</v>
      </c>
      <c r="N241" s="89" t="s">
        <v>301</v>
      </c>
    </row>
    <row r="242" spans="1:14" customFormat="1" ht="30" hidden="1" customHeight="1" x14ac:dyDescent="0.25">
      <c r="A242" s="62" t="s">
        <v>831</v>
      </c>
      <c r="B242" s="84" t="s">
        <v>829</v>
      </c>
      <c r="C242" s="85" t="s">
        <v>295</v>
      </c>
      <c r="D242" s="85" t="s">
        <v>296</v>
      </c>
      <c r="E242" s="84" t="s">
        <v>393</v>
      </c>
      <c r="F242" s="86" t="s">
        <v>368</v>
      </c>
      <c r="G242" s="87" t="s">
        <v>830</v>
      </c>
      <c r="H242" s="87" t="s">
        <v>830</v>
      </c>
      <c r="I242" s="87"/>
      <c r="J242" s="87" t="s">
        <v>553</v>
      </c>
      <c r="K242" s="88" t="str">
        <f t="shared" si="9"/>
        <v>Д</v>
      </c>
      <c r="L242" s="88" t="str">
        <f t="shared" si="10"/>
        <v>А</v>
      </c>
      <c r="M242" s="89" t="str">
        <f t="shared" si="11"/>
        <v>Математическое и программное обеспечение вычислительных систем, комплексов и компьютерных сетей</v>
      </c>
      <c r="N242" s="89" t="s">
        <v>301</v>
      </c>
    </row>
    <row r="243" spans="1:14" customFormat="1" ht="30" hidden="1" customHeight="1" x14ac:dyDescent="0.25">
      <c r="A243" s="62" t="s">
        <v>832</v>
      </c>
      <c r="B243" s="84" t="s">
        <v>833</v>
      </c>
      <c r="C243" s="85" t="s">
        <v>295</v>
      </c>
      <c r="D243" s="85" t="s">
        <v>304</v>
      </c>
      <c r="E243" s="84" t="s">
        <v>311</v>
      </c>
      <c r="F243" s="86" t="s">
        <v>368</v>
      </c>
      <c r="G243" s="87" t="s">
        <v>834</v>
      </c>
      <c r="H243" s="87" t="s">
        <v>834</v>
      </c>
      <c r="I243" s="87"/>
      <c r="J243" s="87" t="s">
        <v>553</v>
      </c>
      <c r="K243" s="88" t="str">
        <f t="shared" si="9"/>
        <v>Д</v>
      </c>
      <c r="L243" s="88" t="str">
        <f t="shared" si="10"/>
        <v>А</v>
      </c>
      <c r="M243" s="89" t="str">
        <f t="shared" si="11"/>
        <v>Энергетические системы и комплексы [язык реализации –Английский]</v>
      </c>
      <c r="N243" s="89" t="s">
        <v>301</v>
      </c>
    </row>
    <row r="244" spans="1:14" customFormat="1" ht="30" hidden="1" customHeight="1" x14ac:dyDescent="0.25">
      <c r="A244" s="62" t="s">
        <v>835</v>
      </c>
      <c r="B244" s="84" t="s">
        <v>833</v>
      </c>
      <c r="C244" s="85" t="s">
        <v>295</v>
      </c>
      <c r="D244" s="85" t="s">
        <v>296</v>
      </c>
      <c r="E244" s="84" t="s">
        <v>311</v>
      </c>
      <c r="F244" s="86" t="s">
        <v>368</v>
      </c>
      <c r="G244" s="87" t="s">
        <v>834</v>
      </c>
      <c r="H244" s="87" t="s">
        <v>834</v>
      </c>
      <c r="I244" s="87"/>
      <c r="J244" s="87" t="s">
        <v>553</v>
      </c>
      <c r="K244" s="88" t="str">
        <f t="shared" si="9"/>
        <v>Д</v>
      </c>
      <c r="L244" s="88" t="str">
        <f t="shared" si="10"/>
        <v>А</v>
      </c>
      <c r="M244" s="89" t="str">
        <f t="shared" si="11"/>
        <v>Энергетические системы и комплексы</v>
      </c>
      <c r="N244" s="89" t="s">
        <v>301</v>
      </c>
    </row>
    <row r="245" spans="1:14" customFormat="1" ht="30" hidden="1" customHeight="1" x14ac:dyDescent="0.25">
      <c r="A245" s="62" t="s">
        <v>836</v>
      </c>
      <c r="B245" s="84" t="s">
        <v>837</v>
      </c>
      <c r="C245" s="85" t="s">
        <v>295</v>
      </c>
      <c r="D245" s="85" t="s">
        <v>304</v>
      </c>
      <c r="E245" s="84" t="s">
        <v>311</v>
      </c>
      <c r="F245" s="86" t="s">
        <v>368</v>
      </c>
      <c r="G245" s="87" t="s">
        <v>838</v>
      </c>
      <c r="H245" s="87" t="s">
        <v>838</v>
      </c>
      <c r="I245" s="87"/>
      <c r="J245" s="87" t="s">
        <v>553</v>
      </c>
      <c r="K245" s="88" t="str">
        <f t="shared" si="9"/>
        <v>Д</v>
      </c>
      <c r="L245" s="88" t="str">
        <f t="shared" si="10"/>
        <v>А</v>
      </c>
      <c r="M245" s="89" t="str">
        <f t="shared" si="11"/>
        <v>Турбомашины и поршневые двигатели [язык реализации –Английский]</v>
      </c>
      <c r="N245" s="89" t="s">
        <v>301</v>
      </c>
    </row>
    <row r="246" spans="1:14" customFormat="1" ht="30" hidden="1" customHeight="1" x14ac:dyDescent="0.25">
      <c r="A246" s="62" t="s">
        <v>839</v>
      </c>
      <c r="B246" s="84" t="s">
        <v>837</v>
      </c>
      <c r="C246" s="85" t="s">
        <v>295</v>
      </c>
      <c r="D246" s="85" t="s">
        <v>296</v>
      </c>
      <c r="E246" s="84" t="s">
        <v>311</v>
      </c>
      <c r="F246" s="86" t="s">
        <v>368</v>
      </c>
      <c r="G246" s="87" t="s">
        <v>838</v>
      </c>
      <c r="H246" s="87" t="s">
        <v>838</v>
      </c>
      <c r="I246" s="87"/>
      <c r="J246" s="87" t="s">
        <v>553</v>
      </c>
      <c r="K246" s="88" t="str">
        <f t="shared" si="9"/>
        <v>Д</v>
      </c>
      <c r="L246" s="88" t="str">
        <f t="shared" si="10"/>
        <v>А</v>
      </c>
      <c r="M246" s="89" t="str">
        <f t="shared" si="11"/>
        <v>Турбомашины и поршневые двигатели</v>
      </c>
      <c r="N246" s="89" t="s">
        <v>301</v>
      </c>
    </row>
    <row r="247" spans="1:14" customFormat="1" ht="30" hidden="1" customHeight="1" x14ac:dyDescent="0.25">
      <c r="A247" s="62" t="s">
        <v>840</v>
      </c>
      <c r="B247" s="84" t="s">
        <v>841</v>
      </c>
      <c r="C247" s="85" t="s">
        <v>295</v>
      </c>
      <c r="D247" s="85" t="s">
        <v>304</v>
      </c>
      <c r="E247" s="84" t="s">
        <v>311</v>
      </c>
      <c r="F247" s="86" t="s">
        <v>368</v>
      </c>
      <c r="G247" s="87" t="s">
        <v>842</v>
      </c>
      <c r="H247" s="87" t="s">
        <v>843</v>
      </c>
      <c r="I247" s="87"/>
      <c r="J247" s="87" t="s">
        <v>553</v>
      </c>
      <c r="K247" s="88" t="str">
        <f t="shared" si="9"/>
        <v>Д</v>
      </c>
      <c r="L247" s="88" t="str">
        <f t="shared" si="10"/>
        <v>А</v>
      </c>
      <c r="M247" s="89" t="str">
        <f t="shared" si="11"/>
        <v>Динамика, баллистика и управление движением летательных аппаратов [язык реализации –Английский]</v>
      </c>
      <c r="N247" s="89" t="s">
        <v>301</v>
      </c>
    </row>
    <row r="248" spans="1:14" customFormat="1" ht="30" hidden="1" customHeight="1" x14ac:dyDescent="0.25">
      <c r="A248" s="62" t="s">
        <v>844</v>
      </c>
      <c r="B248" s="84" t="s">
        <v>841</v>
      </c>
      <c r="C248" s="85" t="s">
        <v>295</v>
      </c>
      <c r="D248" s="85" t="s">
        <v>296</v>
      </c>
      <c r="E248" s="84" t="s">
        <v>311</v>
      </c>
      <c r="F248" s="86" t="s">
        <v>368</v>
      </c>
      <c r="G248" s="87" t="s">
        <v>842</v>
      </c>
      <c r="H248" s="87" t="s">
        <v>843</v>
      </c>
      <c r="I248" s="87"/>
      <c r="J248" s="87" t="s">
        <v>553</v>
      </c>
      <c r="K248" s="88" t="str">
        <f t="shared" si="9"/>
        <v>Д</v>
      </c>
      <c r="L248" s="88" t="str">
        <f t="shared" si="10"/>
        <v>А</v>
      </c>
      <c r="M248" s="89" t="str">
        <f t="shared" si="11"/>
        <v>Динамика, баллистика и управление движением летательных аппаратов</v>
      </c>
      <c r="N248" s="89" t="s">
        <v>301</v>
      </c>
    </row>
    <row r="249" spans="1:14" customFormat="1" ht="30" hidden="1" customHeight="1" x14ac:dyDescent="0.25">
      <c r="A249" s="62" t="s">
        <v>845</v>
      </c>
      <c r="B249" s="84" t="s">
        <v>846</v>
      </c>
      <c r="C249" s="85" t="s">
        <v>295</v>
      </c>
      <c r="D249" s="85" t="s">
        <v>296</v>
      </c>
      <c r="E249" s="84" t="s">
        <v>311</v>
      </c>
      <c r="F249" s="86" t="s">
        <v>368</v>
      </c>
      <c r="G249" s="87" t="s">
        <v>847</v>
      </c>
      <c r="H249" s="87" t="s">
        <v>847</v>
      </c>
      <c r="I249" s="87"/>
      <c r="J249" s="87" t="s">
        <v>553</v>
      </c>
      <c r="K249" s="88" t="str">
        <f t="shared" si="9"/>
        <v>Д</v>
      </c>
      <c r="L249" s="88" t="str">
        <f t="shared" si="10"/>
        <v>А</v>
      </c>
      <c r="M249" s="89" t="str">
        <f t="shared" si="11"/>
        <v>Технология и оборудование механической и физико-технической обработки</v>
      </c>
      <c r="N249" s="89" t="s">
        <v>301</v>
      </c>
    </row>
    <row r="250" spans="1:14" customFormat="1" ht="30" hidden="1" customHeight="1" x14ac:dyDescent="0.25">
      <c r="A250" s="62" t="s">
        <v>848</v>
      </c>
      <c r="B250" s="84" t="s">
        <v>849</v>
      </c>
      <c r="C250" s="85" t="s">
        <v>295</v>
      </c>
      <c r="D250" s="85" t="s">
        <v>304</v>
      </c>
      <c r="E250" s="84" t="s">
        <v>311</v>
      </c>
      <c r="F250" s="86" t="s">
        <v>368</v>
      </c>
      <c r="G250" s="87" t="s">
        <v>850</v>
      </c>
      <c r="H250" s="87" t="s">
        <v>850</v>
      </c>
      <c r="I250" s="87"/>
      <c r="J250" s="87" t="s">
        <v>553</v>
      </c>
      <c r="K250" s="88" t="str">
        <f t="shared" si="9"/>
        <v>Д</v>
      </c>
      <c r="L250" s="88" t="str">
        <f t="shared" si="10"/>
        <v>А</v>
      </c>
      <c r="M250" s="89" t="str">
        <f t="shared" si="11"/>
        <v>Технология машиностроения [язык реализации –Английский]</v>
      </c>
      <c r="N250" s="89" t="s">
        <v>301</v>
      </c>
    </row>
    <row r="251" spans="1:14" customFormat="1" ht="30" hidden="1" customHeight="1" x14ac:dyDescent="0.25">
      <c r="A251" s="62" t="s">
        <v>851</v>
      </c>
      <c r="B251" s="84" t="s">
        <v>849</v>
      </c>
      <c r="C251" s="85" t="s">
        <v>295</v>
      </c>
      <c r="D251" s="85" t="s">
        <v>296</v>
      </c>
      <c r="E251" s="84" t="s">
        <v>311</v>
      </c>
      <c r="F251" s="86" t="s">
        <v>368</v>
      </c>
      <c r="G251" s="87" t="s">
        <v>850</v>
      </c>
      <c r="H251" s="87" t="s">
        <v>850</v>
      </c>
      <c r="I251" s="87"/>
      <c r="J251" s="87" t="s">
        <v>553</v>
      </c>
      <c r="K251" s="88" t="str">
        <f t="shared" si="9"/>
        <v>Д</v>
      </c>
      <c r="L251" s="88" t="str">
        <f t="shared" si="10"/>
        <v>А</v>
      </c>
      <c r="M251" s="89" t="str">
        <f t="shared" si="11"/>
        <v>Технология машиностроения</v>
      </c>
      <c r="N251" s="89" t="s">
        <v>301</v>
      </c>
    </row>
    <row r="252" spans="1:14" customFormat="1" ht="30" hidden="1" customHeight="1" x14ac:dyDescent="0.25">
      <c r="A252" s="62" t="s">
        <v>852</v>
      </c>
      <c r="B252" s="84" t="s">
        <v>853</v>
      </c>
      <c r="C252" s="85" t="s">
        <v>295</v>
      </c>
      <c r="D252" s="85" t="s">
        <v>304</v>
      </c>
      <c r="E252" s="84" t="s">
        <v>311</v>
      </c>
      <c r="F252" s="86" t="s">
        <v>368</v>
      </c>
      <c r="G252" s="87" t="s">
        <v>854</v>
      </c>
      <c r="H252" s="87" t="s">
        <v>854</v>
      </c>
      <c r="I252" s="87"/>
      <c r="J252" s="87" t="s">
        <v>553</v>
      </c>
      <c r="K252" s="88" t="str">
        <f t="shared" si="9"/>
        <v>Д</v>
      </c>
      <c r="L252" s="88" t="str">
        <f t="shared" si="10"/>
        <v>А</v>
      </c>
      <c r="M252" s="89" t="str">
        <f t="shared" si="11"/>
        <v>Химическая технология топлива и высокоэнергетических веществ [язык реализации –Английский]</v>
      </c>
      <c r="N252" s="89" t="s">
        <v>301</v>
      </c>
    </row>
    <row r="253" spans="1:14" customFormat="1" ht="30" hidden="1" customHeight="1" x14ac:dyDescent="0.25">
      <c r="A253" s="62" t="s">
        <v>855</v>
      </c>
      <c r="B253" s="84" t="s">
        <v>853</v>
      </c>
      <c r="C253" s="85" t="s">
        <v>295</v>
      </c>
      <c r="D253" s="85" t="s">
        <v>296</v>
      </c>
      <c r="E253" s="84" t="s">
        <v>311</v>
      </c>
      <c r="F253" s="86" t="s">
        <v>368</v>
      </c>
      <c r="G253" s="87" t="s">
        <v>854</v>
      </c>
      <c r="H253" s="87" t="s">
        <v>854</v>
      </c>
      <c r="I253" s="87"/>
      <c r="J253" s="87" t="s">
        <v>553</v>
      </c>
      <c r="K253" s="88" t="str">
        <f t="shared" si="9"/>
        <v>Д</v>
      </c>
      <c r="L253" s="88" t="str">
        <f t="shared" si="10"/>
        <v>А</v>
      </c>
      <c r="M253" s="89" t="str">
        <f t="shared" si="11"/>
        <v>Химическая технология топлива и высокоэнергетических веществ</v>
      </c>
      <c r="N253" s="89" t="s">
        <v>301</v>
      </c>
    </row>
    <row r="254" spans="1:14" ht="30" hidden="1" customHeight="1" x14ac:dyDescent="0.25">
      <c r="A254" s="62" t="s">
        <v>856</v>
      </c>
      <c r="B254" s="84" t="s">
        <v>857</v>
      </c>
      <c r="C254" s="85" t="s">
        <v>295</v>
      </c>
      <c r="D254" s="85" t="s">
        <v>296</v>
      </c>
      <c r="E254" s="84" t="s">
        <v>311</v>
      </c>
      <c r="F254" s="86" t="s">
        <v>368</v>
      </c>
      <c r="G254" s="87" t="s">
        <v>858</v>
      </c>
      <c r="H254" s="87" t="s">
        <v>858</v>
      </c>
      <c r="I254" s="87"/>
      <c r="J254" s="87" t="s">
        <v>553</v>
      </c>
      <c r="K254" s="88" t="str">
        <f t="shared" si="9"/>
        <v>Д</v>
      </c>
      <c r="L254" s="88" t="str">
        <f t="shared" si="10"/>
        <v>А</v>
      </c>
      <c r="M254" s="89" t="str">
        <f t="shared" si="11"/>
        <v>Горнопромышленная и нефтегазопромысловая геология, геофизика, маркшейдерское дело и геометрия недр</v>
      </c>
      <c r="N254" s="89" t="s">
        <v>301</v>
      </c>
    </row>
    <row r="255" spans="1:14" customFormat="1" ht="30" hidden="1" customHeight="1" x14ac:dyDescent="0.25">
      <c r="A255" s="62" t="s">
        <v>859</v>
      </c>
      <c r="B255" s="84" t="s">
        <v>860</v>
      </c>
      <c r="C255" s="85" t="s">
        <v>295</v>
      </c>
      <c r="D255" s="85" t="s">
        <v>304</v>
      </c>
      <c r="E255" s="84" t="s">
        <v>311</v>
      </c>
      <c r="F255" s="86" t="s">
        <v>368</v>
      </c>
      <c r="G255" s="87" t="s">
        <v>861</v>
      </c>
      <c r="H255" s="87" t="s">
        <v>861</v>
      </c>
      <c r="I255" s="87"/>
      <c r="J255" s="87" t="s">
        <v>553</v>
      </c>
      <c r="K255" s="88" t="str">
        <f t="shared" si="9"/>
        <v>Д</v>
      </c>
      <c r="L255" s="88" t="str">
        <f t="shared" si="10"/>
        <v>А</v>
      </c>
      <c r="M255" s="89" t="str">
        <f t="shared" si="11"/>
        <v>Разработка и эксплуатация нефтяных и газовых месторождений [язык реализации –Английский]</v>
      </c>
      <c r="N255" s="89" t="s">
        <v>301</v>
      </c>
    </row>
    <row r="256" spans="1:14" ht="30" hidden="1" customHeight="1" x14ac:dyDescent="0.25">
      <c r="A256" s="62" t="s">
        <v>862</v>
      </c>
      <c r="B256" s="84" t="s">
        <v>860</v>
      </c>
      <c r="C256" s="85" t="s">
        <v>295</v>
      </c>
      <c r="D256" s="85" t="s">
        <v>296</v>
      </c>
      <c r="E256" s="84" t="s">
        <v>311</v>
      </c>
      <c r="F256" s="86" t="s">
        <v>368</v>
      </c>
      <c r="G256" s="87" t="s">
        <v>861</v>
      </c>
      <c r="H256" s="87" t="s">
        <v>861</v>
      </c>
      <c r="I256" s="87"/>
      <c r="J256" s="87" t="s">
        <v>553</v>
      </c>
      <c r="K256" s="88" t="str">
        <f t="shared" si="9"/>
        <v>Д</v>
      </c>
      <c r="L256" s="88" t="str">
        <f t="shared" si="10"/>
        <v>А</v>
      </c>
      <c r="M256" s="89" t="str">
        <f t="shared" si="11"/>
        <v>Разработка и эксплуатация нефтяных и газовых месторождений</v>
      </c>
      <c r="N256" s="89" t="s">
        <v>301</v>
      </c>
    </row>
    <row r="257" spans="1:14" ht="30" hidden="1" customHeight="1" x14ac:dyDescent="0.25">
      <c r="A257" s="62" t="s">
        <v>863</v>
      </c>
      <c r="B257" s="84" t="s">
        <v>864</v>
      </c>
      <c r="C257" s="85" t="s">
        <v>295</v>
      </c>
      <c r="D257" s="85" t="s">
        <v>296</v>
      </c>
      <c r="E257" s="84" t="s">
        <v>311</v>
      </c>
      <c r="F257" s="86" t="s">
        <v>368</v>
      </c>
      <c r="G257" s="87" t="s">
        <v>865</v>
      </c>
      <c r="H257" s="87" t="s">
        <v>865</v>
      </c>
      <c r="I257" s="87"/>
      <c r="J257" s="87" t="s">
        <v>553</v>
      </c>
      <c r="K257" s="88" t="str">
        <f t="shared" si="9"/>
        <v>Д</v>
      </c>
      <c r="L257" s="88" t="str">
        <f t="shared" si="10"/>
        <v>А</v>
      </c>
      <c r="M257" s="89" t="str">
        <f t="shared" si="11"/>
        <v>Геотехнология, горные машины</v>
      </c>
      <c r="N257" s="89" t="s">
        <v>301</v>
      </c>
    </row>
    <row r="258" spans="1:14" ht="30" hidden="1" customHeight="1" x14ac:dyDescent="0.25">
      <c r="A258" s="62" t="s">
        <v>866</v>
      </c>
      <c r="B258" s="84" t="s">
        <v>867</v>
      </c>
      <c r="C258" s="85" t="s">
        <v>295</v>
      </c>
      <c r="D258" s="85" t="s">
        <v>304</v>
      </c>
      <c r="E258" s="84" t="s">
        <v>311</v>
      </c>
      <c r="F258" s="86" t="s">
        <v>368</v>
      </c>
      <c r="G258" s="87" t="s">
        <v>868</v>
      </c>
      <c r="H258" s="87" t="s">
        <v>868</v>
      </c>
      <c r="I258" s="87"/>
      <c r="J258" s="87" t="s">
        <v>553</v>
      </c>
      <c r="K258" s="88" t="str">
        <f t="shared" si="9"/>
        <v>Д</v>
      </c>
      <c r="L258" s="88" t="str">
        <f t="shared" si="10"/>
        <v>А</v>
      </c>
      <c r="M258" s="89" t="str">
        <f t="shared" si="11"/>
        <v>Эксплуатация автомобильного транспорта [язык реализации –Английский]</v>
      </c>
      <c r="N258" s="89" t="s">
        <v>301</v>
      </c>
    </row>
    <row r="259" spans="1:14" ht="30" hidden="1" customHeight="1" x14ac:dyDescent="0.25">
      <c r="A259" s="62" t="s">
        <v>869</v>
      </c>
      <c r="B259" s="84" t="s">
        <v>867</v>
      </c>
      <c r="C259" s="85" t="s">
        <v>295</v>
      </c>
      <c r="D259" s="85" t="s">
        <v>296</v>
      </c>
      <c r="E259" s="84" t="s">
        <v>311</v>
      </c>
      <c r="F259" s="86" t="s">
        <v>368</v>
      </c>
      <c r="G259" s="87" t="s">
        <v>868</v>
      </c>
      <c r="H259" s="87" t="s">
        <v>868</v>
      </c>
      <c r="I259" s="87"/>
      <c r="J259" s="87" t="s">
        <v>553</v>
      </c>
      <c r="K259" s="88" t="str">
        <f t="shared" ref="K259:K322" si="12">IF(C259="очная","Д",IF(C259="Очно-заочная","В",IF(C259="Заочная","З","-")))</f>
        <v>Д</v>
      </c>
      <c r="L259" s="88" t="str">
        <f t="shared" ref="L259:L322" si="13">IF(N259="да","ЦМ",LEFT(F259,1))</f>
        <v>А</v>
      </c>
      <c r="M259" s="89" t="str">
        <f t="shared" ref="M259:M322" si="14">CONCATENATE(H259,IF(I259&gt;0,CONCATENATE(" (Вуз-партнёр – ",I259,")"),IF(D259=$D$3,"",CONCATENATE(" [язык реализации –",D259,"]"))))</f>
        <v>Эксплуатация автомобильного транспорта</v>
      </c>
      <c r="N259" s="89" t="s">
        <v>301</v>
      </c>
    </row>
    <row r="260" spans="1:14" ht="30" hidden="1" customHeight="1" x14ac:dyDescent="0.25">
      <c r="A260" s="62" t="s">
        <v>870</v>
      </c>
      <c r="B260" s="84" t="s">
        <v>871</v>
      </c>
      <c r="C260" s="85" t="s">
        <v>295</v>
      </c>
      <c r="D260" s="85" t="s">
        <v>304</v>
      </c>
      <c r="E260" s="84" t="s">
        <v>393</v>
      </c>
      <c r="F260" s="86" t="s">
        <v>368</v>
      </c>
      <c r="G260" s="87" t="s">
        <v>872</v>
      </c>
      <c r="H260" s="87" t="s">
        <v>872</v>
      </c>
      <c r="I260" s="87"/>
      <c r="J260" s="87" t="s">
        <v>553</v>
      </c>
      <c r="K260" s="88" t="str">
        <f t="shared" si="12"/>
        <v>Д</v>
      </c>
      <c r="L260" s="88" t="str">
        <f t="shared" si="13"/>
        <v>А</v>
      </c>
      <c r="M260" s="89" t="str">
        <f t="shared" si="14"/>
        <v>Логистические транспортные системы [язык реализации –Английский]</v>
      </c>
      <c r="N260" s="89" t="s">
        <v>301</v>
      </c>
    </row>
    <row r="261" spans="1:14" ht="30" hidden="1" customHeight="1" x14ac:dyDescent="0.25">
      <c r="A261" s="62" t="s">
        <v>873</v>
      </c>
      <c r="B261" s="84" t="s">
        <v>871</v>
      </c>
      <c r="C261" s="85" t="s">
        <v>295</v>
      </c>
      <c r="D261" s="85" t="s">
        <v>296</v>
      </c>
      <c r="E261" s="84" t="s">
        <v>393</v>
      </c>
      <c r="F261" s="86" t="s">
        <v>368</v>
      </c>
      <c r="G261" s="87" t="s">
        <v>872</v>
      </c>
      <c r="H261" s="87" t="s">
        <v>872</v>
      </c>
      <c r="I261" s="87"/>
      <c r="J261" s="87" t="s">
        <v>553</v>
      </c>
      <c r="K261" s="88" t="str">
        <f t="shared" si="12"/>
        <v>Д</v>
      </c>
      <c r="L261" s="88" t="str">
        <f t="shared" si="13"/>
        <v>А</v>
      </c>
      <c r="M261" s="89" t="str">
        <f t="shared" si="14"/>
        <v>Логистические транспортные системы</v>
      </c>
      <c r="N261" s="89" t="s">
        <v>301</v>
      </c>
    </row>
    <row r="262" spans="1:14" ht="30" hidden="1" customHeight="1" x14ac:dyDescent="0.25">
      <c r="A262" s="62" t="s">
        <v>874</v>
      </c>
      <c r="B262" s="84" t="s">
        <v>875</v>
      </c>
      <c r="C262" s="85" t="s">
        <v>295</v>
      </c>
      <c r="D262" s="85" t="s">
        <v>304</v>
      </c>
      <c r="E262" s="84" t="s">
        <v>393</v>
      </c>
      <c r="F262" s="86" t="s">
        <v>368</v>
      </c>
      <c r="G262" s="87" t="s">
        <v>876</v>
      </c>
      <c r="H262" s="87" t="s">
        <v>876</v>
      </c>
      <c r="I262" s="87"/>
      <c r="J262" s="87" t="s">
        <v>553</v>
      </c>
      <c r="K262" s="88" t="str">
        <f t="shared" si="12"/>
        <v>Д</v>
      </c>
      <c r="L262" s="88" t="str">
        <f t="shared" si="13"/>
        <v>А</v>
      </c>
      <c r="M262" s="89" t="str">
        <f t="shared" si="14"/>
        <v>Математические, статистические и инструментальные методы в экономике [язык реализации –Английский]</v>
      </c>
      <c r="N262" s="89" t="s">
        <v>301</v>
      </c>
    </row>
    <row r="263" spans="1:14" customFormat="1" ht="30" hidden="1" customHeight="1" x14ac:dyDescent="0.25">
      <c r="A263" s="62" t="s">
        <v>877</v>
      </c>
      <c r="B263" s="84" t="s">
        <v>875</v>
      </c>
      <c r="C263" s="85" t="s">
        <v>295</v>
      </c>
      <c r="D263" s="85" t="s">
        <v>296</v>
      </c>
      <c r="E263" s="84" t="s">
        <v>393</v>
      </c>
      <c r="F263" s="86" t="s">
        <v>368</v>
      </c>
      <c r="G263" s="87" t="s">
        <v>876</v>
      </c>
      <c r="H263" s="87" t="s">
        <v>876</v>
      </c>
      <c r="I263" s="87"/>
      <c r="J263" s="87" t="s">
        <v>553</v>
      </c>
      <c r="K263" s="88" t="str">
        <f t="shared" si="12"/>
        <v>Д</v>
      </c>
      <c r="L263" s="88" t="str">
        <f t="shared" si="13"/>
        <v>А</v>
      </c>
      <c r="M263" s="89" t="str">
        <f t="shared" si="14"/>
        <v>Математические, статистические и инструментальные методы в экономике</v>
      </c>
      <c r="N263" s="89" t="s">
        <v>301</v>
      </c>
    </row>
    <row r="264" spans="1:14" customFormat="1" ht="30" hidden="1" customHeight="1" x14ac:dyDescent="0.25">
      <c r="A264" s="62" t="s">
        <v>878</v>
      </c>
      <c r="B264" s="84" t="s">
        <v>571</v>
      </c>
      <c r="C264" s="85" t="s">
        <v>403</v>
      </c>
      <c r="D264" s="85" t="s">
        <v>296</v>
      </c>
      <c r="E264" s="84" t="s">
        <v>404</v>
      </c>
      <c r="F264" s="86" t="s">
        <v>312</v>
      </c>
      <c r="G264" s="87" t="s">
        <v>572</v>
      </c>
      <c r="H264" s="87" t="s">
        <v>573</v>
      </c>
      <c r="I264" s="87"/>
      <c r="J264" s="87" t="s">
        <v>553</v>
      </c>
      <c r="K264" s="88" t="str">
        <f t="shared" si="12"/>
        <v>В</v>
      </c>
      <c r="L264" s="88" t="str">
        <f t="shared" si="13"/>
        <v>Б</v>
      </c>
      <c r="M264" s="89" t="str">
        <f t="shared" si="14"/>
        <v>Архитектура (УГСН)</v>
      </c>
      <c r="N264" s="89" t="s">
        <v>301</v>
      </c>
    </row>
    <row r="265" spans="1:14" customFormat="1" ht="30" hidden="1" customHeight="1" x14ac:dyDescent="0.25">
      <c r="A265" s="62" t="s">
        <v>879</v>
      </c>
      <c r="B265" s="84" t="s">
        <v>575</v>
      </c>
      <c r="C265" s="85" t="s">
        <v>403</v>
      </c>
      <c r="D265" s="85" t="s">
        <v>296</v>
      </c>
      <c r="E265" s="84" t="s">
        <v>404</v>
      </c>
      <c r="F265" s="86" t="s">
        <v>312</v>
      </c>
      <c r="G265" s="87" t="s">
        <v>572</v>
      </c>
      <c r="H265" s="87" t="s">
        <v>572</v>
      </c>
      <c r="I265" s="87"/>
      <c r="J265" s="87" t="s">
        <v>553</v>
      </c>
      <c r="K265" s="88" t="str">
        <f t="shared" si="12"/>
        <v>В</v>
      </c>
      <c r="L265" s="88" t="str">
        <f t="shared" si="13"/>
        <v>Б</v>
      </c>
      <c r="M265" s="89" t="str">
        <f t="shared" si="14"/>
        <v>Архитектура</v>
      </c>
      <c r="N265" s="89" t="s">
        <v>301</v>
      </c>
    </row>
    <row r="266" spans="1:14" customFormat="1" ht="30" hidden="1" customHeight="1" x14ac:dyDescent="0.25">
      <c r="A266" s="62" t="s">
        <v>880</v>
      </c>
      <c r="B266" s="84" t="s">
        <v>577</v>
      </c>
      <c r="C266" s="85" t="s">
        <v>403</v>
      </c>
      <c r="D266" s="85" t="s">
        <v>296</v>
      </c>
      <c r="E266" s="84" t="s">
        <v>404</v>
      </c>
      <c r="F266" s="86" t="s">
        <v>312</v>
      </c>
      <c r="G266" s="87" t="s">
        <v>578</v>
      </c>
      <c r="H266" s="87" t="s">
        <v>578</v>
      </c>
      <c r="I266" s="87"/>
      <c r="J266" s="87" t="s">
        <v>553</v>
      </c>
      <c r="K266" s="88" t="str">
        <f t="shared" si="12"/>
        <v>В</v>
      </c>
      <c r="L266" s="88" t="str">
        <f t="shared" si="13"/>
        <v>Б</v>
      </c>
      <c r="M266" s="89" t="str">
        <f t="shared" si="14"/>
        <v>Реконструкция и реставрация архитектурного наследия</v>
      </c>
      <c r="N266" s="89" t="s">
        <v>301</v>
      </c>
    </row>
    <row r="267" spans="1:14" customFormat="1" ht="30" hidden="1" customHeight="1" x14ac:dyDescent="0.25">
      <c r="A267" s="62" t="s">
        <v>881</v>
      </c>
      <c r="B267" s="84" t="s">
        <v>580</v>
      </c>
      <c r="C267" s="85" t="s">
        <v>403</v>
      </c>
      <c r="D267" s="85" t="s">
        <v>296</v>
      </c>
      <c r="E267" s="84" t="s">
        <v>404</v>
      </c>
      <c r="F267" s="86" t="s">
        <v>312</v>
      </c>
      <c r="G267" s="87" t="s">
        <v>581</v>
      </c>
      <c r="H267" s="87" t="s">
        <v>582</v>
      </c>
      <c r="I267" s="87"/>
      <c r="J267" s="87" t="s">
        <v>553</v>
      </c>
      <c r="K267" s="88" t="str">
        <f t="shared" si="12"/>
        <v>В</v>
      </c>
      <c r="L267" s="88" t="str">
        <f t="shared" si="13"/>
        <v>Б</v>
      </c>
      <c r="M267" s="89" t="str">
        <f t="shared" si="14"/>
        <v>Дизайн промышленных и социальных объектов</v>
      </c>
      <c r="N267" s="89" t="s">
        <v>301</v>
      </c>
    </row>
    <row r="268" spans="1:14" customFormat="1" ht="30" hidden="1" customHeight="1" x14ac:dyDescent="0.25">
      <c r="A268" s="62" t="s">
        <v>882</v>
      </c>
      <c r="B268" s="84" t="s">
        <v>584</v>
      </c>
      <c r="C268" s="85" t="s">
        <v>403</v>
      </c>
      <c r="D268" s="85" t="s">
        <v>296</v>
      </c>
      <c r="E268" s="84" t="s">
        <v>297</v>
      </c>
      <c r="F268" s="86" t="s">
        <v>312</v>
      </c>
      <c r="G268" s="87" t="s">
        <v>585</v>
      </c>
      <c r="H268" s="87" t="s">
        <v>585</v>
      </c>
      <c r="I268" s="87"/>
      <c r="J268" s="87" t="s">
        <v>553</v>
      </c>
      <c r="K268" s="88" t="str">
        <f t="shared" si="12"/>
        <v>В</v>
      </c>
      <c r="L268" s="88" t="str">
        <f t="shared" si="13"/>
        <v>Б</v>
      </c>
      <c r="M268" s="89" t="str">
        <f t="shared" si="14"/>
        <v>Строительство</v>
      </c>
      <c r="N268" s="89" t="s">
        <v>301</v>
      </c>
    </row>
    <row r="269" spans="1:14" customFormat="1" ht="30" hidden="1" customHeight="1" x14ac:dyDescent="0.25">
      <c r="A269" s="62" t="s">
        <v>883</v>
      </c>
      <c r="B269" s="84" t="s">
        <v>597</v>
      </c>
      <c r="C269" s="85" t="s">
        <v>403</v>
      </c>
      <c r="D269" s="85" t="s">
        <v>296</v>
      </c>
      <c r="E269" s="84" t="s">
        <v>406</v>
      </c>
      <c r="F269" s="86" t="s">
        <v>312</v>
      </c>
      <c r="G269" s="87" t="s">
        <v>598</v>
      </c>
      <c r="H269" s="87" t="s">
        <v>861</v>
      </c>
      <c r="I269" s="87"/>
      <c r="J269" s="87" t="s">
        <v>553</v>
      </c>
      <c r="K269" s="88" t="str">
        <f t="shared" si="12"/>
        <v>В</v>
      </c>
      <c r="L269" s="88" t="str">
        <f t="shared" si="13"/>
        <v>Б</v>
      </c>
      <c r="M269" s="89" t="str">
        <f t="shared" si="14"/>
        <v>Разработка и эксплуатация нефтяных и газовых месторождений</v>
      </c>
      <c r="N269" s="89" t="s">
        <v>301</v>
      </c>
    </row>
    <row r="270" spans="1:14" customFormat="1" ht="30" hidden="1" customHeight="1" x14ac:dyDescent="0.25">
      <c r="A270" s="62" t="s">
        <v>884</v>
      </c>
      <c r="B270" s="84" t="s">
        <v>597</v>
      </c>
      <c r="C270" s="85" t="s">
        <v>403</v>
      </c>
      <c r="D270" s="85" t="s">
        <v>296</v>
      </c>
      <c r="E270" s="84" t="s">
        <v>406</v>
      </c>
      <c r="F270" s="86" t="s">
        <v>312</v>
      </c>
      <c r="G270" s="87" t="s">
        <v>598</v>
      </c>
      <c r="H270" s="87" t="s">
        <v>599</v>
      </c>
      <c r="I270" s="87"/>
      <c r="J270" s="87" t="s">
        <v>553</v>
      </c>
      <c r="K270" s="88" t="str">
        <f t="shared" si="12"/>
        <v>В</v>
      </c>
      <c r="L270" s="88" t="str">
        <f t="shared" si="13"/>
        <v>Б</v>
      </c>
      <c r="M270" s="89" t="str">
        <f t="shared" si="14"/>
        <v>Разработка нефтяных и газовых месторождений, транспортировка, хранение и переработка нефти и газа</v>
      </c>
      <c r="N270" s="89" t="s">
        <v>301</v>
      </c>
    </row>
    <row r="271" spans="1:14" customFormat="1" ht="30" hidden="1" customHeight="1" x14ac:dyDescent="0.25">
      <c r="A271" s="62" t="s">
        <v>885</v>
      </c>
      <c r="B271" s="84" t="s">
        <v>606</v>
      </c>
      <c r="C271" s="85" t="s">
        <v>403</v>
      </c>
      <c r="D271" s="85" t="s">
        <v>296</v>
      </c>
      <c r="E271" s="84" t="s">
        <v>297</v>
      </c>
      <c r="F271" s="86" t="s">
        <v>312</v>
      </c>
      <c r="G271" s="87" t="s">
        <v>472</v>
      </c>
      <c r="H271" s="87" t="s">
        <v>886</v>
      </c>
      <c r="I271" s="87"/>
      <c r="J271" s="87" t="s">
        <v>553</v>
      </c>
      <c r="K271" s="88" t="str">
        <f t="shared" si="12"/>
        <v>В</v>
      </c>
      <c r="L271" s="88" t="str">
        <f t="shared" si="13"/>
        <v>Б</v>
      </c>
      <c r="M271" s="89" t="str">
        <f t="shared" si="14"/>
        <v>Информационные технологии в управлении</v>
      </c>
      <c r="N271" s="89" t="s">
        <v>301</v>
      </c>
    </row>
    <row r="272" spans="1:14" customFormat="1" ht="30" hidden="1" customHeight="1" x14ac:dyDescent="0.25">
      <c r="A272" s="62" t="s">
        <v>887</v>
      </c>
      <c r="B272" s="84" t="s">
        <v>606</v>
      </c>
      <c r="C272" s="85" t="s">
        <v>403</v>
      </c>
      <c r="D272" s="85" t="s">
        <v>296</v>
      </c>
      <c r="E272" s="84" t="s">
        <v>297</v>
      </c>
      <c r="F272" s="86" t="s">
        <v>312</v>
      </c>
      <c r="G272" s="87" t="s">
        <v>472</v>
      </c>
      <c r="H272" s="87" t="s">
        <v>611</v>
      </c>
      <c r="I272" s="87"/>
      <c r="J272" s="87" t="s">
        <v>553</v>
      </c>
      <c r="K272" s="88" t="str">
        <f t="shared" si="12"/>
        <v>В</v>
      </c>
      <c r="L272" s="88" t="str">
        <f t="shared" si="13"/>
        <v>Б</v>
      </c>
      <c r="M272" s="89" t="str">
        <f t="shared" si="14"/>
        <v>Информационные технологии в управлении и кибербезопасность</v>
      </c>
      <c r="N272" s="89" t="s">
        <v>301</v>
      </c>
    </row>
    <row r="273" spans="1:14" customFormat="1" ht="30" hidden="1" customHeight="1" x14ac:dyDescent="0.25">
      <c r="A273" s="62" t="s">
        <v>888</v>
      </c>
      <c r="B273" s="84" t="s">
        <v>658</v>
      </c>
      <c r="C273" s="85" t="s">
        <v>403</v>
      </c>
      <c r="D273" s="85" t="s">
        <v>296</v>
      </c>
      <c r="E273" s="84" t="s">
        <v>413</v>
      </c>
      <c r="F273" s="86" t="s">
        <v>331</v>
      </c>
      <c r="G273" s="87" t="s">
        <v>572</v>
      </c>
      <c r="H273" s="87" t="s">
        <v>659</v>
      </c>
      <c r="I273" s="87"/>
      <c r="J273" s="87" t="s">
        <v>553</v>
      </c>
      <c r="K273" s="88" t="str">
        <f t="shared" si="12"/>
        <v>В</v>
      </c>
      <c r="L273" s="88" t="str">
        <f t="shared" si="13"/>
        <v>М</v>
      </c>
      <c r="M273" s="89" t="str">
        <f t="shared" si="14"/>
        <v>Архитектура жилых, общественных и промышленных зданий</v>
      </c>
      <c r="N273" s="89" t="s">
        <v>301</v>
      </c>
    </row>
    <row r="274" spans="1:14" customFormat="1" ht="30" hidden="1" customHeight="1" x14ac:dyDescent="0.25">
      <c r="A274" s="62" t="s">
        <v>889</v>
      </c>
      <c r="B274" s="84" t="s">
        <v>691</v>
      </c>
      <c r="C274" s="85" t="s">
        <v>403</v>
      </c>
      <c r="D274" s="85" t="s">
        <v>296</v>
      </c>
      <c r="E274" s="84" t="s">
        <v>413</v>
      </c>
      <c r="F274" s="86" t="s">
        <v>331</v>
      </c>
      <c r="G274" s="87" t="s">
        <v>593</v>
      </c>
      <c r="H274" s="87" t="s">
        <v>890</v>
      </c>
      <c r="I274" s="87"/>
      <c r="J274" s="87" t="s">
        <v>553</v>
      </c>
      <c r="K274" s="88" t="str">
        <f t="shared" si="12"/>
        <v>В</v>
      </c>
      <c r="L274" s="88" t="str">
        <f t="shared" si="13"/>
        <v>М</v>
      </c>
      <c r="M274" s="89" t="str">
        <f t="shared" si="14"/>
        <v>Технологии автоматизации промышленных систем</v>
      </c>
      <c r="N274" s="89" t="s">
        <v>301</v>
      </c>
    </row>
    <row r="275" spans="1:14" customFormat="1" ht="30" hidden="1" customHeight="1" x14ac:dyDescent="0.25">
      <c r="A275" s="62" t="s">
        <v>891</v>
      </c>
      <c r="B275" s="84" t="s">
        <v>691</v>
      </c>
      <c r="C275" s="85" t="s">
        <v>403</v>
      </c>
      <c r="D275" s="85" t="s">
        <v>296</v>
      </c>
      <c r="E275" s="84" t="s">
        <v>413</v>
      </c>
      <c r="F275" s="86" t="s">
        <v>331</v>
      </c>
      <c r="G275" s="87" t="s">
        <v>593</v>
      </c>
      <c r="H275" s="87" t="s">
        <v>692</v>
      </c>
      <c r="I275" s="87"/>
      <c r="J275" s="87" t="s">
        <v>553</v>
      </c>
      <c r="K275" s="88" t="str">
        <f t="shared" si="12"/>
        <v>В</v>
      </c>
      <c r="L275" s="88" t="str">
        <f t="shared" si="13"/>
        <v>М</v>
      </c>
      <c r="M275" s="89" t="str">
        <f t="shared" si="14"/>
        <v>Технологии машиностроения и автоматизации производства</v>
      </c>
      <c r="N275" s="89" t="s">
        <v>301</v>
      </c>
    </row>
    <row r="276" spans="1:14" customFormat="1" ht="30" hidden="1" customHeight="1" x14ac:dyDescent="0.25">
      <c r="A276" s="62" t="s">
        <v>892</v>
      </c>
      <c r="B276" s="84" t="s">
        <v>698</v>
      </c>
      <c r="C276" s="85" t="s">
        <v>403</v>
      </c>
      <c r="D276" s="85" t="s">
        <v>296</v>
      </c>
      <c r="E276" s="84" t="s">
        <v>413</v>
      </c>
      <c r="F276" s="86" t="s">
        <v>331</v>
      </c>
      <c r="G276" s="87" t="s">
        <v>598</v>
      </c>
      <c r="H276" s="87" t="s">
        <v>701</v>
      </c>
      <c r="I276" s="87"/>
      <c r="J276" s="87" t="s">
        <v>553</v>
      </c>
      <c r="K276" s="88" t="str">
        <f t="shared" si="12"/>
        <v>В</v>
      </c>
      <c r="L276" s="88" t="str">
        <f t="shared" si="13"/>
        <v>М</v>
      </c>
      <c r="M276" s="89" t="str">
        <f t="shared" si="14"/>
        <v>Технологии добычи, транспортировки и переработки нефти и газа</v>
      </c>
      <c r="N276" s="89" t="s">
        <v>301</v>
      </c>
    </row>
    <row r="277" spans="1:14" customFormat="1" ht="30" hidden="1" customHeight="1" x14ac:dyDescent="0.25">
      <c r="A277" s="62" t="s">
        <v>893</v>
      </c>
      <c r="B277" s="84" t="s">
        <v>584</v>
      </c>
      <c r="C277" s="85" t="s">
        <v>419</v>
      </c>
      <c r="D277" s="85" t="s">
        <v>296</v>
      </c>
      <c r="E277" s="84" t="s">
        <v>297</v>
      </c>
      <c r="F277" s="86" t="s">
        <v>312</v>
      </c>
      <c r="G277" s="87" t="s">
        <v>585</v>
      </c>
      <c r="H277" s="87" t="s">
        <v>585</v>
      </c>
      <c r="I277" s="87"/>
      <c r="J277" s="87" t="s">
        <v>553</v>
      </c>
      <c r="K277" s="88" t="str">
        <f t="shared" si="12"/>
        <v>З</v>
      </c>
      <c r="L277" s="88" t="str">
        <f t="shared" si="13"/>
        <v>Б</v>
      </c>
      <c r="M277" s="89" t="str">
        <f t="shared" si="14"/>
        <v>Строительство</v>
      </c>
      <c r="N277" s="89" t="s">
        <v>301</v>
      </c>
    </row>
    <row r="278" spans="1:14" customFormat="1" ht="30" hidden="1" customHeight="1" x14ac:dyDescent="0.25">
      <c r="A278" s="62" t="s">
        <v>894</v>
      </c>
      <c r="B278" s="84" t="s">
        <v>587</v>
      </c>
      <c r="C278" s="85" t="s">
        <v>419</v>
      </c>
      <c r="D278" s="85" t="s">
        <v>296</v>
      </c>
      <c r="E278" s="84" t="s">
        <v>297</v>
      </c>
      <c r="F278" s="86" t="s">
        <v>312</v>
      </c>
      <c r="G278" s="87" t="s">
        <v>588</v>
      </c>
      <c r="H278" s="87" t="s">
        <v>588</v>
      </c>
      <c r="I278" s="87"/>
      <c r="J278" s="87" t="s">
        <v>553</v>
      </c>
      <c r="K278" s="88" t="str">
        <f t="shared" si="12"/>
        <v>З</v>
      </c>
      <c r="L278" s="88" t="str">
        <f t="shared" si="13"/>
        <v>Б</v>
      </c>
      <c r="M278" s="89" t="str">
        <f t="shared" si="14"/>
        <v>Энергетическое машиностроение</v>
      </c>
      <c r="N278" s="89" t="s">
        <v>301</v>
      </c>
    </row>
    <row r="279" spans="1:14" customFormat="1" ht="30" hidden="1" customHeight="1" x14ac:dyDescent="0.25">
      <c r="A279" s="62" t="s">
        <v>895</v>
      </c>
      <c r="B279" s="84" t="s">
        <v>587</v>
      </c>
      <c r="C279" s="85" t="s">
        <v>419</v>
      </c>
      <c r="D279" s="85" t="s">
        <v>296</v>
      </c>
      <c r="E279" s="84" t="s">
        <v>297</v>
      </c>
      <c r="F279" s="86" t="s">
        <v>312</v>
      </c>
      <c r="G279" s="87" t="s">
        <v>588</v>
      </c>
      <c r="H279" s="87" t="s">
        <v>590</v>
      </c>
      <c r="I279" s="87"/>
      <c r="J279" s="87" t="s">
        <v>553</v>
      </c>
      <c r="K279" s="88" t="str">
        <f t="shared" si="12"/>
        <v>З</v>
      </c>
      <c r="L279" s="88" t="str">
        <f t="shared" si="13"/>
        <v>Б</v>
      </c>
      <c r="M279" s="89" t="str">
        <f t="shared" si="14"/>
        <v>Комбинированные энергетические установки и альтернативная энергетика</v>
      </c>
      <c r="N279" s="89" t="s">
        <v>301</v>
      </c>
    </row>
    <row r="280" spans="1:14" customFormat="1" ht="30" hidden="1" customHeight="1" x14ac:dyDescent="0.25">
      <c r="A280" s="62" t="s">
        <v>896</v>
      </c>
      <c r="B280" s="84" t="s">
        <v>592</v>
      </c>
      <c r="C280" s="85" t="s">
        <v>419</v>
      </c>
      <c r="D280" s="85" t="s">
        <v>296</v>
      </c>
      <c r="E280" s="84" t="s">
        <v>297</v>
      </c>
      <c r="F280" s="86" t="s">
        <v>312</v>
      </c>
      <c r="G280" s="87" t="s">
        <v>593</v>
      </c>
      <c r="H280" s="87" t="s">
        <v>593</v>
      </c>
      <c r="I280" s="87"/>
      <c r="J280" s="87" t="s">
        <v>553</v>
      </c>
      <c r="K280" s="88" t="str">
        <f t="shared" si="12"/>
        <v>З</v>
      </c>
      <c r="L280" s="88" t="str">
        <f t="shared" si="13"/>
        <v>Б</v>
      </c>
      <c r="M280" s="89" t="str">
        <f t="shared" si="14"/>
        <v>Конструкторско-технологическое обеспечение машиностроительных производств</v>
      </c>
      <c r="N280" s="89" t="s">
        <v>301</v>
      </c>
    </row>
    <row r="281" spans="1:14" customFormat="1" ht="30" hidden="1" customHeight="1" x14ac:dyDescent="0.25">
      <c r="A281" s="62" t="s">
        <v>897</v>
      </c>
      <c r="B281" s="84" t="s">
        <v>592</v>
      </c>
      <c r="C281" s="85" t="s">
        <v>419</v>
      </c>
      <c r="D281" s="85" t="s">
        <v>296</v>
      </c>
      <c r="E281" s="84" t="s">
        <v>297</v>
      </c>
      <c r="F281" s="86" t="s">
        <v>312</v>
      </c>
      <c r="G281" s="87" t="s">
        <v>593</v>
      </c>
      <c r="H281" s="87" t="s">
        <v>595</v>
      </c>
      <c r="I281" s="87"/>
      <c r="J281" s="87" t="s">
        <v>553</v>
      </c>
      <c r="K281" s="88" t="str">
        <f t="shared" si="12"/>
        <v>З</v>
      </c>
      <c r="L281" s="88" t="str">
        <f t="shared" si="13"/>
        <v>Б</v>
      </c>
      <c r="M281" s="89" t="str">
        <f t="shared" si="14"/>
        <v>Системная инженерия машиностроительных производств</v>
      </c>
      <c r="N281" s="89" t="s">
        <v>301</v>
      </c>
    </row>
    <row r="282" spans="1:14" customFormat="1" ht="30" hidden="1" customHeight="1" x14ac:dyDescent="0.25">
      <c r="A282" s="62" t="s">
        <v>898</v>
      </c>
      <c r="B282" s="84" t="s">
        <v>601</v>
      </c>
      <c r="C282" s="85" t="s">
        <v>419</v>
      </c>
      <c r="D282" s="85" t="s">
        <v>296</v>
      </c>
      <c r="E282" s="84" t="s">
        <v>297</v>
      </c>
      <c r="F282" s="86" t="s">
        <v>312</v>
      </c>
      <c r="G282" s="87" t="s">
        <v>602</v>
      </c>
      <c r="H282" s="87" t="s">
        <v>602</v>
      </c>
      <c r="I282" s="87"/>
      <c r="J282" s="87" t="s">
        <v>553</v>
      </c>
      <c r="K282" s="88" t="str">
        <f t="shared" si="12"/>
        <v>З</v>
      </c>
      <c r="L282" s="88" t="str">
        <f t="shared" si="13"/>
        <v>Б</v>
      </c>
      <c r="M282" s="89" t="str">
        <f t="shared" si="14"/>
        <v>Эксплуатация транспортно-технологических машин и комплексов</v>
      </c>
      <c r="N282" s="89" t="s">
        <v>301</v>
      </c>
    </row>
    <row r="283" spans="1:14" customFormat="1" ht="30" hidden="1" customHeight="1" x14ac:dyDescent="0.25">
      <c r="A283" s="62" t="s">
        <v>899</v>
      </c>
      <c r="B283" s="84" t="s">
        <v>601</v>
      </c>
      <c r="C283" s="85" t="s">
        <v>419</v>
      </c>
      <c r="D283" s="85" t="s">
        <v>296</v>
      </c>
      <c r="E283" s="84" t="s">
        <v>297</v>
      </c>
      <c r="F283" s="86" t="s">
        <v>312</v>
      </c>
      <c r="G283" s="87" t="s">
        <v>602</v>
      </c>
      <c r="H283" s="87" t="s">
        <v>604</v>
      </c>
      <c r="I283" s="87"/>
      <c r="J283" s="87" t="s">
        <v>553</v>
      </c>
      <c r="K283" s="88" t="str">
        <f t="shared" si="12"/>
        <v>З</v>
      </c>
      <c r="L283" s="88" t="str">
        <f t="shared" si="13"/>
        <v>Б</v>
      </c>
      <c r="M283" s="89" t="str">
        <f t="shared" si="14"/>
        <v>Эксплуатация автомобилей и электромобилей</v>
      </c>
      <c r="N283" s="89" t="s">
        <v>301</v>
      </c>
    </row>
    <row r="284" spans="1:14" ht="30" hidden="1" customHeight="1" x14ac:dyDescent="0.25">
      <c r="A284" s="62" t="s">
        <v>900</v>
      </c>
      <c r="B284" s="84" t="s">
        <v>606</v>
      </c>
      <c r="C284" s="85" t="s">
        <v>419</v>
      </c>
      <c r="D284" s="85" t="s">
        <v>296</v>
      </c>
      <c r="E284" s="84" t="s">
        <v>297</v>
      </c>
      <c r="F284" s="86" t="s">
        <v>312</v>
      </c>
      <c r="G284" s="87" t="s">
        <v>472</v>
      </c>
      <c r="H284" s="87" t="s">
        <v>607</v>
      </c>
      <c r="I284" s="87"/>
      <c r="J284" s="87" t="s">
        <v>553</v>
      </c>
      <c r="K284" s="88" t="str">
        <f t="shared" si="12"/>
        <v>З</v>
      </c>
      <c r="L284" s="88" t="str">
        <f t="shared" si="13"/>
        <v>Б</v>
      </c>
      <c r="M284" s="89" t="str">
        <f t="shared" si="14"/>
        <v>Управление инновациями в инженерном бизнесе</v>
      </c>
      <c r="N284" s="89" t="s">
        <v>301</v>
      </c>
    </row>
    <row r="285" spans="1:14" ht="30" hidden="1" customHeight="1" x14ac:dyDescent="0.25">
      <c r="A285" s="62" t="s">
        <v>901</v>
      </c>
      <c r="B285" s="84" t="s">
        <v>606</v>
      </c>
      <c r="C285" s="85" t="s">
        <v>419</v>
      </c>
      <c r="D285" s="85" t="s">
        <v>296</v>
      </c>
      <c r="E285" s="84" t="s">
        <v>297</v>
      </c>
      <c r="F285" s="86" t="s">
        <v>312</v>
      </c>
      <c r="G285" s="87" t="s">
        <v>472</v>
      </c>
      <c r="H285" s="87" t="s">
        <v>617</v>
      </c>
      <c r="I285" s="87"/>
      <c r="J285" s="87" t="s">
        <v>553</v>
      </c>
      <c r="K285" s="88" t="str">
        <f t="shared" si="12"/>
        <v>З</v>
      </c>
      <c r="L285" s="88" t="str">
        <f t="shared" si="13"/>
        <v>Б</v>
      </c>
      <c r="M285" s="89" t="str">
        <f t="shared" si="14"/>
        <v>Управление информационными процессами, машинное обучение и кибербезопасность</v>
      </c>
      <c r="N285" s="89" t="s">
        <v>301</v>
      </c>
    </row>
    <row r="286" spans="1:14" ht="30" hidden="1" customHeight="1" x14ac:dyDescent="0.25">
      <c r="A286" s="62" t="s">
        <v>902</v>
      </c>
      <c r="B286" s="84" t="s">
        <v>606</v>
      </c>
      <c r="C286" s="85" t="s">
        <v>419</v>
      </c>
      <c r="D286" s="85" t="s">
        <v>296</v>
      </c>
      <c r="E286" s="84" t="s">
        <v>297</v>
      </c>
      <c r="F286" s="86" t="s">
        <v>312</v>
      </c>
      <c r="G286" s="87" t="s">
        <v>472</v>
      </c>
      <c r="H286" s="87" t="s">
        <v>619</v>
      </c>
      <c r="I286" s="87"/>
      <c r="J286" s="87" t="s">
        <v>553</v>
      </c>
      <c r="K286" s="88" t="str">
        <f t="shared" si="12"/>
        <v>З</v>
      </c>
      <c r="L286" s="88" t="str">
        <f t="shared" si="13"/>
        <v>Б</v>
      </c>
      <c r="M286" s="89" t="str">
        <f t="shared" si="14"/>
        <v>Data Engineering, интеллектуальные системы и кибербезопасность</v>
      </c>
      <c r="N286" s="89" t="s">
        <v>301</v>
      </c>
    </row>
    <row r="287" spans="1:14" customFormat="1" ht="30" hidden="1" customHeight="1" x14ac:dyDescent="0.25">
      <c r="A287" s="62" t="s">
        <v>903</v>
      </c>
      <c r="B287" s="84" t="s">
        <v>623</v>
      </c>
      <c r="C287" s="85" t="s">
        <v>419</v>
      </c>
      <c r="D287" s="85" t="s">
        <v>296</v>
      </c>
      <c r="E287" s="84" t="s">
        <v>297</v>
      </c>
      <c r="F287" s="86" t="s">
        <v>312</v>
      </c>
      <c r="G287" s="87" t="s">
        <v>624</v>
      </c>
      <c r="H287" s="87" t="s">
        <v>625</v>
      </c>
      <c r="I287" s="87"/>
      <c r="J287" s="87" t="s">
        <v>553</v>
      </c>
      <c r="K287" s="88" t="str">
        <f t="shared" si="12"/>
        <v>З</v>
      </c>
      <c r="L287" s="88" t="str">
        <f t="shared" si="13"/>
        <v>Б</v>
      </c>
      <c r="M287" s="89" t="str">
        <f t="shared" si="14"/>
        <v>Управление инновациями в отраслях промышленности</v>
      </c>
      <c r="N287" s="89" t="s">
        <v>301</v>
      </c>
    </row>
    <row r="288" spans="1:14" ht="30" hidden="1" customHeight="1" x14ac:dyDescent="0.25">
      <c r="A288" s="62" t="s">
        <v>904</v>
      </c>
      <c r="B288" s="84" t="s">
        <v>627</v>
      </c>
      <c r="C288" s="85" t="s">
        <v>419</v>
      </c>
      <c r="D288" s="85" t="s">
        <v>296</v>
      </c>
      <c r="E288" s="84" t="s">
        <v>297</v>
      </c>
      <c r="F288" s="86" t="s">
        <v>312</v>
      </c>
      <c r="G288" s="87" t="s">
        <v>628</v>
      </c>
      <c r="H288" s="87" t="s">
        <v>628</v>
      </c>
      <c r="I288" s="87"/>
      <c r="J288" s="87" t="s">
        <v>553</v>
      </c>
      <c r="K288" s="88" t="str">
        <f t="shared" si="12"/>
        <v>З</v>
      </c>
      <c r="L288" s="88" t="str">
        <f t="shared" si="13"/>
        <v>Б</v>
      </c>
      <c r="M288" s="89" t="str">
        <f t="shared" si="14"/>
        <v>Наноинженерия</v>
      </c>
      <c r="N288" s="89" t="s">
        <v>301</v>
      </c>
    </row>
    <row r="289" spans="1:14" ht="30" hidden="1" customHeight="1" x14ac:dyDescent="0.25">
      <c r="A289" s="62" t="s">
        <v>905</v>
      </c>
      <c r="B289" s="84" t="s">
        <v>627</v>
      </c>
      <c r="C289" s="85" t="s">
        <v>419</v>
      </c>
      <c r="D289" s="85" t="s">
        <v>296</v>
      </c>
      <c r="E289" s="84" t="s">
        <v>297</v>
      </c>
      <c r="F289" s="86" t="s">
        <v>312</v>
      </c>
      <c r="G289" s="87" t="s">
        <v>628</v>
      </c>
      <c r="H289" s="87" t="s">
        <v>630</v>
      </c>
      <c r="I289" s="87"/>
      <c r="J289" s="87" t="s">
        <v>553</v>
      </c>
      <c r="K289" s="88" t="str">
        <f t="shared" si="12"/>
        <v>З</v>
      </c>
      <c r="L289" s="88" t="str">
        <f t="shared" si="13"/>
        <v>Б</v>
      </c>
      <c r="M289" s="89" t="str">
        <f t="shared" si="14"/>
        <v>Нанотехнологии и наноматериалы в приборостроении</v>
      </c>
      <c r="N289" s="89" t="s">
        <v>301</v>
      </c>
    </row>
    <row r="290" spans="1:14" customFormat="1" ht="30" hidden="1" customHeight="1" x14ac:dyDescent="0.25">
      <c r="A290" s="62" t="s">
        <v>906</v>
      </c>
      <c r="B290" s="84" t="s">
        <v>671</v>
      </c>
      <c r="C290" s="85" t="s">
        <v>419</v>
      </c>
      <c r="D290" s="85" t="s">
        <v>296</v>
      </c>
      <c r="E290" s="84" t="s">
        <v>413</v>
      </c>
      <c r="F290" s="86" t="s">
        <v>331</v>
      </c>
      <c r="G290" s="87" t="s">
        <v>585</v>
      </c>
      <c r="H290" s="87" t="s">
        <v>907</v>
      </c>
      <c r="I290" s="87"/>
      <c r="J290" s="87" t="s">
        <v>553</v>
      </c>
      <c r="K290" s="88" t="str">
        <f t="shared" si="12"/>
        <v>З</v>
      </c>
      <c r="L290" s="88" t="str">
        <f t="shared" si="13"/>
        <v>М</v>
      </c>
      <c r="M290" s="89" t="str">
        <f t="shared" si="14"/>
        <v>Теория и практика организационно-технологических и экономических решений в строительстве</v>
      </c>
      <c r="N290" s="89" t="s">
        <v>301</v>
      </c>
    </row>
    <row r="291" spans="1:14" customFormat="1" ht="30" hidden="1" customHeight="1" x14ac:dyDescent="0.25">
      <c r="A291" s="62" t="s">
        <v>908</v>
      </c>
      <c r="B291" s="84" t="s">
        <v>671</v>
      </c>
      <c r="C291" s="85" t="s">
        <v>419</v>
      </c>
      <c r="D291" s="85" t="s">
        <v>296</v>
      </c>
      <c r="E291" s="84" t="s">
        <v>413</v>
      </c>
      <c r="F291" s="86" t="s">
        <v>331</v>
      </c>
      <c r="G291" s="87" t="s">
        <v>585</v>
      </c>
      <c r="H291" s="87" t="s">
        <v>676</v>
      </c>
      <c r="I291" s="87"/>
      <c r="J291" s="87" t="s">
        <v>553</v>
      </c>
      <c r="K291" s="88" t="str">
        <f t="shared" si="12"/>
        <v>З</v>
      </c>
      <c r="L291" s="88" t="str">
        <f t="shared" si="13"/>
        <v>М</v>
      </c>
      <c r="M291" s="89" t="str">
        <f t="shared" si="14"/>
        <v>Технология, организация и экономика строительства</v>
      </c>
      <c r="N291" s="89" t="s">
        <v>301</v>
      </c>
    </row>
    <row r="292" spans="1:14" ht="30" hidden="1" customHeight="1" x14ac:dyDescent="0.25">
      <c r="A292" s="62" t="s">
        <v>909</v>
      </c>
      <c r="B292" s="84" t="s">
        <v>684</v>
      </c>
      <c r="C292" s="85" t="s">
        <v>419</v>
      </c>
      <c r="D292" s="85" t="s">
        <v>296</v>
      </c>
      <c r="E292" s="84" t="s">
        <v>413</v>
      </c>
      <c r="F292" s="86" t="s">
        <v>331</v>
      </c>
      <c r="G292" s="87" t="s">
        <v>588</v>
      </c>
      <c r="H292" s="87" t="s">
        <v>689</v>
      </c>
      <c r="I292" s="87"/>
      <c r="J292" s="87" t="s">
        <v>553</v>
      </c>
      <c r="K292" s="88" t="str">
        <f t="shared" si="12"/>
        <v>З</v>
      </c>
      <c r="L292" s="88" t="str">
        <f t="shared" si="13"/>
        <v>М</v>
      </c>
      <c r="M292" s="89" t="str">
        <f t="shared" si="14"/>
        <v>Эксплуатация оборудования энергетических систем</v>
      </c>
      <c r="N292" s="89" t="s">
        <v>301</v>
      </c>
    </row>
    <row r="293" spans="1:14" customFormat="1" ht="30" hidden="1" customHeight="1" x14ac:dyDescent="0.25">
      <c r="A293" s="62" t="s">
        <v>910</v>
      </c>
      <c r="B293" s="84" t="s">
        <v>713</v>
      </c>
      <c r="C293" s="85" t="s">
        <v>419</v>
      </c>
      <c r="D293" s="85" t="s">
        <v>296</v>
      </c>
      <c r="E293" s="84" t="s">
        <v>413</v>
      </c>
      <c r="F293" s="86" t="s">
        <v>331</v>
      </c>
      <c r="G293" s="87" t="s">
        <v>602</v>
      </c>
      <c r="H293" s="87" t="s">
        <v>714</v>
      </c>
      <c r="I293" s="87"/>
      <c r="J293" s="87" t="s">
        <v>553</v>
      </c>
      <c r="K293" s="88" t="str">
        <f t="shared" si="12"/>
        <v>З</v>
      </c>
      <c r="L293" s="88" t="str">
        <f t="shared" si="13"/>
        <v>М</v>
      </c>
      <c r="M293" s="89" t="str">
        <f t="shared" si="14"/>
        <v>Эксплуатация и техническая экспертиза автотранспортных средств</v>
      </c>
      <c r="N293" s="89" t="s">
        <v>301</v>
      </c>
    </row>
    <row r="294" spans="1:14" ht="30" hidden="1" customHeight="1" x14ac:dyDescent="0.25">
      <c r="A294" s="62" t="s">
        <v>911</v>
      </c>
      <c r="B294" s="84" t="s">
        <v>740</v>
      </c>
      <c r="C294" s="85" t="s">
        <v>419</v>
      </c>
      <c r="D294" s="85" t="s">
        <v>296</v>
      </c>
      <c r="E294" s="84" t="s">
        <v>413</v>
      </c>
      <c r="F294" s="86" t="s">
        <v>331</v>
      </c>
      <c r="G294" s="87" t="s">
        <v>624</v>
      </c>
      <c r="H294" s="87" t="s">
        <v>912</v>
      </c>
      <c r="I294" s="87"/>
      <c r="J294" s="87" t="s">
        <v>553</v>
      </c>
      <c r="K294" s="88" t="str">
        <f t="shared" si="12"/>
        <v>З</v>
      </c>
      <c r="L294" s="88" t="str">
        <f t="shared" si="13"/>
        <v>М</v>
      </c>
      <c r="M294" s="89" t="str">
        <f t="shared" si="14"/>
        <v>Управление инновациями</v>
      </c>
      <c r="N294" s="89" t="s">
        <v>301</v>
      </c>
    </row>
    <row r="295" spans="1:14" ht="30" hidden="1" customHeight="1" x14ac:dyDescent="0.25">
      <c r="A295" s="62" t="s">
        <v>913</v>
      </c>
      <c r="B295" s="84" t="s">
        <v>740</v>
      </c>
      <c r="C295" s="85" t="s">
        <v>419</v>
      </c>
      <c r="D295" s="85" t="s">
        <v>296</v>
      </c>
      <c r="E295" s="84" t="s">
        <v>413</v>
      </c>
      <c r="F295" s="86" t="s">
        <v>331</v>
      </c>
      <c r="G295" s="87" t="s">
        <v>624</v>
      </c>
      <c r="H295" s="87" t="s">
        <v>742</v>
      </c>
      <c r="I295" s="87"/>
      <c r="J295" s="87" t="s">
        <v>553</v>
      </c>
      <c r="K295" s="88" t="str">
        <f t="shared" si="12"/>
        <v>З</v>
      </c>
      <c r="L295" s="88" t="str">
        <f t="shared" si="13"/>
        <v>М</v>
      </c>
      <c r="M295" s="89" t="str">
        <f t="shared" si="14"/>
        <v>Цифровая трансформация в управлении производством</v>
      </c>
      <c r="N295" s="89" t="s">
        <v>301</v>
      </c>
    </row>
    <row r="296" spans="1:14" customFormat="1" ht="30" hidden="1" customHeight="1" x14ac:dyDescent="0.25">
      <c r="A296" s="62" t="s">
        <v>914</v>
      </c>
      <c r="B296" s="84" t="s">
        <v>915</v>
      </c>
      <c r="C296" s="85" t="s">
        <v>419</v>
      </c>
      <c r="D296" s="85" t="s">
        <v>296</v>
      </c>
      <c r="E296" s="84" t="s">
        <v>297</v>
      </c>
      <c r="F296" s="86" t="s">
        <v>368</v>
      </c>
      <c r="G296" s="87" t="s">
        <v>916</v>
      </c>
      <c r="H296" s="87" t="s">
        <v>796</v>
      </c>
      <c r="I296" s="87"/>
      <c r="J296" s="87" t="s">
        <v>553</v>
      </c>
      <c r="K296" s="88" t="str">
        <f t="shared" si="12"/>
        <v>З</v>
      </c>
      <c r="L296" s="88" t="str">
        <f t="shared" si="13"/>
        <v>А</v>
      </c>
      <c r="M296" s="89" t="str">
        <f t="shared" si="14"/>
        <v>Водоснабжение, канализация, строительные системы охраны водных ресурсов</v>
      </c>
      <c r="N296" s="89" t="s">
        <v>301</v>
      </c>
    </row>
    <row r="297" spans="1:14" customFormat="1" ht="30" hidden="1" customHeight="1" x14ac:dyDescent="0.25">
      <c r="A297" s="62" t="s">
        <v>917</v>
      </c>
      <c r="B297" s="84" t="s">
        <v>915</v>
      </c>
      <c r="C297" s="85" t="s">
        <v>419</v>
      </c>
      <c r="D297" s="85" t="s">
        <v>296</v>
      </c>
      <c r="E297" s="84" t="s">
        <v>297</v>
      </c>
      <c r="F297" s="86" t="s">
        <v>368</v>
      </c>
      <c r="G297" s="87" t="s">
        <v>916</v>
      </c>
      <c r="H297" s="87" t="s">
        <v>918</v>
      </c>
      <c r="I297" s="87"/>
      <c r="J297" s="87" t="s">
        <v>553</v>
      </c>
      <c r="K297" s="88" t="str">
        <f t="shared" si="12"/>
        <v>З</v>
      </c>
      <c r="L297" s="88" t="str">
        <f t="shared" si="13"/>
        <v>А</v>
      </c>
      <c r="M297" s="89" t="str">
        <f t="shared" si="14"/>
        <v>Гидравлика и инженерная гидрология</v>
      </c>
      <c r="N297" s="89" t="s">
        <v>301</v>
      </c>
    </row>
    <row r="298" spans="1:14" ht="30" hidden="1" customHeight="1" x14ac:dyDescent="0.25">
      <c r="A298" s="62" t="s">
        <v>919</v>
      </c>
      <c r="B298" s="84" t="s">
        <v>915</v>
      </c>
      <c r="C298" s="85" t="s">
        <v>419</v>
      </c>
      <c r="D298" s="85" t="s">
        <v>296</v>
      </c>
      <c r="E298" s="84" t="s">
        <v>297</v>
      </c>
      <c r="F298" s="86" t="s">
        <v>368</v>
      </c>
      <c r="G298" s="87" t="s">
        <v>916</v>
      </c>
      <c r="H298" s="87" t="s">
        <v>920</v>
      </c>
      <c r="I298" s="87"/>
      <c r="J298" s="87" t="s">
        <v>553</v>
      </c>
      <c r="K298" s="88" t="str">
        <f t="shared" si="12"/>
        <v>З</v>
      </c>
      <c r="L298" s="88" t="str">
        <f t="shared" si="13"/>
        <v>А</v>
      </c>
      <c r="M298" s="89" t="str">
        <f t="shared" si="14"/>
        <v>Гидротехническое строительство</v>
      </c>
      <c r="N298" s="89" t="s">
        <v>301</v>
      </c>
    </row>
    <row r="299" spans="1:14" ht="30" hidden="1" customHeight="1" x14ac:dyDescent="0.25">
      <c r="A299" s="62" t="s">
        <v>921</v>
      </c>
      <c r="B299" s="84" t="s">
        <v>915</v>
      </c>
      <c r="C299" s="85" t="s">
        <v>419</v>
      </c>
      <c r="D299" s="85" t="s">
        <v>296</v>
      </c>
      <c r="E299" s="84" t="s">
        <v>297</v>
      </c>
      <c r="F299" s="86" t="s">
        <v>368</v>
      </c>
      <c r="G299" s="87" t="s">
        <v>916</v>
      </c>
      <c r="H299" s="87" t="s">
        <v>811</v>
      </c>
      <c r="I299" s="87"/>
      <c r="J299" s="87" t="s">
        <v>553</v>
      </c>
      <c r="K299" s="88" t="str">
        <f t="shared" si="12"/>
        <v>З</v>
      </c>
      <c r="L299" s="88" t="str">
        <f t="shared" si="13"/>
        <v>А</v>
      </c>
      <c r="M299" s="89" t="str">
        <f t="shared" si="14"/>
        <v>Строительная механика</v>
      </c>
      <c r="N299" s="89" t="s">
        <v>301</v>
      </c>
    </row>
    <row r="300" spans="1:14" ht="30" hidden="1" customHeight="1" x14ac:dyDescent="0.25">
      <c r="A300" s="62" t="s">
        <v>922</v>
      </c>
      <c r="B300" s="84" t="s">
        <v>915</v>
      </c>
      <c r="C300" s="85" t="s">
        <v>419</v>
      </c>
      <c r="D300" s="85" t="s">
        <v>296</v>
      </c>
      <c r="E300" s="84" t="s">
        <v>297</v>
      </c>
      <c r="F300" s="86" t="s">
        <v>368</v>
      </c>
      <c r="G300" s="87" t="s">
        <v>916</v>
      </c>
      <c r="H300" s="87" t="s">
        <v>784</v>
      </c>
      <c r="I300" s="87"/>
      <c r="J300" s="87" t="s">
        <v>553</v>
      </c>
      <c r="K300" s="88" t="str">
        <f t="shared" si="12"/>
        <v>З</v>
      </c>
      <c r="L300" s="88" t="str">
        <f t="shared" si="13"/>
        <v>А</v>
      </c>
      <c r="M300" s="89" t="str">
        <f t="shared" si="14"/>
        <v>Строительные конструкции, здания и сооружения</v>
      </c>
      <c r="N300" s="89" t="s">
        <v>301</v>
      </c>
    </row>
    <row r="301" spans="1:14" customFormat="1" ht="30" hidden="1" customHeight="1" x14ac:dyDescent="0.25">
      <c r="A301" s="62" t="s">
        <v>923</v>
      </c>
      <c r="B301" s="84" t="s">
        <v>915</v>
      </c>
      <c r="C301" s="85" t="s">
        <v>419</v>
      </c>
      <c r="D301" s="85" t="s">
        <v>296</v>
      </c>
      <c r="E301" s="84" t="s">
        <v>297</v>
      </c>
      <c r="F301" s="86" t="s">
        <v>368</v>
      </c>
      <c r="G301" s="87" t="s">
        <v>916</v>
      </c>
      <c r="H301" s="87" t="s">
        <v>807</v>
      </c>
      <c r="I301" s="87"/>
      <c r="J301" s="87" t="s">
        <v>553</v>
      </c>
      <c r="K301" s="88" t="str">
        <f t="shared" si="12"/>
        <v>З</v>
      </c>
      <c r="L301" s="88" t="str">
        <f t="shared" si="13"/>
        <v>А</v>
      </c>
      <c r="M301" s="89" t="str">
        <f t="shared" si="14"/>
        <v>Технология и организация строительства</v>
      </c>
      <c r="N301" s="89" t="s">
        <v>301</v>
      </c>
    </row>
    <row r="302" spans="1:14" customFormat="1" ht="30" customHeight="1" x14ac:dyDescent="0.25">
      <c r="A302" s="62" t="s">
        <v>924</v>
      </c>
      <c r="B302" s="84" t="s">
        <v>925</v>
      </c>
      <c r="C302" s="85" t="s">
        <v>419</v>
      </c>
      <c r="D302" s="85" t="s">
        <v>296</v>
      </c>
      <c r="E302" s="84" t="s">
        <v>297</v>
      </c>
      <c r="F302" s="86" t="s">
        <v>368</v>
      </c>
      <c r="G302" s="87" t="s">
        <v>926</v>
      </c>
      <c r="H302" s="87" t="s">
        <v>927</v>
      </c>
      <c r="I302" s="87"/>
      <c r="J302" s="87" t="s">
        <v>553</v>
      </c>
      <c r="K302" s="88" t="str">
        <f t="shared" si="12"/>
        <v>З</v>
      </c>
      <c r="L302" s="88" t="str">
        <f t="shared" si="13"/>
        <v>А</v>
      </c>
      <c r="M302" s="89" t="str">
        <f t="shared" si="14"/>
        <v>Системный анализ, управление и обработка информации (технические науки)</v>
      </c>
      <c r="N302" s="89" t="s">
        <v>301</v>
      </c>
    </row>
    <row r="303" spans="1:14" customFormat="1" ht="30" customHeight="1" x14ac:dyDescent="0.25">
      <c r="A303" s="62" t="s">
        <v>928</v>
      </c>
      <c r="B303" s="84" t="s">
        <v>925</v>
      </c>
      <c r="C303" s="85" t="s">
        <v>419</v>
      </c>
      <c r="D303" s="85" t="s">
        <v>296</v>
      </c>
      <c r="E303" s="84" t="s">
        <v>297</v>
      </c>
      <c r="F303" s="86" t="s">
        <v>368</v>
      </c>
      <c r="G303" s="87" t="s">
        <v>926</v>
      </c>
      <c r="H303" s="87" t="s">
        <v>929</v>
      </c>
      <c r="I303" s="87"/>
      <c r="J303" s="87" t="s">
        <v>553</v>
      </c>
      <c r="K303" s="88" t="str">
        <f t="shared" si="12"/>
        <v>З</v>
      </c>
      <c r="L303" s="88" t="str">
        <f t="shared" si="13"/>
        <v>А</v>
      </c>
      <c r="M303" s="89" t="str">
        <f t="shared" si="14"/>
        <v>Управление в социальных и экономических системах (технические науки)</v>
      </c>
      <c r="N303" s="89" t="s">
        <v>301</v>
      </c>
    </row>
    <row r="304" spans="1:14" customFormat="1" ht="30" customHeight="1" x14ac:dyDescent="0.25">
      <c r="A304" s="62" t="s">
        <v>930</v>
      </c>
      <c r="B304" s="84" t="s">
        <v>925</v>
      </c>
      <c r="C304" s="85" t="s">
        <v>419</v>
      </c>
      <c r="D304" s="85" t="s">
        <v>296</v>
      </c>
      <c r="E304" s="84" t="s">
        <v>297</v>
      </c>
      <c r="F304" s="86" t="s">
        <v>368</v>
      </c>
      <c r="G304" s="87" t="s">
        <v>926</v>
      </c>
      <c r="H304" s="87" t="s">
        <v>931</v>
      </c>
      <c r="I304" s="87"/>
      <c r="J304" s="87" t="s">
        <v>553</v>
      </c>
      <c r="K304" s="88" t="str">
        <f t="shared" si="12"/>
        <v>З</v>
      </c>
      <c r="L304" s="88" t="str">
        <f t="shared" si="13"/>
        <v>А</v>
      </c>
      <c r="M304" s="89" t="str">
        <f t="shared" si="14"/>
        <v>Элементы и устройства вычислительной техники и систем управления (технические науки)</v>
      </c>
      <c r="N304" s="89" t="s">
        <v>301</v>
      </c>
    </row>
    <row r="305" spans="1:14" customFormat="1" ht="30" hidden="1" customHeight="1" x14ac:dyDescent="0.25">
      <c r="A305" s="62" t="s">
        <v>932</v>
      </c>
      <c r="B305" s="84" t="s">
        <v>933</v>
      </c>
      <c r="C305" s="85" t="s">
        <v>419</v>
      </c>
      <c r="D305" s="85" t="s">
        <v>296</v>
      </c>
      <c r="E305" s="84" t="s">
        <v>297</v>
      </c>
      <c r="F305" s="86" t="s">
        <v>368</v>
      </c>
      <c r="G305" s="87" t="s">
        <v>934</v>
      </c>
      <c r="H305" s="87" t="s">
        <v>935</v>
      </c>
      <c r="I305" s="87"/>
      <c r="J305" s="87" t="s">
        <v>553</v>
      </c>
      <c r="K305" s="88" t="str">
        <f t="shared" si="12"/>
        <v>З</v>
      </c>
      <c r="L305" s="88" t="str">
        <f t="shared" si="13"/>
        <v>А</v>
      </c>
      <c r="M305" s="89" t="str">
        <f t="shared" si="14"/>
        <v>Тепловые двигатели</v>
      </c>
      <c r="N305" s="89" t="s">
        <v>301</v>
      </c>
    </row>
    <row r="306" spans="1:14" customFormat="1" ht="30" hidden="1" customHeight="1" x14ac:dyDescent="0.25">
      <c r="A306" s="62" t="s">
        <v>936</v>
      </c>
      <c r="B306" s="84" t="s">
        <v>933</v>
      </c>
      <c r="C306" s="85" t="s">
        <v>419</v>
      </c>
      <c r="D306" s="85" t="s">
        <v>296</v>
      </c>
      <c r="E306" s="84" t="s">
        <v>297</v>
      </c>
      <c r="F306" s="86" t="s">
        <v>368</v>
      </c>
      <c r="G306" s="87" t="s">
        <v>934</v>
      </c>
      <c r="H306" s="87" t="s">
        <v>937</v>
      </c>
      <c r="I306" s="87"/>
      <c r="J306" s="87" t="s">
        <v>553</v>
      </c>
      <c r="K306" s="88" t="str">
        <f t="shared" si="12"/>
        <v>З</v>
      </c>
      <c r="L306" s="88" t="str">
        <f t="shared" si="13"/>
        <v>А</v>
      </c>
      <c r="M306" s="89" t="str">
        <f t="shared" si="14"/>
        <v>Турбомашины и комбинированные турбоустановки</v>
      </c>
      <c r="N306" s="89" t="s">
        <v>301</v>
      </c>
    </row>
    <row r="307" spans="1:14" customFormat="1" ht="30" hidden="1" customHeight="1" x14ac:dyDescent="0.25">
      <c r="A307" s="62" t="s">
        <v>938</v>
      </c>
      <c r="B307" s="84" t="s">
        <v>939</v>
      </c>
      <c r="C307" s="85" t="s">
        <v>419</v>
      </c>
      <c r="D307" s="85" t="s">
        <v>296</v>
      </c>
      <c r="E307" s="84" t="s">
        <v>297</v>
      </c>
      <c r="F307" s="86" t="s">
        <v>368</v>
      </c>
      <c r="G307" s="87" t="s">
        <v>687</v>
      </c>
      <c r="H307" s="87" t="s">
        <v>847</v>
      </c>
      <c r="I307" s="87"/>
      <c r="J307" s="87" t="s">
        <v>553</v>
      </c>
      <c r="K307" s="88" t="str">
        <f t="shared" si="12"/>
        <v>З</v>
      </c>
      <c r="L307" s="88" t="str">
        <f t="shared" si="13"/>
        <v>А</v>
      </c>
      <c r="M307" s="89" t="str">
        <f t="shared" si="14"/>
        <v>Технология и оборудование механической и физико-технической обработки</v>
      </c>
      <c r="N307" s="89" t="s">
        <v>301</v>
      </c>
    </row>
    <row r="308" spans="1:14" customFormat="1" ht="30" hidden="1" customHeight="1" x14ac:dyDescent="0.25">
      <c r="A308" s="62" t="s">
        <v>940</v>
      </c>
      <c r="B308" s="84" t="s">
        <v>941</v>
      </c>
      <c r="C308" s="85" t="s">
        <v>419</v>
      </c>
      <c r="D308" s="85" t="s">
        <v>296</v>
      </c>
      <c r="E308" s="84" t="s">
        <v>297</v>
      </c>
      <c r="F308" s="86" t="s">
        <v>368</v>
      </c>
      <c r="G308" s="87" t="s">
        <v>942</v>
      </c>
      <c r="H308" s="87" t="s">
        <v>943</v>
      </c>
      <c r="I308" s="87"/>
      <c r="J308" s="87" t="s">
        <v>553</v>
      </c>
      <c r="K308" s="88" t="str">
        <f t="shared" si="12"/>
        <v>З</v>
      </c>
      <c r="L308" s="88" t="str">
        <f t="shared" si="13"/>
        <v>А</v>
      </c>
      <c r="M308" s="89" t="str">
        <f t="shared" si="14"/>
        <v>Геотехнология (подземная, открытая и строительная)</v>
      </c>
      <c r="N308" s="89" t="s">
        <v>301</v>
      </c>
    </row>
    <row r="309" spans="1:14" customFormat="1" ht="30" hidden="1" customHeight="1" x14ac:dyDescent="0.25">
      <c r="A309" s="62" t="s">
        <v>944</v>
      </c>
      <c r="B309" s="84" t="s">
        <v>941</v>
      </c>
      <c r="C309" s="85" t="s">
        <v>419</v>
      </c>
      <c r="D309" s="85" t="s">
        <v>296</v>
      </c>
      <c r="E309" s="84" t="s">
        <v>297</v>
      </c>
      <c r="F309" s="86" t="s">
        <v>368</v>
      </c>
      <c r="G309" s="87" t="s">
        <v>942</v>
      </c>
      <c r="H309" s="87" t="s">
        <v>858</v>
      </c>
      <c r="I309" s="87"/>
      <c r="J309" s="87" t="s">
        <v>553</v>
      </c>
      <c r="K309" s="88" t="str">
        <f t="shared" si="12"/>
        <v>З</v>
      </c>
      <c r="L309" s="88" t="str">
        <f t="shared" si="13"/>
        <v>А</v>
      </c>
      <c r="M309" s="89" t="str">
        <f t="shared" si="14"/>
        <v>Горнопромышленная и нефтегазопромысловая геология, геофизика, маркшейдерское дело и геометрия недр</v>
      </c>
      <c r="N309" s="89" t="s">
        <v>301</v>
      </c>
    </row>
    <row r="310" spans="1:14" customFormat="1" ht="30" hidden="1" customHeight="1" x14ac:dyDescent="0.25">
      <c r="A310" s="62" t="s">
        <v>945</v>
      </c>
      <c r="B310" s="84" t="s">
        <v>941</v>
      </c>
      <c r="C310" s="85" t="s">
        <v>419</v>
      </c>
      <c r="D310" s="85" t="s">
        <v>296</v>
      </c>
      <c r="E310" s="84" t="s">
        <v>297</v>
      </c>
      <c r="F310" s="86" t="s">
        <v>368</v>
      </c>
      <c r="G310" s="87" t="s">
        <v>942</v>
      </c>
      <c r="H310" s="87" t="s">
        <v>861</v>
      </c>
      <c r="I310" s="87"/>
      <c r="J310" s="87" t="s">
        <v>553</v>
      </c>
      <c r="K310" s="88" t="str">
        <f t="shared" si="12"/>
        <v>З</v>
      </c>
      <c r="L310" s="88" t="str">
        <f t="shared" si="13"/>
        <v>А</v>
      </c>
      <c r="M310" s="89" t="str">
        <f t="shared" si="14"/>
        <v>Разработка и эксплуатация нефтяных и газовых месторождений</v>
      </c>
      <c r="N310" s="89" t="s">
        <v>301</v>
      </c>
    </row>
    <row r="311" spans="1:14" customFormat="1" ht="30" hidden="1" customHeight="1" x14ac:dyDescent="0.25">
      <c r="A311" s="62" t="s">
        <v>946</v>
      </c>
      <c r="B311" s="84" t="s">
        <v>947</v>
      </c>
      <c r="C311" s="85" t="s">
        <v>419</v>
      </c>
      <c r="D311" s="85" t="s">
        <v>296</v>
      </c>
      <c r="E311" s="84" t="s">
        <v>297</v>
      </c>
      <c r="F311" s="86" t="s">
        <v>368</v>
      </c>
      <c r="G311" s="87" t="s">
        <v>948</v>
      </c>
      <c r="H311" s="87" t="s">
        <v>868</v>
      </c>
      <c r="I311" s="87"/>
      <c r="J311" s="87" t="s">
        <v>553</v>
      </c>
      <c r="K311" s="88" t="str">
        <f t="shared" si="12"/>
        <v>З</v>
      </c>
      <c r="L311" s="88" t="str">
        <f t="shared" si="13"/>
        <v>А</v>
      </c>
      <c r="M311" s="89" t="str">
        <f t="shared" si="14"/>
        <v>Эксплуатация автомобильного транспорта</v>
      </c>
      <c r="N311" s="89" t="s">
        <v>301</v>
      </c>
    </row>
    <row r="312" spans="1:14" ht="30" hidden="1" customHeight="1" x14ac:dyDescent="0.25">
      <c r="A312" s="62" t="s">
        <v>949</v>
      </c>
      <c r="B312" s="84" t="s">
        <v>950</v>
      </c>
      <c r="C312" s="85" t="s">
        <v>295</v>
      </c>
      <c r="D312" s="85" t="s">
        <v>296</v>
      </c>
      <c r="E312" s="84" t="s">
        <v>297</v>
      </c>
      <c r="F312" s="86" t="s">
        <v>298</v>
      </c>
      <c r="G312" s="87" t="s">
        <v>951</v>
      </c>
      <c r="H312" s="87" t="s">
        <v>952</v>
      </c>
      <c r="I312" s="87"/>
      <c r="J312" s="87" t="s">
        <v>953</v>
      </c>
      <c r="K312" s="88" t="str">
        <f t="shared" si="12"/>
        <v>Д</v>
      </c>
      <c r="L312" s="88" t="str">
        <f t="shared" si="13"/>
        <v>С</v>
      </c>
      <c r="M312" s="89" t="str">
        <f t="shared" si="14"/>
        <v>Таможенный контроль</v>
      </c>
      <c r="N312" s="89" t="s">
        <v>301</v>
      </c>
    </row>
    <row r="313" spans="1:14" ht="30" hidden="1" customHeight="1" x14ac:dyDescent="0.25">
      <c r="A313" s="62" t="s">
        <v>954</v>
      </c>
      <c r="B313" s="84" t="s">
        <v>950</v>
      </c>
      <c r="C313" s="85" t="s">
        <v>295</v>
      </c>
      <c r="D313" s="85" t="s">
        <v>296</v>
      </c>
      <c r="E313" s="84" t="s">
        <v>297</v>
      </c>
      <c r="F313" s="86" t="s">
        <v>298</v>
      </c>
      <c r="G313" s="87" t="s">
        <v>951</v>
      </c>
      <c r="H313" s="87" t="s">
        <v>955</v>
      </c>
      <c r="I313" s="87"/>
      <c r="J313" s="87" t="s">
        <v>953</v>
      </c>
      <c r="K313" s="88" t="str">
        <f t="shared" si="12"/>
        <v>Д</v>
      </c>
      <c r="L313" s="88" t="str">
        <f t="shared" si="13"/>
        <v>С</v>
      </c>
      <c r="M313" s="89" t="str">
        <f t="shared" si="14"/>
        <v>ВЭД в условиях цифровизации экономики</v>
      </c>
      <c r="N313" s="89" t="s">
        <v>301</v>
      </c>
    </row>
    <row r="314" spans="1:14" ht="30" hidden="1" customHeight="1" x14ac:dyDescent="0.25">
      <c r="A314" s="62" t="s">
        <v>956</v>
      </c>
      <c r="B314" s="84" t="s">
        <v>950</v>
      </c>
      <c r="C314" s="85" t="s">
        <v>403</v>
      </c>
      <c r="D314" s="85" t="s">
        <v>296</v>
      </c>
      <c r="E314" s="84" t="s">
        <v>404</v>
      </c>
      <c r="F314" s="86" t="s">
        <v>298</v>
      </c>
      <c r="G314" s="87" t="s">
        <v>951</v>
      </c>
      <c r="H314" s="87" t="s">
        <v>955</v>
      </c>
      <c r="I314" s="87"/>
      <c r="J314" s="87" t="s">
        <v>953</v>
      </c>
      <c r="K314" s="88" t="str">
        <f t="shared" si="12"/>
        <v>В</v>
      </c>
      <c r="L314" s="88" t="str">
        <f t="shared" si="13"/>
        <v>С</v>
      </c>
      <c r="M314" s="89" t="str">
        <f t="shared" si="14"/>
        <v>ВЭД в условиях цифровизации экономики</v>
      </c>
      <c r="N314" s="89" t="s">
        <v>301</v>
      </c>
    </row>
    <row r="315" spans="1:14" ht="30" hidden="1" customHeight="1" x14ac:dyDescent="0.25">
      <c r="A315" s="62" t="s">
        <v>957</v>
      </c>
      <c r="B315" s="84" t="s">
        <v>950</v>
      </c>
      <c r="C315" s="85" t="s">
        <v>419</v>
      </c>
      <c r="D315" s="85" t="s">
        <v>296</v>
      </c>
      <c r="E315" s="84" t="s">
        <v>404</v>
      </c>
      <c r="F315" s="86" t="s">
        <v>298</v>
      </c>
      <c r="G315" s="87" t="s">
        <v>951</v>
      </c>
      <c r="H315" s="87" t="s">
        <v>955</v>
      </c>
      <c r="I315" s="87"/>
      <c r="J315" s="87" t="s">
        <v>953</v>
      </c>
      <c r="K315" s="88" t="str">
        <f t="shared" si="12"/>
        <v>З</v>
      </c>
      <c r="L315" s="88" t="str">
        <f t="shared" si="13"/>
        <v>С</v>
      </c>
      <c r="M315" s="89" t="str">
        <f t="shared" si="14"/>
        <v>ВЭД в условиях цифровизации экономики</v>
      </c>
      <c r="N315" s="89" t="s">
        <v>301</v>
      </c>
    </row>
    <row r="316" spans="1:14" ht="30" hidden="1" customHeight="1" x14ac:dyDescent="0.25">
      <c r="A316" s="62" t="s">
        <v>958</v>
      </c>
      <c r="B316" s="84" t="s">
        <v>959</v>
      </c>
      <c r="C316" s="85" t="s">
        <v>295</v>
      </c>
      <c r="D316" s="85" t="s">
        <v>296</v>
      </c>
      <c r="E316" s="84" t="s">
        <v>311</v>
      </c>
      <c r="F316" s="86" t="s">
        <v>312</v>
      </c>
      <c r="G316" s="87" t="s">
        <v>960</v>
      </c>
      <c r="H316" s="87" t="s">
        <v>961</v>
      </c>
      <c r="I316" s="87"/>
      <c r="J316" s="87" t="s">
        <v>962</v>
      </c>
      <c r="K316" s="88" t="str">
        <f t="shared" si="12"/>
        <v>Д</v>
      </c>
      <c r="L316" s="88" t="str">
        <f t="shared" si="13"/>
        <v>Б</v>
      </c>
      <c r="M316" s="89" t="str">
        <f t="shared" si="14"/>
        <v>Зарубежное регионоведение: Европейский регион</v>
      </c>
      <c r="N316" s="89" t="s">
        <v>301</v>
      </c>
    </row>
    <row r="317" spans="1:14" ht="30" hidden="1" customHeight="1" x14ac:dyDescent="0.25">
      <c r="A317" s="62" t="s">
        <v>963</v>
      </c>
      <c r="B317" s="84" t="s">
        <v>959</v>
      </c>
      <c r="C317" s="85" t="s">
        <v>295</v>
      </c>
      <c r="D317" s="85" t="s">
        <v>296</v>
      </c>
      <c r="E317" s="84" t="s">
        <v>311</v>
      </c>
      <c r="F317" s="86" t="s">
        <v>312</v>
      </c>
      <c r="G317" s="87" t="s">
        <v>960</v>
      </c>
      <c r="H317" s="87" t="s">
        <v>964</v>
      </c>
      <c r="I317" s="87"/>
      <c r="J317" s="87" t="s">
        <v>962</v>
      </c>
      <c r="K317" s="88" t="str">
        <f t="shared" si="12"/>
        <v>Д</v>
      </c>
      <c r="L317" s="88" t="str">
        <f t="shared" si="13"/>
        <v>Б</v>
      </c>
      <c r="M317" s="89" t="str">
        <f t="shared" si="14"/>
        <v>Зарубежное регионоведение: Евро-Азиатский и Средиземноморский регионы</v>
      </c>
      <c r="N317" s="89" t="s">
        <v>301</v>
      </c>
    </row>
    <row r="318" spans="1:14" ht="30" hidden="1" customHeight="1" x14ac:dyDescent="0.25">
      <c r="A318" s="62" t="s">
        <v>965</v>
      </c>
      <c r="B318" s="84" t="s">
        <v>966</v>
      </c>
      <c r="C318" s="85" t="s">
        <v>295</v>
      </c>
      <c r="D318" s="85" t="s">
        <v>296</v>
      </c>
      <c r="E318" s="84" t="s">
        <v>311</v>
      </c>
      <c r="F318" s="86" t="s">
        <v>312</v>
      </c>
      <c r="G318" s="87" t="s">
        <v>756</v>
      </c>
      <c r="H318" s="87" t="s">
        <v>967</v>
      </c>
      <c r="I318" s="87"/>
      <c r="J318" s="87" t="s">
        <v>962</v>
      </c>
      <c r="K318" s="88" t="str">
        <f t="shared" si="12"/>
        <v>Д</v>
      </c>
      <c r="L318" s="88" t="str">
        <f t="shared" si="13"/>
        <v>Б</v>
      </c>
      <c r="M318" s="89" t="str">
        <f t="shared" si="14"/>
        <v>Психология образования</v>
      </c>
      <c r="N318" s="89" t="s">
        <v>301</v>
      </c>
    </row>
    <row r="319" spans="1:14" ht="30" hidden="1" customHeight="1" x14ac:dyDescent="0.25">
      <c r="A319" s="62" t="s">
        <v>968</v>
      </c>
      <c r="B319" s="84" t="s">
        <v>969</v>
      </c>
      <c r="C319" s="85" t="s">
        <v>295</v>
      </c>
      <c r="D319" s="85" t="s">
        <v>296</v>
      </c>
      <c r="E319" s="84" t="s">
        <v>311</v>
      </c>
      <c r="F319" s="86" t="s">
        <v>312</v>
      </c>
      <c r="G319" s="87" t="s">
        <v>970</v>
      </c>
      <c r="H319" s="87" t="s">
        <v>971</v>
      </c>
      <c r="I319" s="87"/>
      <c r="J319" s="87" t="s">
        <v>962</v>
      </c>
      <c r="K319" s="88" t="str">
        <f t="shared" si="12"/>
        <v>Д</v>
      </c>
      <c r="L319" s="88" t="str">
        <f t="shared" si="13"/>
        <v>Б</v>
      </c>
      <c r="M319" s="89" t="str">
        <f t="shared" si="14"/>
        <v>Теория и методика преподавания иностранных языков и культур</v>
      </c>
      <c r="N319" s="89" t="s">
        <v>301</v>
      </c>
    </row>
    <row r="320" spans="1:14" customFormat="1" ht="30" hidden="1" customHeight="1" x14ac:dyDescent="0.25">
      <c r="A320" s="62" t="s">
        <v>972</v>
      </c>
      <c r="B320" s="84" t="s">
        <v>969</v>
      </c>
      <c r="C320" s="85" t="s">
        <v>295</v>
      </c>
      <c r="D320" s="85" t="s">
        <v>296</v>
      </c>
      <c r="E320" s="84" t="s">
        <v>311</v>
      </c>
      <c r="F320" s="86" t="s">
        <v>312</v>
      </c>
      <c r="G320" s="87" t="s">
        <v>970</v>
      </c>
      <c r="H320" s="87" t="s">
        <v>973</v>
      </c>
      <c r="I320" s="87"/>
      <c r="J320" s="87" t="s">
        <v>962</v>
      </c>
      <c r="K320" s="88" t="str">
        <f t="shared" si="12"/>
        <v>Д</v>
      </c>
      <c r="L320" s="88" t="str">
        <f t="shared" si="13"/>
        <v>Б</v>
      </c>
      <c r="M320" s="89" t="str">
        <f t="shared" si="14"/>
        <v>Перевод и переводоведение</v>
      </c>
      <c r="N320" s="89" t="s">
        <v>301</v>
      </c>
    </row>
    <row r="321" spans="1:14" ht="30" hidden="1" customHeight="1" x14ac:dyDescent="0.25">
      <c r="A321" s="62" t="s">
        <v>974</v>
      </c>
      <c r="B321" s="84" t="s">
        <v>975</v>
      </c>
      <c r="C321" s="85" t="s">
        <v>295</v>
      </c>
      <c r="D321" s="85" t="s">
        <v>296</v>
      </c>
      <c r="E321" s="84" t="s">
        <v>330</v>
      </c>
      <c r="F321" s="86" t="s">
        <v>331</v>
      </c>
      <c r="G321" s="87" t="s">
        <v>960</v>
      </c>
      <c r="H321" s="87" t="s">
        <v>976</v>
      </c>
      <c r="I321" s="87"/>
      <c r="J321" s="87" t="s">
        <v>962</v>
      </c>
      <c r="K321" s="88" t="str">
        <f t="shared" si="12"/>
        <v>Д</v>
      </c>
      <c r="L321" s="88" t="str">
        <f t="shared" si="13"/>
        <v>М</v>
      </c>
      <c r="M321" s="89" t="str">
        <f t="shared" si="14"/>
        <v>Зарубежное регионоведение: Евро-Азиатские и Средиземноморские исследования</v>
      </c>
      <c r="N321" s="89" t="s">
        <v>301</v>
      </c>
    </row>
    <row r="322" spans="1:14" ht="30" hidden="1" customHeight="1" x14ac:dyDescent="0.25">
      <c r="A322" s="62" t="s">
        <v>977</v>
      </c>
      <c r="B322" s="84" t="s">
        <v>755</v>
      </c>
      <c r="C322" s="85" t="s">
        <v>295</v>
      </c>
      <c r="D322" s="85" t="s">
        <v>296</v>
      </c>
      <c r="E322" s="84" t="s">
        <v>330</v>
      </c>
      <c r="F322" s="86" t="s">
        <v>331</v>
      </c>
      <c r="G322" s="87" t="s">
        <v>756</v>
      </c>
      <c r="H322" s="87" t="s">
        <v>978</v>
      </c>
      <c r="I322" s="87"/>
      <c r="J322" s="87" t="s">
        <v>962</v>
      </c>
      <c r="K322" s="88" t="str">
        <f t="shared" si="12"/>
        <v>Д</v>
      </c>
      <c r="L322" s="88" t="str">
        <f t="shared" si="13"/>
        <v>М</v>
      </c>
      <c r="M322" s="89" t="str">
        <f t="shared" si="14"/>
        <v>Психолого-педагогические основы организационно-управленческой деятельности</v>
      </c>
      <c r="N322" s="89" t="s">
        <v>301</v>
      </c>
    </row>
    <row r="323" spans="1:14" customFormat="1" ht="30" hidden="1" customHeight="1" x14ac:dyDescent="0.25">
      <c r="A323" s="62" t="s">
        <v>979</v>
      </c>
      <c r="B323" s="84" t="s">
        <v>980</v>
      </c>
      <c r="C323" s="85" t="s">
        <v>295</v>
      </c>
      <c r="D323" s="85" t="s">
        <v>296</v>
      </c>
      <c r="E323" s="84" t="s">
        <v>330</v>
      </c>
      <c r="F323" s="86" t="s">
        <v>331</v>
      </c>
      <c r="G323" s="87" t="s">
        <v>970</v>
      </c>
      <c r="H323" s="87" t="s">
        <v>981</v>
      </c>
      <c r="I323" s="87"/>
      <c r="J323" s="87" t="s">
        <v>962</v>
      </c>
      <c r="K323" s="88" t="str">
        <f t="shared" ref="K323:K386" si="15">IF(C323="очная","Д",IF(C323="Очно-заочная","В",IF(C323="Заочная","З","-")))</f>
        <v>Д</v>
      </c>
      <c r="L323" s="88" t="str">
        <f t="shared" ref="L323:L386" si="16">IF(N323="да","ЦМ",LEFT(F323,1))</f>
        <v>М</v>
      </c>
      <c r="M323" s="89" t="str">
        <f t="shared" ref="M323:M386" si="17">CONCATENATE(H323,IF(I323&gt;0,CONCATENATE(" (Вуз-партнёр – ",I323,")"),IF(D323=$D$3,"",CONCATENATE(" [язык реализации –",D323,"]"))))</f>
        <v>Теория коммуникации и международные связи с общественностью (PR)</v>
      </c>
      <c r="N323" s="89" t="s">
        <v>301</v>
      </c>
    </row>
    <row r="324" spans="1:14" ht="30" hidden="1" customHeight="1" x14ac:dyDescent="0.25">
      <c r="A324" s="62" t="s">
        <v>982</v>
      </c>
      <c r="B324" s="84" t="s">
        <v>980</v>
      </c>
      <c r="C324" s="85" t="s">
        <v>295</v>
      </c>
      <c r="D324" s="85" t="s">
        <v>296</v>
      </c>
      <c r="E324" s="84" t="s">
        <v>330</v>
      </c>
      <c r="F324" s="86" t="s">
        <v>331</v>
      </c>
      <c r="G324" s="87" t="s">
        <v>970</v>
      </c>
      <c r="H324" s="87" t="s">
        <v>983</v>
      </c>
      <c r="I324" s="87"/>
      <c r="J324" s="87" t="s">
        <v>962</v>
      </c>
      <c r="K324" s="88" t="str">
        <f t="shared" si="15"/>
        <v>Д</v>
      </c>
      <c r="L324" s="88" t="str">
        <f t="shared" si="16"/>
        <v>М</v>
      </c>
      <c r="M324" s="89" t="str">
        <f t="shared" si="17"/>
        <v>Теория коммуникации и синхронный перевод</v>
      </c>
      <c r="N324" s="89" t="s">
        <v>301</v>
      </c>
    </row>
    <row r="325" spans="1:14" ht="30" hidden="1" customHeight="1" x14ac:dyDescent="0.25">
      <c r="A325" s="62" t="s">
        <v>984</v>
      </c>
      <c r="B325" s="84" t="s">
        <v>980</v>
      </c>
      <c r="C325" s="85" t="s">
        <v>295</v>
      </c>
      <c r="D325" s="85" t="s">
        <v>296</v>
      </c>
      <c r="E325" s="84" t="s">
        <v>330</v>
      </c>
      <c r="F325" s="86" t="s">
        <v>331</v>
      </c>
      <c r="G325" s="87" t="s">
        <v>970</v>
      </c>
      <c r="H325" s="87" t="s">
        <v>985</v>
      </c>
      <c r="I325" s="87" t="s">
        <v>516</v>
      </c>
      <c r="J325" s="87" t="s">
        <v>962</v>
      </c>
      <c r="K325" s="88" t="str">
        <f t="shared" si="15"/>
        <v>Д</v>
      </c>
      <c r="L325" s="88" t="str">
        <f t="shared" si="16"/>
        <v>М</v>
      </c>
      <c r="M325" s="89" t="str">
        <f t="shared" si="17"/>
        <v>Теория коммуникации и международные связи с общественностью (PR) - Иностранный язык: два иностранных языка (Вуз-партнёр – Казахский национальный университет им. Аль-Фараби)</v>
      </c>
      <c r="N325" s="89" t="s">
        <v>301</v>
      </c>
    </row>
    <row r="326" spans="1:14" customFormat="1" ht="30" hidden="1" customHeight="1" x14ac:dyDescent="0.25">
      <c r="A326" s="62" t="s">
        <v>986</v>
      </c>
      <c r="B326" s="84" t="s">
        <v>987</v>
      </c>
      <c r="C326" s="85" t="s">
        <v>295</v>
      </c>
      <c r="D326" s="85" t="s">
        <v>296</v>
      </c>
      <c r="E326" s="84" t="s">
        <v>393</v>
      </c>
      <c r="F326" s="86" t="s">
        <v>368</v>
      </c>
      <c r="G326" s="87" t="s">
        <v>988</v>
      </c>
      <c r="H326" s="87" t="s">
        <v>989</v>
      </c>
      <c r="I326" s="87"/>
      <c r="J326" s="87" t="s">
        <v>962</v>
      </c>
      <c r="K326" s="88" t="str">
        <f t="shared" si="15"/>
        <v>Д</v>
      </c>
      <c r="L326" s="88" t="str">
        <f t="shared" si="16"/>
        <v>А</v>
      </c>
      <c r="M326" s="89" t="str">
        <f t="shared" si="17"/>
        <v>Общая психология (Проблемы общения и коммуникации)</v>
      </c>
      <c r="N326" s="89" t="s">
        <v>301</v>
      </c>
    </row>
    <row r="327" spans="1:14" ht="30" hidden="1" customHeight="1" x14ac:dyDescent="0.25">
      <c r="A327" s="62" t="s">
        <v>990</v>
      </c>
      <c r="B327" s="84" t="s">
        <v>991</v>
      </c>
      <c r="C327" s="85" t="s">
        <v>295</v>
      </c>
      <c r="D327" s="85" t="s">
        <v>296</v>
      </c>
      <c r="E327" s="84" t="s">
        <v>393</v>
      </c>
      <c r="F327" s="86" t="s">
        <v>368</v>
      </c>
      <c r="G327" s="87" t="s">
        <v>992</v>
      </c>
      <c r="H327" s="87" t="s">
        <v>993</v>
      </c>
      <c r="I327" s="87"/>
      <c r="J327" s="87" t="s">
        <v>962</v>
      </c>
      <c r="K327" s="88" t="str">
        <f t="shared" si="15"/>
        <v>Д</v>
      </c>
      <c r="L327" s="88" t="str">
        <f t="shared" si="16"/>
        <v>А</v>
      </c>
      <c r="M327" s="89" t="str">
        <f t="shared" si="17"/>
        <v>Общая педагогика, история педагогики и образования (Педагогическое регулирование социальных отношений личности и социокультурной среды</v>
      </c>
      <c r="N327" s="89" t="s">
        <v>301</v>
      </c>
    </row>
    <row r="328" spans="1:14" ht="30" hidden="1" customHeight="1" x14ac:dyDescent="0.25">
      <c r="A328" s="62" t="s">
        <v>994</v>
      </c>
      <c r="B328" s="84" t="s">
        <v>995</v>
      </c>
      <c r="C328" s="85" t="s">
        <v>295</v>
      </c>
      <c r="D328" s="85" t="s">
        <v>304</v>
      </c>
      <c r="E328" s="84" t="s">
        <v>393</v>
      </c>
      <c r="F328" s="86" t="s">
        <v>368</v>
      </c>
      <c r="G328" s="87" t="s">
        <v>996</v>
      </c>
      <c r="H328" s="87" t="s">
        <v>997</v>
      </c>
      <c r="I328" s="87"/>
      <c r="J328" s="87" t="s">
        <v>962</v>
      </c>
      <c r="K328" s="88" t="str">
        <f t="shared" si="15"/>
        <v>Д</v>
      </c>
      <c r="L328" s="88" t="str">
        <f t="shared" si="16"/>
        <v>А</v>
      </c>
      <c r="M328" s="89" t="str">
        <f t="shared" si="17"/>
        <v>Теория и методика обучения и воспитания (иностранные языки): интралингводидактика, межкультурная коммуникация [язык реализации –Английский]</v>
      </c>
      <c r="N328" s="89" t="s">
        <v>301</v>
      </c>
    </row>
    <row r="329" spans="1:14" customFormat="1" ht="30" hidden="1" customHeight="1" x14ac:dyDescent="0.25">
      <c r="A329" s="62" t="s">
        <v>998</v>
      </c>
      <c r="B329" s="84" t="s">
        <v>995</v>
      </c>
      <c r="C329" s="85" t="s">
        <v>295</v>
      </c>
      <c r="D329" s="85" t="s">
        <v>296</v>
      </c>
      <c r="E329" s="84" t="s">
        <v>393</v>
      </c>
      <c r="F329" s="86" t="s">
        <v>368</v>
      </c>
      <c r="G329" s="87" t="s">
        <v>996</v>
      </c>
      <c r="H329" s="87" t="s">
        <v>997</v>
      </c>
      <c r="I329" s="87"/>
      <c r="J329" s="87" t="s">
        <v>962</v>
      </c>
      <c r="K329" s="88" t="str">
        <f t="shared" si="15"/>
        <v>Д</v>
      </c>
      <c r="L329" s="88" t="str">
        <f t="shared" si="16"/>
        <v>А</v>
      </c>
      <c r="M329" s="89" t="str">
        <f t="shared" si="17"/>
        <v>Теория и методика обучения и воспитания (иностранные языки): интралингводидактика, межкультурная коммуникация</v>
      </c>
      <c r="N329" s="89" t="s">
        <v>301</v>
      </c>
    </row>
    <row r="330" spans="1:14" ht="30" hidden="1" customHeight="1" x14ac:dyDescent="0.25">
      <c r="A330" s="62" t="s">
        <v>999</v>
      </c>
      <c r="B330" s="84" t="s">
        <v>1000</v>
      </c>
      <c r="C330" s="85" t="s">
        <v>295</v>
      </c>
      <c r="D330" s="85" t="s">
        <v>296</v>
      </c>
      <c r="E330" s="84" t="s">
        <v>393</v>
      </c>
      <c r="F330" s="86" t="s">
        <v>368</v>
      </c>
      <c r="G330" s="87" t="s">
        <v>1001</v>
      </c>
      <c r="H330" s="87" t="s">
        <v>1002</v>
      </c>
      <c r="I330" s="87"/>
      <c r="J330" s="87" t="s">
        <v>962</v>
      </c>
      <c r="K330" s="88" t="str">
        <f t="shared" si="15"/>
        <v>Д</v>
      </c>
      <c r="L330" s="88" t="str">
        <f t="shared" si="16"/>
        <v>А</v>
      </c>
      <c r="M330" s="89" t="str">
        <f t="shared" si="17"/>
        <v>Языки народов зарубежных стран (романские языки): Исторические особенности развития диалектов романских языков</v>
      </c>
      <c r="N330" s="89" t="s">
        <v>301</v>
      </c>
    </row>
    <row r="331" spans="1:14" ht="30" hidden="1" customHeight="1" x14ac:dyDescent="0.25">
      <c r="A331" s="62" t="s">
        <v>1003</v>
      </c>
      <c r="B331" s="84" t="s">
        <v>1000</v>
      </c>
      <c r="C331" s="85" t="s">
        <v>295</v>
      </c>
      <c r="D331" s="85" t="s">
        <v>296</v>
      </c>
      <c r="E331" s="84" t="s">
        <v>393</v>
      </c>
      <c r="F331" s="86" t="s">
        <v>368</v>
      </c>
      <c r="G331" s="87" t="s">
        <v>1001</v>
      </c>
      <c r="H331" s="87" t="s">
        <v>1004</v>
      </c>
      <c r="I331" s="87"/>
      <c r="J331" s="87" t="s">
        <v>962</v>
      </c>
      <c r="K331" s="88" t="str">
        <f t="shared" si="15"/>
        <v>Д</v>
      </c>
      <c r="L331" s="88" t="str">
        <f t="shared" si="16"/>
        <v>А</v>
      </c>
      <c r="M331" s="89" t="str">
        <f t="shared" si="17"/>
        <v>Языки народов зарубежных стран (германские языки): Общие тенденции и индивидуальные тенденции развития германских языков</v>
      </c>
      <c r="N331" s="89" t="s">
        <v>301</v>
      </c>
    </row>
    <row r="332" spans="1:14" customFormat="1" ht="30" hidden="1" customHeight="1" x14ac:dyDescent="0.25">
      <c r="A332" s="62" t="s">
        <v>1005</v>
      </c>
      <c r="B332" s="84" t="s">
        <v>1006</v>
      </c>
      <c r="C332" s="85" t="s">
        <v>295</v>
      </c>
      <c r="D332" s="85" t="s">
        <v>296</v>
      </c>
      <c r="E332" s="84" t="s">
        <v>393</v>
      </c>
      <c r="F332" s="86" t="s">
        <v>368</v>
      </c>
      <c r="G332" s="87" t="s">
        <v>1007</v>
      </c>
      <c r="H332" s="87" t="s">
        <v>1008</v>
      </c>
      <c r="I332" s="87"/>
      <c r="J332" s="87" t="s">
        <v>962</v>
      </c>
      <c r="K332" s="88" t="str">
        <f t="shared" si="15"/>
        <v>Д</v>
      </c>
      <c r="L332" s="88" t="str">
        <f t="shared" si="16"/>
        <v>А</v>
      </c>
      <c r="M332" s="89" t="str">
        <f t="shared" si="17"/>
        <v>Сравнение и сопоставление языков в диахронии и синхронии</v>
      </c>
      <c r="N332" s="89" t="s">
        <v>301</v>
      </c>
    </row>
    <row r="333" spans="1:14" customFormat="1" ht="30" hidden="1" customHeight="1" x14ac:dyDescent="0.25">
      <c r="A333" s="62" t="s">
        <v>1009</v>
      </c>
      <c r="B333" s="84" t="s">
        <v>969</v>
      </c>
      <c r="C333" s="85" t="s">
        <v>403</v>
      </c>
      <c r="D333" s="85" t="s">
        <v>296</v>
      </c>
      <c r="E333" s="84" t="s">
        <v>406</v>
      </c>
      <c r="F333" s="86" t="s">
        <v>312</v>
      </c>
      <c r="G333" s="87" t="s">
        <v>970</v>
      </c>
      <c r="H333" s="87" t="s">
        <v>971</v>
      </c>
      <c r="I333" s="87"/>
      <c r="J333" s="87" t="s">
        <v>962</v>
      </c>
      <c r="K333" s="88" t="str">
        <f t="shared" si="15"/>
        <v>В</v>
      </c>
      <c r="L333" s="88" t="str">
        <f t="shared" si="16"/>
        <v>Б</v>
      </c>
      <c r="M333" s="89" t="str">
        <f t="shared" si="17"/>
        <v>Теория и методика преподавания иностранных языков и культур</v>
      </c>
      <c r="N333" s="89" t="s">
        <v>301</v>
      </c>
    </row>
    <row r="334" spans="1:14" customFormat="1" ht="30" hidden="1" customHeight="1" x14ac:dyDescent="0.25">
      <c r="A334" s="62" t="s">
        <v>1010</v>
      </c>
      <c r="B334" s="84" t="s">
        <v>969</v>
      </c>
      <c r="C334" s="85" t="s">
        <v>403</v>
      </c>
      <c r="D334" s="85" t="s">
        <v>296</v>
      </c>
      <c r="E334" s="84" t="s">
        <v>406</v>
      </c>
      <c r="F334" s="86" t="s">
        <v>312</v>
      </c>
      <c r="G334" s="87" t="s">
        <v>970</v>
      </c>
      <c r="H334" s="87" t="s">
        <v>973</v>
      </c>
      <c r="I334" s="87"/>
      <c r="J334" s="87" t="s">
        <v>962</v>
      </c>
      <c r="K334" s="88" t="str">
        <f t="shared" si="15"/>
        <v>В</v>
      </c>
      <c r="L334" s="88" t="str">
        <f t="shared" si="16"/>
        <v>Б</v>
      </c>
      <c r="M334" s="89" t="str">
        <f t="shared" si="17"/>
        <v>Перевод и переводоведение</v>
      </c>
      <c r="N334" s="89" t="s">
        <v>301</v>
      </c>
    </row>
    <row r="335" spans="1:14" ht="30" hidden="1" customHeight="1" x14ac:dyDescent="0.25">
      <c r="A335" s="62" t="s">
        <v>1011</v>
      </c>
      <c r="B335" s="84" t="s">
        <v>980</v>
      </c>
      <c r="C335" s="85" t="s">
        <v>403</v>
      </c>
      <c r="D335" s="85" t="s">
        <v>296</v>
      </c>
      <c r="E335" s="84" t="s">
        <v>413</v>
      </c>
      <c r="F335" s="86" t="s">
        <v>331</v>
      </c>
      <c r="G335" s="87" t="s">
        <v>970</v>
      </c>
      <c r="H335" s="87" t="s">
        <v>981</v>
      </c>
      <c r="I335" s="87"/>
      <c r="J335" s="87" t="s">
        <v>962</v>
      </c>
      <c r="K335" s="88" t="str">
        <f t="shared" si="15"/>
        <v>В</v>
      </c>
      <c r="L335" s="88" t="str">
        <f t="shared" si="16"/>
        <v>М</v>
      </c>
      <c r="M335" s="89" t="str">
        <f t="shared" si="17"/>
        <v>Теория коммуникации и международные связи с общественностью (PR)</v>
      </c>
      <c r="N335" s="89" t="s">
        <v>301</v>
      </c>
    </row>
    <row r="336" spans="1:14" customFormat="1" ht="30" hidden="1" customHeight="1" x14ac:dyDescent="0.25">
      <c r="A336" s="62" t="s">
        <v>1012</v>
      </c>
      <c r="B336" s="84" t="s">
        <v>1013</v>
      </c>
      <c r="C336" s="85" t="s">
        <v>295</v>
      </c>
      <c r="D336" s="85" t="s">
        <v>296</v>
      </c>
      <c r="E336" s="84" t="s">
        <v>311</v>
      </c>
      <c r="F336" s="86" t="s">
        <v>312</v>
      </c>
      <c r="G336" s="87" t="s">
        <v>434</v>
      </c>
      <c r="H336" s="87" t="s">
        <v>1014</v>
      </c>
      <c r="I336" s="87"/>
      <c r="J336" s="87" t="s">
        <v>1015</v>
      </c>
      <c r="K336" s="88" t="str">
        <f t="shared" si="15"/>
        <v>Д</v>
      </c>
      <c r="L336" s="88" t="str">
        <f t="shared" si="16"/>
        <v>Б</v>
      </c>
      <c r="M336" s="89" t="str">
        <f t="shared" si="17"/>
        <v>Мировая экономика</v>
      </c>
      <c r="N336" s="89" t="s">
        <v>301</v>
      </c>
    </row>
    <row r="337" spans="1:14" customFormat="1" ht="30" hidden="1" customHeight="1" x14ac:dyDescent="0.25">
      <c r="A337" s="62" t="s">
        <v>1016</v>
      </c>
      <c r="B337" s="84" t="s">
        <v>1013</v>
      </c>
      <c r="C337" s="85" t="s">
        <v>295</v>
      </c>
      <c r="D337" s="85" t="s">
        <v>296</v>
      </c>
      <c r="E337" s="84" t="s">
        <v>311</v>
      </c>
      <c r="F337" s="86" t="s">
        <v>312</v>
      </c>
      <c r="G337" s="87" t="s">
        <v>434</v>
      </c>
      <c r="H337" s="87" t="s">
        <v>1017</v>
      </c>
      <c r="I337" s="87"/>
      <c r="J337" s="87" t="s">
        <v>1015</v>
      </c>
      <c r="K337" s="88" t="str">
        <f t="shared" si="15"/>
        <v>Д</v>
      </c>
      <c r="L337" s="88" t="str">
        <f t="shared" si="16"/>
        <v>Б</v>
      </c>
      <c r="M337" s="89" t="str">
        <f t="shared" si="17"/>
        <v>Международная экономическая безопасность</v>
      </c>
      <c r="N337" s="89" t="s">
        <v>301</v>
      </c>
    </row>
    <row r="338" spans="1:14" customFormat="1" ht="30" hidden="1" customHeight="1" x14ac:dyDescent="0.25">
      <c r="A338" s="62" t="s">
        <v>1018</v>
      </c>
      <c r="B338" s="84" t="s">
        <v>1013</v>
      </c>
      <c r="C338" s="85" t="s">
        <v>295</v>
      </c>
      <c r="D338" s="85" t="s">
        <v>296</v>
      </c>
      <c r="E338" s="84" t="s">
        <v>311</v>
      </c>
      <c r="F338" s="86" t="s">
        <v>312</v>
      </c>
      <c r="G338" s="87" t="s">
        <v>434</v>
      </c>
      <c r="H338" s="87" t="s">
        <v>1019</v>
      </c>
      <c r="I338" s="87"/>
      <c r="J338" s="87" t="s">
        <v>1015</v>
      </c>
      <c r="K338" s="88" t="str">
        <f t="shared" si="15"/>
        <v>Д</v>
      </c>
      <c r="L338" s="88" t="str">
        <f t="shared" si="16"/>
        <v>Б</v>
      </c>
      <c r="M338" s="89" t="str">
        <f t="shared" si="17"/>
        <v>Цифровая экономика</v>
      </c>
      <c r="N338" s="89" t="s">
        <v>301</v>
      </c>
    </row>
    <row r="339" spans="1:14" customFormat="1" ht="30" hidden="1" customHeight="1" x14ac:dyDescent="0.25">
      <c r="A339" s="62" t="s">
        <v>1020</v>
      </c>
      <c r="B339" s="84" t="s">
        <v>1013</v>
      </c>
      <c r="C339" s="85" t="s">
        <v>295</v>
      </c>
      <c r="D339" s="85" t="s">
        <v>296</v>
      </c>
      <c r="E339" s="84" t="s">
        <v>311</v>
      </c>
      <c r="F339" s="86" t="s">
        <v>312</v>
      </c>
      <c r="G339" s="87" t="s">
        <v>434</v>
      </c>
      <c r="H339" s="87" t="s">
        <v>1021</v>
      </c>
      <c r="I339" s="87"/>
      <c r="J339" s="87" t="s">
        <v>1015</v>
      </c>
      <c r="K339" s="88" t="str">
        <f t="shared" si="15"/>
        <v>Д</v>
      </c>
      <c r="L339" s="88" t="str">
        <f t="shared" si="16"/>
        <v>Б</v>
      </c>
      <c r="M339" s="89" t="str">
        <f t="shared" si="17"/>
        <v>Аналитика данных в экономике и бизнесе</v>
      </c>
      <c r="N339" s="89" t="s">
        <v>301</v>
      </c>
    </row>
    <row r="340" spans="1:14" customFormat="1" ht="30" hidden="1" customHeight="1" x14ac:dyDescent="0.25">
      <c r="A340" s="62" t="s">
        <v>1022</v>
      </c>
      <c r="B340" s="84" t="s">
        <v>1013</v>
      </c>
      <c r="C340" s="85" t="s">
        <v>295</v>
      </c>
      <c r="D340" s="85" t="s">
        <v>296</v>
      </c>
      <c r="E340" s="84" t="s">
        <v>311</v>
      </c>
      <c r="F340" s="86" t="s">
        <v>312</v>
      </c>
      <c r="G340" s="87" t="s">
        <v>434</v>
      </c>
      <c r="H340" s="87" t="s">
        <v>1023</v>
      </c>
      <c r="I340" s="87"/>
      <c r="J340" s="87" t="s">
        <v>1015</v>
      </c>
      <c r="K340" s="88" t="str">
        <f t="shared" si="15"/>
        <v>Д</v>
      </c>
      <c r="L340" s="88" t="str">
        <f t="shared" si="16"/>
        <v>Б</v>
      </c>
      <c r="M340" s="89" t="str">
        <f t="shared" si="17"/>
        <v>Бизнес-консалтинг, цифровой учет и аудит</v>
      </c>
      <c r="N340" s="89" t="s">
        <v>301</v>
      </c>
    </row>
    <row r="341" spans="1:14" customFormat="1" ht="30" hidden="1" customHeight="1" x14ac:dyDescent="0.25">
      <c r="A341" s="62" t="s">
        <v>1024</v>
      </c>
      <c r="B341" s="84" t="s">
        <v>1013</v>
      </c>
      <c r="C341" s="85" t="s">
        <v>295</v>
      </c>
      <c r="D341" s="85" t="s">
        <v>296</v>
      </c>
      <c r="E341" s="84" t="s">
        <v>311</v>
      </c>
      <c r="F341" s="86" t="s">
        <v>312</v>
      </c>
      <c r="G341" s="87" t="s">
        <v>434</v>
      </c>
      <c r="H341" s="87" t="s">
        <v>1025</v>
      </c>
      <c r="I341" s="87"/>
      <c r="J341" s="87" t="s">
        <v>1015</v>
      </c>
      <c r="K341" s="88" t="str">
        <f t="shared" si="15"/>
        <v>Д</v>
      </c>
      <c r="L341" s="88" t="str">
        <f t="shared" si="16"/>
        <v>Б</v>
      </c>
      <c r="M341" s="89" t="str">
        <f t="shared" si="17"/>
        <v>Мировая экономика и международная экономическая безопасность</v>
      </c>
      <c r="N341" s="89" t="s">
        <v>301</v>
      </c>
    </row>
    <row r="342" spans="1:14" customFormat="1" ht="30" hidden="1" customHeight="1" x14ac:dyDescent="0.25">
      <c r="A342" s="62" t="s">
        <v>1026</v>
      </c>
      <c r="B342" s="84" t="s">
        <v>448</v>
      </c>
      <c r="C342" s="85" t="s">
        <v>295</v>
      </c>
      <c r="D342" s="85" t="s">
        <v>296</v>
      </c>
      <c r="E342" s="84" t="s">
        <v>311</v>
      </c>
      <c r="F342" s="86" t="s">
        <v>312</v>
      </c>
      <c r="G342" s="87" t="s">
        <v>449</v>
      </c>
      <c r="H342" s="87" t="s">
        <v>1027</v>
      </c>
      <c r="I342" s="87"/>
      <c r="J342" s="87" t="s">
        <v>1015</v>
      </c>
      <c r="K342" s="88" t="str">
        <f t="shared" si="15"/>
        <v>Д</v>
      </c>
      <c r="L342" s="88" t="str">
        <f t="shared" si="16"/>
        <v>Б</v>
      </c>
      <c r="M342" s="89" t="str">
        <f t="shared" si="17"/>
        <v>Международный менеджмент</v>
      </c>
      <c r="N342" s="89" t="s">
        <v>301</v>
      </c>
    </row>
    <row r="343" spans="1:14" customFormat="1" ht="30" hidden="1" customHeight="1" x14ac:dyDescent="0.25">
      <c r="A343" s="62" t="s">
        <v>1028</v>
      </c>
      <c r="B343" s="84" t="s">
        <v>1029</v>
      </c>
      <c r="C343" s="85" t="s">
        <v>295</v>
      </c>
      <c r="D343" s="85" t="s">
        <v>296</v>
      </c>
      <c r="E343" s="84" t="s">
        <v>311</v>
      </c>
      <c r="F343" s="86" t="s">
        <v>312</v>
      </c>
      <c r="G343" s="87" t="s">
        <v>1030</v>
      </c>
      <c r="H343" s="87" t="s">
        <v>1031</v>
      </c>
      <c r="I343" s="87"/>
      <c r="J343" s="87" t="s">
        <v>1015</v>
      </c>
      <c r="K343" s="88" t="str">
        <f t="shared" si="15"/>
        <v>Д</v>
      </c>
      <c r="L343" s="88" t="str">
        <f t="shared" si="16"/>
        <v>Б</v>
      </c>
      <c r="M343" s="89" t="str">
        <f t="shared" si="17"/>
        <v>Реклама</v>
      </c>
      <c r="N343" s="89" t="s">
        <v>301</v>
      </c>
    </row>
    <row r="344" spans="1:14" customFormat="1" ht="30" hidden="1" customHeight="1" x14ac:dyDescent="0.25">
      <c r="A344" s="62" t="s">
        <v>1032</v>
      </c>
      <c r="B344" s="84" t="s">
        <v>1029</v>
      </c>
      <c r="C344" s="85" t="s">
        <v>295</v>
      </c>
      <c r="D344" s="85" t="s">
        <v>296</v>
      </c>
      <c r="E344" s="84" t="s">
        <v>311</v>
      </c>
      <c r="F344" s="86" t="s">
        <v>312</v>
      </c>
      <c r="G344" s="87" t="s">
        <v>1030</v>
      </c>
      <c r="H344" s="87" t="s">
        <v>1033</v>
      </c>
      <c r="I344" s="87"/>
      <c r="J344" s="87" t="s">
        <v>1015</v>
      </c>
      <c r="K344" s="88" t="str">
        <f t="shared" si="15"/>
        <v>Д</v>
      </c>
      <c r="L344" s="88" t="str">
        <f t="shared" si="16"/>
        <v>Б</v>
      </c>
      <c r="M344" s="89" t="str">
        <f t="shared" si="17"/>
        <v>Связи с общественностью</v>
      </c>
      <c r="N344" s="89" t="s">
        <v>301</v>
      </c>
    </row>
    <row r="345" spans="1:14" customFormat="1" ht="30" hidden="1" customHeight="1" x14ac:dyDescent="0.25">
      <c r="A345" s="62" t="s">
        <v>1034</v>
      </c>
      <c r="B345" s="84" t="s">
        <v>1029</v>
      </c>
      <c r="C345" s="85" t="s">
        <v>295</v>
      </c>
      <c r="D345" s="85" t="s">
        <v>296</v>
      </c>
      <c r="E345" s="84" t="s">
        <v>311</v>
      </c>
      <c r="F345" s="86" t="s">
        <v>312</v>
      </c>
      <c r="G345" s="87" t="s">
        <v>1030</v>
      </c>
      <c r="H345" s="87" t="s">
        <v>1035</v>
      </c>
      <c r="I345" s="87"/>
      <c r="J345" s="87" t="s">
        <v>1015</v>
      </c>
      <c r="K345" s="88" t="str">
        <f t="shared" si="15"/>
        <v>Д</v>
      </c>
      <c r="L345" s="88" t="str">
        <f t="shared" si="16"/>
        <v>Б</v>
      </c>
      <c r="M345" s="89" t="str">
        <f t="shared" si="17"/>
        <v>Цифровые маркетинговые коммуникации</v>
      </c>
      <c r="N345" s="89" t="s">
        <v>301</v>
      </c>
    </row>
    <row r="346" spans="1:14" customFormat="1" ht="30" hidden="1" customHeight="1" x14ac:dyDescent="0.25">
      <c r="A346" s="62" t="s">
        <v>1036</v>
      </c>
      <c r="B346" s="84" t="s">
        <v>433</v>
      </c>
      <c r="C346" s="85" t="s">
        <v>295</v>
      </c>
      <c r="D346" s="85" t="s">
        <v>296</v>
      </c>
      <c r="E346" s="84" t="s">
        <v>330</v>
      </c>
      <c r="F346" s="86" t="s">
        <v>331</v>
      </c>
      <c r="G346" s="87" t="s">
        <v>434</v>
      </c>
      <c r="H346" s="87" t="s">
        <v>1037</v>
      </c>
      <c r="I346" s="87"/>
      <c r="J346" s="87" t="s">
        <v>1015</v>
      </c>
      <c r="K346" s="88" t="str">
        <f t="shared" si="15"/>
        <v>Д</v>
      </c>
      <c r="L346" s="88" t="str">
        <f t="shared" si="16"/>
        <v>М</v>
      </c>
      <c r="M346" s="89" t="str">
        <f t="shared" si="17"/>
        <v>Международные финансы и бизнес</v>
      </c>
      <c r="N346" s="89" t="s">
        <v>301</v>
      </c>
    </row>
    <row r="347" spans="1:14" customFormat="1" ht="30" hidden="1" customHeight="1" x14ac:dyDescent="0.25">
      <c r="A347" s="62" t="s">
        <v>1038</v>
      </c>
      <c r="B347" s="84" t="s">
        <v>433</v>
      </c>
      <c r="C347" s="85" t="s">
        <v>295</v>
      </c>
      <c r="D347" s="85" t="s">
        <v>296</v>
      </c>
      <c r="E347" s="84" t="s">
        <v>330</v>
      </c>
      <c r="F347" s="86" t="s">
        <v>331</v>
      </c>
      <c r="G347" s="87" t="s">
        <v>434</v>
      </c>
      <c r="H347" s="87" t="s">
        <v>1039</v>
      </c>
      <c r="I347" s="87"/>
      <c r="J347" s="87" t="s">
        <v>1015</v>
      </c>
      <c r="K347" s="88" t="str">
        <f t="shared" si="15"/>
        <v>Д</v>
      </c>
      <c r="L347" s="88" t="str">
        <f t="shared" si="16"/>
        <v>М</v>
      </c>
      <c r="M347" s="89" t="str">
        <f t="shared" si="17"/>
        <v>Комплексная безопасность госкорпораций и бизнеса</v>
      </c>
      <c r="N347" s="89" t="s">
        <v>301</v>
      </c>
    </row>
    <row r="348" spans="1:14" customFormat="1" ht="30" hidden="1" customHeight="1" x14ac:dyDescent="0.25">
      <c r="A348" s="62" t="s">
        <v>1040</v>
      </c>
      <c r="B348" s="84" t="s">
        <v>433</v>
      </c>
      <c r="C348" s="85" t="s">
        <v>295</v>
      </c>
      <c r="D348" s="85" t="s">
        <v>296</v>
      </c>
      <c r="E348" s="84" t="s">
        <v>330</v>
      </c>
      <c r="F348" s="86" t="s">
        <v>331</v>
      </c>
      <c r="G348" s="87" t="s">
        <v>434</v>
      </c>
      <c r="H348" s="87" t="s">
        <v>1041</v>
      </c>
      <c r="I348" s="87"/>
      <c r="J348" s="87" t="s">
        <v>1015</v>
      </c>
      <c r="K348" s="88" t="str">
        <f t="shared" si="15"/>
        <v>Д</v>
      </c>
      <c r="L348" s="88" t="str">
        <f t="shared" si="16"/>
        <v>М</v>
      </c>
      <c r="M348" s="89" t="str">
        <f t="shared" si="17"/>
        <v>Исламские финансы и бизнес</v>
      </c>
      <c r="N348" s="89" t="s">
        <v>301</v>
      </c>
    </row>
    <row r="349" spans="1:14" customFormat="1" ht="30" hidden="1" customHeight="1" x14ac:dyDescent="0.25">
      <c r="A349" s="62" t="s">
        <v>1042</v>
      </c>
      <c r="B349" s="84" t="s">
        <v>433</v>
      </c>
      <c r="C349" s="85" t="s">
        <v>295</v>
      </c>
      <c r="D349" s="85" t="s">
        <v>296</v>
      </c>
      <c r="E349" s="84" t="s">
        <v>330</v>
      </c>
      <c r="F349" s="86" t="s">
        <v>331</v>
      </c>
      <c r="G349" s="87" t="s">
        <v>434</v>
      </c>
      <c r="H349" s="87" t="s">
        <v>1043</v>
      </c>
      <c r="I349" s="87"/>
      <c r="J349" s="87" t="s">
        <v>1015</v>
      </c>
      <c r="K349" s="88" t="str">
        <f t="shared" si="15"/>
        <v>Д</v>
      </c>
      <c r="L349" s="88" t="str">
        <f t="shared" si="16"/>
        <v>М</v>
      </c>
      <c r="M349" s="89" t="str">
        <f t="shared" si="17"/>
        <v>Международные финансы</v>
      </c>
      <c r="N349" s="89" t="s">
        <v>301</v>
      </c>
    </row>
    <row r="350" spans="1:14" customFormat="1" ht="30" hidden="1" customHeight="1" x14ac:dyDescent="0.25">
      <c r="A350" s="62" t="s">
        <v>1044</v>
      </c>
      <c r="B350" s="84" t="s">
        <v>488</v>
      </c>
      <c r="C350" s="85" t="s">
        <v>295</v>
      </c>
      <c r="D350" s="85" t="s">
        <v>296</v>
      </c>
      <c r="E350" s="84" t="s">
        <v>330</v>
      </c>
      <c r="F350" s="86" t="s">
        <v>331</v>
      </c>
      <c r="G350" s="87" t="s">
        <v>449</v>
      </c>
      <c r="H350" s="87" t="s">
        <v>1045</v>
      </c>
      <c r="I350" s="87"/>
      <c r="J350" s="87" t="s">
        <v>1015</v>
      </c>
      <c r="K350" s="88" t="str">
        <f t="shared" si="15"/>
        <v>Д</v>
      </c>
      <c r="L350" s="88" t="str">
        <f t="shared" si="16"/>
        <v>М</v>
      </c>
      <c r="M350" s="89" t="str">
        <f t="shared" si="17"/>
        <v>Управление международным бизнесом</v>
      </c>
      <c r="N350" s="89" t="s">
        <v>301</v>
      </c>
    </row>
    <row r="351" spans="1:14" customFormat="1" ht="30" hidden="1" customHeight="1" x14ac:dyDescent="0.25">
      <c r="A351" s="62" t="s">
        <v>1046</v>
      </c>
      <c r="B351" s="84" t="s">
        <v>1047</v>
      </c>
      <c r="C351" s="85" t="s">
        <v>295</v>
      </c>
      <c r="D351" s="85" t="s">
        <v>296</v>
      </c>
      <c r="E351" s="84" t="s">
        <v>330</v>
      </c>
      <c r="F351" s="86" t="s">
        <v>331</v>
      </c>
      <c r="G351" s="87" t="s">
        <v>1030</v>
      </c>
      <c r="H351" s="87" t="s">
        <v>1048</v>
      </c>
      <c r="I351" s="87"/>
      <c r="J351" s="87" t="s">
        <v>1015</v>
      </c>
      <c r="K351" s="88" t="str">
        <f t="shared" si="15"/>
        <v>Д</v>
      </c>
      <c r="L351" s="88" t="str">
        <f t="shared" si="16"/>
        <v>М</v>
      </c>
      <c r="M351" s="89" t="str">
        <f t="shared" si="17"/>
        <v>Рекламный менеджмент</v>
      </c>
      <c r="N351" s="89" t="s">
        <v>301</v>
      </c>
    </row>
    <row r="352" spans="1:14" customFormat="1" ht="30" hidden="1" customHeight="1" x14ac:dyDescent="0.25">
      <c r="A352" s="62" t="s">
        <v>1049</v>
      </c>
      <c r="B352" s="84" t="s">
        <v>1047</v>
      </c>
      <c r="C352" s="85" t="s">
        <v>295</v>
      </c>
      <c r="D352" s="85" t="s">
        <v>296</v>
      </c>
      <c r="E352" s="84" t="s">
        <v>330</v>
      </c>
      <c r="F352" s="86" t="s">
        <v>331</v>
      </c>
      <c r="G352" s="87" t="s">
        <v>1030</v>
      </c>
      <c r="H352" s="87" t="s">
        <v>1050</v>
      </c>
      <c r="I352" s="87"/>
      <c r="J352" s="87" t="s">
        <v>1015</v>
      </c>
      <c r="K352" s="88" t="str">
        <f t="shared" si="15"/>
        <v>Д</v>
      </c>
      <c r="L352" s="88" t="str">
        <f t="shared" si="16"/>
        <v>М</v>
      </c>
      <c r="M352" s="89" t="str">
        <f t="shared" si="17"/>
        <v>Управление связями с общественностью</v>
      </c>
      <c r="N352" s="89" t="s">
        <v>301</v>
      </c>
    </row>
    <row r="353" spans="1:14" customFormat="1" ht="30" hidden="1" customHeight="1" x14ac:dyDescent="0.25">
      <c r="A353" s="62" t="s">
        <v>1051</v>
      </c>
      <c r="B353" s="84" t="s">
        <v>980</v>
      </c>
      <c r="C353" s="85" t="s">
        <v>295</v>
      </c>
      <c r="D353" s="85" t="s">
        <v>304</v>
      </c>
      <c r="E353" s="84" t="s">
        <v>330</v>
      </c>
      <c r="F353" s="86" t="s">
        <v>331</v>
      </c>
      <c r="G353" s="87" t="s">
        <v>970</v>
      </c>
      <c r="H353" s="87" t="s">
        <v>1052</v>
      </c>
      <c r="I353" s="87"/>
      <c r="J353" s="87" t="s">
        <v>1015</v>
      </c>
      <c r="K353" s="88" t="str">
        <f t="shared" si="15"/>
        <v>Д</v>
      </c>
      <c r="L353" s="88" t="str">
        <f t="shared" si="16"/>
        <v>М</v>
      </c>
      <c r="M353" s="89" t="str">
        <f t="shared" si="17"/>
        <v>Иностранный язык профессионального общения и специализированный перевод [язык реализации –Английский]</v>
      </c>
      <c r="N353" s="89" t="s">
        <v>301</v>
      </c>
    </row>
    <row r="354" spans="1:14" customFormat="1" ht="30" hidden="1" customHeight="1" x14ac:dyDescent="0.25">
      <c r="A354" s="62" t="s">
        <v>1053</v>
      </c>
      <c r="B354" s="84" t="s">
        <v>980</v>
      </c>
      <c r="C354" s="85" t="s">
        <v>295</v>
      </c>
      <c r="D354" s="85" t="s">
        <v>1054</v>
      </c>
      <c r="E354" s="84" t="s">
        <v>330</v>
      </c>
      <c r="F354" s="86" t="s">
        <v>331</v>
      </c>
      <c r="G354" s="87" t="s">
        <v>970</v>
      </c>
      <c r="H354" s="87" t="s">
        <v>1052</v>
      </c>
      <c r="I354" s="87"/>
      <c r="J354" s="87" t="s">
        <v>1015</v>
      </c>
      <c r="K354" s="88" t="str">
        <f t="shared" si="15"/>
        <v>Д</v>
      </c>
      <c r="L354" s="88" t="str">
        <f t="shared" si="16"/>
        <v>М</v>
      </c>
      <c r="M354" s="89" t="str">
        <f t="shared" si="17"/>
        <v>Иностранный язык профессионального общения и специализированный перевод [язык реализации –Китайский]</v>
      </c>
      <c r="N354" s="89" t="s">
        <v>301</v>
      </c>
    </row>
    <row r="355" spans="1:14" customFormat="1" ht="30" hidden="1" customHeight="1" x14ac:dyDescent="0.25">
      <c r="A355" s="62" t="s">
        <v>1055</v>
      </c>
      <c r="B355" s="84" t="s">
        <v>1056</v>
      </c>
      <c r="C355" s="85" t="s">
        <v>295</v>
      </c>
      <c r="D355" s="85" t="s">
        <v>296</v>
      </c>
      <c r="E355" s="84" t="s">
        <v>311</v>
      </c>
      <c r="F355" s="86" t="s">
        <v>312</v>
      </c>
      <c r="G355" s="87" t="s">
        <v>1057</v>
      </c>
      <c r="H355" s="87" t="s">
        <v>1058</v>
      </c>
      <c r="I355" s="87"/>
      <c r="J355" s="87" t="s">
        <v>1059</v>
      </c>
      <c r="K355" s="88" t="str">
        <f t="shared" si="15"/>
        <v>Д</v>
      </c>
      <c r="L355" s="88" t="str">
        <f t="shared" si="16"/>
        <v>Б</v>
      </c>
      <c r="M355" s="89" t="str">
        <f t="shared" si="17"/>
        <v>Прикладная цифровая филология</v>
      </c>
      <c r="N355" s="89" t="s">
        <v>301</v>
      </c>
    </row>
    <row r="356" spans="1:14" customFormat="1" ht="30" hidden="1" customHeight="1" x14ac:dyDescent="0.25">
      <c r="A356" s="62" t="s">
        <v>1060</v>
      </c>
      <c r="B356" s="84" t="s">
        <v>1061</v>
      </c>
      <c r="C356" s="85" t="s">
        <v>295</v>
      </c>
      <c r="D356" s="85" t="s">
        <v>296</v>
      </c>
      <c r="E356" s="84" t="s">
        <v>311</v>
      </c>
      <c r="F356" s="86" t="s">
        <v>312</v>
      </c>
      <c r="G356" s="87" t="s">
        <v>1062</v>
      </c>
      <c r="H356" s="87" t="s">
        <v>1063</v>
      </c>
      <c r="I356" s="87"/>
      <c r="J356" s="87" t="s">
        <v>1059</v>
      </c>
      <c r="K356" s="88" t="str">
        <f t="shared" si="15"/>
        <v>Д</v>
      </c>
      <c r="L356" s="88" t="str">
        <f t="shared" si="16"/>
        <v>Б</v>
      </c>
      <c r="M356" s="89" t="str">
        <f t="shared" si="17"/>
        <v>Кибертехнологии и анализ данных в гуманитарной сфере</v>
      </c>
      <c r="N356" s="89" t="s">
        <v>301</v>
      </c>
    </row>
    <row r="357" spans="1:14" customFormat="1" ht="30" hidden="1" customHeight="1" x14ac:dyDescent="0.25">
      <c r="A357" s="62" t="s">
        <v>1064</v>
      </c>
      <c r="B357" s="84" t="s">
        <v>1065</v>
      </c>
      <c r="C357" s="85" t="s">
        <v>295</v>
      </c>
      <c r="D357" s="85" t="s">
        <v>296</v>
      </c>
      <c r="E357" s="84" t="s">
        <v>330</v>
      </c>
      <c r="F357" s="86" t="s">
        <v>331</v>
      </c>
      <c r="G357" s="87" t="s">
        <v>1066</v>
      </c>
      <c r="H357" s="87" t="s">
        <v>1067</v>
      </c>
      <c r="I357" s="87"/>
      <c r="J357" s="87" t="s">
        <v>1059</v>
      </c>
      <c r="K357" s="88" t="str">
        <f t="shared" si="15"/>
        <v>Д</v>
      </c>
      <c r="L357" s="88" t="str">
        <f t="shared" si="16"/>
        <v>М</v>
      </c>
      <c r="M357" s="89" t="str">
        <f t="shared" si="17"/>
        <v>Лингвокультурная педагогика</v>
      </c>
      <c r="N357" s="89" t="s">
        <v>301</v>
      </c>
    </row>
    <row r="358" spans="1:14" customFormat="1" ht="30" hidden="1" customHeight="1" x14ac:dyDescent="0.25">
      <c r="A358" s="62" t="s">
        <v>1068</v>
      </c>
      <c r="B358" s="84" t="s">
        <v>1069</v>
      </c>
      <c r="C358" s="85" t="s">
        <v>295</v>
      </c>
      <c r="D358" s="85" t="s">
        <v>296</v>
      </c>
      <c r="E358" s="84" t="s">
        <v>330</v>
      </c>
      <c r="F358" s="86" t="s">
        <v>331</v>
      </c>
      <c r="G358" s="87" t="s">
        <v>1057</v>
      </c>
      <c r="H358" s="87" t="s">
        <v>1070</v>
      </c>
      <c r="I358" s="87" t="s">
        <v>1071</v>
      </c>
      <c r="J358" s="87" t="s">
        <v>1059</v>
      </c>
      <c r="K358" s="88" t="str">
        <f t="shared" si="15"/>
        <v>Д</v>
      </c>
      <c r="L358" s="88" t="str">
        <f t="shared" si="16"/>
        <v>М</v>
      </c>
      <c r="M358" s="89" t="str">
        <f t="shared" si="17"/>
        <v>Глобальная русистика (Вуз-партнёр – Тюменский государственный университет)</v>
      </c>
      <c r="N358" s="89" t="s">
        <v>301</v>
      </c>
    </row>
    <row r="359" spans="1:14" ht="30" hidden="1" customHeight="1" x14ac:dyDescent="0.25">
      <c r="A359" s="62" t="s">
        <v>1072</v>
      </c>
      <c r="B359" s="84" t="s">
        <v>1069</v>
      </c>
      <c r="C359" s="85" t="s">
        <v>295</v>
      </c>
      <c r="D359" s="85" t="s">
        <v>296</v>
      </c>
      <c r="E359" s="84" t="s">
        <v>330</v>
      </c>
      <c r="F359" s="86" t="s">
        <v>331</v>
      </c>
      <c r="G359" s="87" t="s">
        <v>1057</v>
      </c>
      <c r="H359" s="87" t="s">
        <v>1073</v>
      </c>
      <c r="I359" s="87"/>
      <c r="J359" s="87" t="s">
        <v>1059</v>
      </c>
      <c r="K359" s="88" t="str">
        <f t="shared" si="15"/>
        <v>Д</v>
      </c>
      <c r="L359" s="88" t="str">
        <f t="shared" si="16"/>
        <v>М</v>
      </c>
      <c r="M359" s="89" t="str">
        <f t="shared" si="17"/>
        <v>Цифровые инновации в филологии</v>
      </c>
      <c r="N359" s="89" t="s">
        <v>301</v>
      </c>
    </row>
    <row r="360" spans="1:14" ht="30" hidden="1" customHeight="1" x14ac:dyDescent="0.25">
      <c r="A360" s="62" t="s">
        <v>1074</v>
      </c>
      <c r="B360" s="84" t="s">
        <v>1069</v>
      </c>
      <c r="C360" s="85" t="s">
        <v>295</v>
      </c>
      <c r="D360" s="85" t="s">
        <v>296</v>
      </c>
      <c r="E360" s="84" t="s">
        <v>330</v>
      </c>
      <c r="F360" s="86" t="s">
        <v>331</v>
      </c>
      <c r="G360" s="87" t="s">
        <v>1057</v>
      </c>
      <c r="H360" s="87" t="s">
        <v>1075</v>
      </c>
      <c r="I360" s="87" t="s">
        <v>1076</v>
      </c>
      <c r="J360" s="87" t="s">
        <v>1059</v>
      </c>
      <c r="K360" s="88" t="str">
        <f t="shared" si="15"/>
        <v>Д</v>
      </c>
      <c r="L360" s="88" t="str">
        <f t="shared" si="16"/>
        <v>М</v>
      </c>
      <c r="M360" s="89" t="str">
        <f t="shared" si="17"/>
        <v>Цифровая филология (Вуз-партнёр – Кыргызско-Российский (Славянский) Университет)</v>
      </c>
      <c r="N360" s="89" t="s">
        <v>301</v>
      </c>
    </row>
    <row r="361" spans="1:14" ht="30" hidden="1" customHeight="1" x14ac:dyDescent="0.25">
      <c r="A361" s="62" t="s">
        <v>1077</v>
      </c>
      <c r="B361" s="84" t="s">
        <v>1069</v>
      </c>
      <c r="C361" s="85" t="s">
        <v>295</v>
      </c>
      <c r="D361" s="85" t="s">
        <v>296</v>
      </c>
      <c r="E361" s="84" t="s">
        <v>330</v>
      </c>
      <c r="F361" s="86" t="s">
        <v>331</v>
      </c>
      <c r="G361" s="87" t="s">
        <v>1057</v>
      </c>
      <c r="H361" s="87" t="s">
        <v>1078</v>
      </c>
      <c r="I361" s="87" t="s">
        <v>1079</v>
      </c>
      <c r="J361" s="87" t="s">
        <v>1059</v>
      </c>
      <c r="K361" s="88" t="str">
        <f t="shared" si="15"/>
        <v>Д</v>
      </c>
      <c r="L361" s="88" t="str">
        <f t="shared" si="16"/>
        <v>М</v>
      </c>
      <c r="M361" s="89" t="str">
        <f t="shared" si="17"/>
        <v>Русский язык и литература в полиэтнической среде (Вуз-партнёр – Российско-Таджикский (Славянский) университет)</v>
      </c>
      <c r="N361" s="89" t="s">
        <v>301</v>
      </c>
    </row>
    <row r="362" spans="1:14" ht="30" hidden="1" customHeight="1" x14ac:dyDescent="0.25">
      <c r="A362" s="62" t="s">
        <v>1080</v>
      </c>
      <c r="B362" s="84" t="s">
        <v>980</v>
      </c>
      <c r="C362" s="85" t="s">
        <v>295</v>
      </c>
      <c r="D362" s="85" t="s">
        <v>296</v>
      </c>
      <c r="E362" s="84" t="s">
        <v>330</v>
      </c>
      <c r="F362" s="86" t="s">
        <v>331</v>
      </c>
      <c r="G362" s="87" t="s">
        <v>970</v>
      </c>
      <c r="H362" s="87" t="s">
        <v>1070</v>
      </c>
      <c r="I362" s="87" t="s">
        <v>1081</v>
      </c>
      <c r="J362" s="87" t="s">
        <v>1059</v>
      </c>
      <c r="K362" s="88" t="str">
        <f t="shared" si="15"/>
        <v>Д</v>
      </c>
      <c r="L362" s="88" t="str">
        <f t="shared" si="16"/>
        <v>М</v>
      </c>
      <c r="M362" s="89" t="str">
        <f t="shared" si="17"/>
        <v>Глобальная русистика (Вуз-партнёр – Липецкий государственный педагогический университет имени П.П. Семенова-Тян-Шанского)</v>
      </c>
      <c r="N362" s="89" t="s">
        <v>301</v>
      </c>
    </row>
    <row r="363" spans="1:14" ht="30" hidden="1" customHeight="1" x14ac:dyDescent="0.25">
      <c r="A363" s="62" t="s">
        <v>1082</v>
      </c>
      <c r="B363" s="84" t="s">
        <v>1083</v>
      </c>
      <c r="C363" s="85" t="s">
        <v>295</v>
      </c>
      <c r="D363" s="85" t="s">
        <v>296</v>
      </c>
      <c r="E363" s="84" t="s">
        <v>330</v>
      </c>
      <c r="F363" s="86" t="s">
        <v>331</v>
      </c>
      <c r="G363" s="87" t="s">
        <v>1084</v>
      </c>
      <c r="H363" s="87" t="s">
        <v>1085</v>
      </c>
      <c r="I363" s="87"/>
      <c r="J363" s="87" t="s">
        <v>1059</v>
      </c>
      <c r="K363" s="88" t="str">
        <f t="shared" si="15"/>
        <v>Д</v>
      </c>
      <c r="L363" s="88" t="str">
        <f t="shared" si="16"/>
        <v>М</v>
      </c>
      <c r="M363" s="89" t="str">
        <f t="shared" si="17"/>
        <v>Интеллектуальные технологии и анализ данных в гуманитарной сфере</v>
      </c>
      <c r="N363" s="89" t="s">
        <v>301</v>
      </c>
    </row>
    <row r="364" spans="1:14" ht="30" hidden="1" customHeight="1" x14ac:dyDescent="0.25">
      <c r="A364" s="62" t="s">
        <v>1086</v>
      </c>
      <c r="B364" s="84" t="s">
        <v>1087</v>
      </c>
      <c r="C364" s="85" t="s">
        <v>295</v>
      </c>
      <c r="D364" s="85" t="s">
        <v>296</v>
      </c>
      <c r="E364" s="84" t="s">
        <v>393</v>
      </c>
      <c r="F364" s="86" t="s">
        <v>368</v>
      </c>
      <c r="G364" s="87" t="s">
        <v>1088</v>
      </c>
      <c r="H364" s="87" t="s">
        <v>1089</v>
      </c>
      <c r="I364" s="87"/>
      <c r="J364" s="87" t="s">
        <v>1059</v>
      </c>
      <c r="K364" s="88" t="str">
        <f t="shared" si="15"/>
        <v>Д</v>
      </c>
      <c r="L364" s="88" t="str">
        <f t="shared" si="16"/>
        <v>А</v>
      </c>
      <c r="M364" s="89" t="str">
        <f t="shared" si="17"/>
        <v>Психология традиционных и цифровых образовательных сред</v>
      </c>
      <c r="N364" s="89" t="s">
        <v>301</v>
      </c>
    </row>
    <row r="365" spans="1:14" customFormat="1" ht="30" hidden="1" customHeight="1" x14ac:dyDescent="0.25">
      <c r="A365" s="62" t="s">
        <v>1090</v>
      </c>
      <c r="B365" s="84" t="s">
        <v>991</v>
      </c>
      <c r="C365" s="85" t="s">
        <v>295</v>
      </c>
      <c r="D365" s="85" t="s">
        <v>296</v>
      </c>
      <c r="E365" s="84" t="s">
        <v>393</v>
      </c>
      <c r="F365" s="86" t="s">
        <v>368</v>
      </c>
      <c r="G365" s="87" t="s">
        <v>992</v>
      </c>
      <c r="H365" s="87" t="s">
        <v>1091</v>
      </c>
      <c r="I365" s="87"/>
      <c r="J365" s="87" t="s">
        <v>1059</v>
      </c>
      <c r="K365" s="88" t="str">
        <f t="shared" si="15"/>
        <v>Д</v>
      </c>
      <c r="L365" s="88" t="str">
        <f t="shared" si="16"/>
        <v>А</v>
      </c>
      <c r="M365" s="89" t="str">
        <f t="shared" si="17"/>
        <v>Междисциплинарность в педагогических исследованиях</v>
      </c>
      <c r="N365" s="89" t="s">
        <v>301</v>
      </c>
    </row>
    <row r="366" spans="1:14" ht="30" hidden="1" customHeight="1" x14ac:dyDescent="0.25">
      <c r="A366" s="62" t="s">
        <v>1092</v>
      </c>
      <c r="B366" s="84" t="s">
        <v>995</v>
      </c>
      <c r="C366" s="85" t="s">
        <v>295</v>
      </c>
      <c r="D366" s="85" t="s">
        <v>296</v>
      </c>
      <c r="E366" s="84" t="s">
        <v>393</v>
      </c>
      <c r="F366" s="86" t="s">
        <v>368</v>
      </c>
      <c r="G366" s="87" t="s">
        <v>996</v>
      </c>
      <c r="H366" s="87" t="s">
        <v>1093</v>
      </c>
      <c r="I366" s="87"/>
      <c r="J366" s="87" t="s">
        <v>1059</v>
      </c>
      <c r="K366" s="88" t="str">
        <f t="shared" si="15"/>
        <v>Д</v>
      </c>
      <c r="L366" s="88" t="str">
        <f t="shared" si="16"/>
        <v>А</v>
      </c>
      <c r="M366" s="89" t="str">
        <f t="shared" si="17"/>
        <v>Этноориентированная методика обучения русскому языку как иностранному</v>
      </c>
      <c r="N366" s="89" t="s">
        <v>301</v>
      </c>
    </row>
    <row r="367" spans="1:14" ht="30" hidden="1" customHeight="1" x14ac:dyDescent="0.25">
      <c r="A367" s="62" t="s">
        <v>1094</v>
      </c>
      <c r="B367" s="84" t="s">
        <v>1095</v>
      </c>
      <c r="C367" s="85" t="s">
        <v>295</v>
      </c>
      <c r="D367" s="85" t="s">
        <v>296</v>
      </c>
      <c r="E367" s="84" t="s">
        <v>393</v>
      </c>
      <c r="F367" s="86" t="s">
        <v>368</v>
      </c>
      <c r="G367" s="87" t="s">
        <v>1096</v>
      </c>
      <c r="H367" s="87" t="s">
        <v>1097</v>
      </c>
      <c r="I367" s="87"/>
      <c r="J367" s="87" t="s">
        <v>1059</v>
      </c>
      <c r="K367" s="88" t="str">
        <f t="shared" si="15"/>
        <v>Д</v>
      </c>
      <c r="L367" s="88" t="str">
        <f t="shared" si="16"/>
        <v>А</v>
      </c>
      <c r="M367" s="89" t="str">
        <f t="shared" si="17"/>
        <v>Русский язык как иностранный: теория и методика профессионального образования</v>
      </c>
      <c r="N367" s="89" t="s">
        <v>301</v>
      </c>
    </row>
    <row r="368" spans="1:14" customFormat="1" ht="30" hidden="1" customHeight="1" x14ac:dyDescent="0.25">
      <c r="A368" s="62" t="s">
        <v>1098</v>
      </c>
      <c r="B368" s="84" t="s">
        <v>1099</v>
      </c>
      <c r="C368" s="85" t="s">
        <v>295</v>
      </c>
      <c r="D368" s="85" t="s">
        <v>296</v>
      </c>
      <c r="E368" s="84" t="s">
        <v>393</v>
      </c>
      <c r="F368" s="86" t="s">
        <v>368</v>
      </c>
      <c r="G368" s="87" t="s">
        <v>1100</v>
      </c>
      <c r="H368" s="87" t="s">
        <v>1101</v>
      </c>
      <c r="I368" s="87"/>
      <c r="J368" s="87" t="s">
        <v>1059</v>
      </c>
      <c r="K368" s="88" t="str">
        <f t="shared" si="15"/>
        <v>Д</v>
      </c>
      <c r="L368" s="88" t="str">
        <f t="shared" si="16"/>
        <v>А</v>
      </c>
      <c r="M368" s="89" t="str">
        <f t="shared" si="17"/>
        <v>Русский язык в речевой культуре современных носителей русского языка и билингвальных студентов</v>
      </c>
      <c r="N368" s="89" t="s">
        <v>301</v>
      </c>
    </row>
    <row r="369" spans="1:14" customFormat="1" ht="30" hidden="1" customHeight="1" x14ac:dyDescent="0.25">
      <c r="A369" s="62" t="s">
        <v>1102</v>
      </c>
      <c r="B369" s="84" t="s">
        <v>1099</v>
      </c>
      <c r="C369" s="85" t="s">
        <v>295</v>
      </c>
      <c r="D369" s="85" t="s">
        <v>296</v>
      </c>
      <c r="E369" s="84" t="s">
        <v>393</v>
      </c>
      <c r="F369" s="86" t="s">
        <v>368</v>
      </c>
      <c r="G369" s="87" t="s">
        <v>1100</v>
      </c>
      <c r="H369" s="87" t="s">
        <v>1103</v>
      </c>
      <c r="I369" s="87"/>
      <c r="J369" s="87" t="s">
        <v>1059</v>
      </c>
      <c r="K369" s="88" t="str">
        <f t="shared" si="15"/>
        <v>Д</v>
      </c>
      <c r="L369" s="88" t="str">
        <f t="shared" si="16"/>
        <v>А</v>
      </c>
      <c r="M369" s="89" t="str">
        <f t="shared" si="17"/>
        <v>Лингвокультурология: теория и практика</v>
      </c>
      <c r="N369" s="89" t="s">
        <v>301</v>
      </c>
    </row>
    <row r="370" spans="1:14" customFormat="1" ht="30" hidden="1" customHeight="1" x14ac:dyDescent="0.25">
      <c r="A370" s="62" t="s">
        <v>1104</v>
      </c>
      <c r="B370" s="84" t="s">
        <v>1006</v>
      </c>
      <c r="C370" s="85" t="s">
        <v>295</v>
      </c>
      <c r="D370" s="85" t="s">
        <v>296</v>
      </c>
      <c r="E370" s="84" t="s">
        <v>393</v>
      </c>
      <c r="F370" s="86" t="s">
        <v>368</v>
      </c>
      <c r="G370" s="87" t="s">
        <v>1007</v>
      </c>
      <c r="H370" s="87" t="s">
        <v>1105</v>
      </c>
      <c r="I370" s="87"/>
      <c r="J370" s="87" t="s">
        <v>1059</v>
      </c>
      <c r="K370" s="88" t="str">
        <f t="shared" si="15"/>
        <v>Д</v>
      </c>
      <c r="L370" s="88" t="str">
        <f t="shared" si="16"/>
        <v>А</v>
      </c>
      <c r="M370" s="89" t="str">
        <f t="shared" si="17"/>
        <v>Русско-инонациональный (массовый и индивидуальный) би- и транслингвизм</v>
      </c>
      <c r="N370" s="89" t="s">
        <v>301</v>
      </c>
    </row>
    <row r="371" spans="1:14" customFormat="1" ht="30" hidden="1" customHeight="1" x14ac:dyDescent="0.25">
      <c r="A371" s="62" t="s">
        <v>1106</v>
      </c>
      <c r="B371" s="84" t="s">
        <v>1006</v>
      </c>
      <c r="C371" s="85" t="s">
        <v>295</v>
      </c>
      <c r="D371" s="85" t="s">
        <v>296</v>
      </c>
      <c r="E371" s="84" t="s">
        <v>393</v>
      </c>
      <c r="F371" s="86" t="s">
        <v>368</v>
      </c>
      <c r="G371" s="87" t="s">
        <v>1007</v>
      </c>
      <c r="H371" s="87" t="s">
        <v>1107</v>
      </c>
      <c r="I371" s="87"/>
      <c r="J371" s="87" t="s">
        <v>1059</v>
      </c>
      <c r="K371" s="88" t="str">
        <f t="shared" si="15"/>
        <v>Д</v>
      </c>
      <c r="L371" s="88" t="str">
        <f t="shared" si="16"/>
        <v>А</v>
      </c>
      <c r="M371" s="89" t="str">
        <f t="shared" si="17"/>
        <v>Сравнительно-типологические, сравнительно-сопоставительные исследования русского языка с языками народов РФ</v>
      </c>
      <c r="N371" s="89" t="s">
        <v>301</v>
      </c>
    </row>
    <row r="372" spans="1:14" ht="30" hidden="1" customHeight="1" x14ac:dyDescent="0.25">
      <c r="A372" s="62" t="s">
        <v>1108</v>
      </c>
      <c r="B372" s="84" t="s">
        <v>1006</v>
      </c>
      <c r="C372" s="85" t="s">
        <v>295</v>
      </c>
      <c r="D372" s="85" t="s">
        <v>296</v>
      </c>
      <c r="E372" s="84" t="s">
        <v>393</v>
      </c>
      <c r="F372" s="86" t="s">
        <v>368</v>
      </c>
      <c r="G372" s="87" t="s">
        <v>1007</v>
      </c>
      <c r="H372" s="87" t="s">
        <v>1109</v>
      </c>
      <c r="I372" s="87"/>
      <c r="J372" s="87" t="s">
        <v>1059</v>
      </c>
      <c r="K372" s="88" t="str">
        <f t="shared" si="15"/>
        <v>Д</v>
      </c>
      <c r="L372" s="88" t="str">
        <f t="shared" si="16"/>
        <v>А</v>
      </c>
      <c r="M372" s="89" t="str">
        <f t="shared" si="17"/>
        <v>Лингвистический анализ русскоязычного художественного текста нерусских авторов, в том числе представителей коренных народов РФ</v>
      </c>
      <c r="N372" s="89" t="s">
        <v>301</v>
      </c>
    </row>
    <row r="373" spans="1:14" ht="30" hidden="1" customHeight="1" x14ac:dyDescent="0.25">
      <c r="A373" s="62" t="s">
        <v>1110</v>
      </c>
      <c r="B373" s="84" t="s">
        <v>1006</v>
      </c>
      <c r="C373" s="85" t="s">
        <v>295</v>
      </c>
      <c r="D373" s="85" t="s">
        <v>296</v>
      </c>
      <c r="E373" s="84" t="s">
        <v>393</v>
      </c>
      <c r="F373" s="86" t="s">
        <v>368</v>
      </c>
      <c r="G373" s="87" t="s">
        <v>1007</v>
      </c>
      <c r="H373" s="87" t="s">
        <v>1111</v>
      </c>
      <c r="I373" s="87"/>
      <c r="J373" s="87" t="s">
        <v>1059</v>
      </c>
      <c r="K373" s="88" t="str">
        <f t="shared" si="15"/>
        <v>Д</v>
      </c>
      <c r="L373" s="88" t="str">
        <f t="shared" si="16"/>
        <v>А</v>
      </c>
      <c r="M373" s="89" t="str">
        <f t="shared" si="17"/>
        <v>Транслатология: теория и методология</v>
      </c>
      <c r="N373" s="89" t="s">
        <v>301</v>
      </c>
    </row>
    <row r="374" spans="1:14" ht="30" hidden="1" customHeight="1" x14ac:dyDescent="0.25">
      <c r="A374" s="62" t="s">
        <v>1112</v>
      </c>
      <c r="B374" s="84" t="s">
        <v>1056</v>
      </c>
      <c r="C374" s="85" t="s">
        <v>403</v>
      </c>
      <c r="D374" s="85" t="s">
        <v>296</v>
      </c>
      <c r="E374" s="84" t="s">
        <v>406</v>
      </c>
      <c r="F374" s="86" t="s">
        <v>312</v>
      </c>
      <c r="G374" s="87" t="s">
        <v>1057</v>
      </c>
      <c r="H374" s="87" t="s">
        <v>1058</v>
      </c>
      <c r="I374" s="87"/>
      <c r="J374" s="87" t="s">
        <v>1059</v>
      </c>
      <c r="K374" s="88" t="str">
        <f t="shared" si="15"/>
        <v>В</v>
      </c>
      <c r="L374" s="88" t="str">
        <f t="shared" si="16"/>
        <v>Б</v>
      </c>
      <c r="M374" s="89" t="str">
        <f t="shared" si="17"/>
        <v>Прикладная цифровая филология</v>
      </c>
      <c r="N374" s="89" t="s">
        <v>301</v>
      </c>
    </row>
    <row r="375" spans="1:14" ht="30" hidden="1" customHeight="1" x14ac:dyDescent="0.25">
      <c r="A375" s="62" t="s">
        <v>1113</v>
      </c>
      <c r="B375" s="84" t="s">
        <v>1061</v>
      </c>
      <c r="C375" s="85" t="s">
        <v>403</v>
      </c>
      <c r="D375" s="85" t="s">
        <v>296</v>
      </c>
      <c r="E375" s="84" t="s">
        <v>406</v>
      </c>
      <c r="F375" s="86" t="s">
        <v>312</v>
      </c>
      <c r="G375" s="87" t="s">
        <v>1062</v>
      </c>
      <c r="H375" s="87" t="s">
        <v>1063</v>
      </c>
      <c r="I375" s="87"/>
      <c r="J375" s="87" t="s">
        <v>1059</v>
      </c>
      <c r="K375" s="88" t="str">
        <f t="shared" si="15"/>
        <v>В</v>
      </c>
      <c r="L375" s="88" t="str">
        <f t="shared" si="16"/>
        <v>Б</v>
      </c>
      <c r="M375" s="89" t="str">
        <f t="shared" si="17"/>
        <v>Кибертехнологии и анализ данных в гуманитарной сфере</v>
      </c>
      <c r="N375" s="89" t="s">
        <v>301</v>
      </c>
    </row>
    <row r="376" spans="1:14" ht="30" hidden="1" customHeight="1" x14ac:dyDescent="0.25">
      <c r="A376" s="62" t="s">
        <v>1114</v>
      </c>
      <c r="B376" s="84" t="s">
        <v>1069</v>
      </c>
      <c r="C376" s="85" t="s">
        <v>403</v>
      </c>
      <c r="D376" s="85" t="s">
        <v>296</v>
      </c>
      <c r="E376" s="84" t="s">
        <v>413</v>
      </c>
      <c r="F376" s="86" t="s">
        <v>331</v>
      </c>
      <c r="G376" s="87" t="s">
        <v>1057</v>
      </c>
      <c r="H376" s="87" t="s">
        <v>1073</v>
      </c>
      <c r="I376" s="87"/>
      <c r="J376" s="87" t="s">
        <v>1059</v>
      </c>
      <c r="K376" s="88" t="str">
        <f t="shared" si="15"/>
        <v>В</v>
      </c>
      <c r="L376" s="88" t="str">
        <f t="shared" si="16"/>
        <v>М</v>
      </c>
      <c r="M376" s="89" t="str">
        <f t="shared" si="17"/>
        <v>Цифровые инновации в филологии</v>
      </c>
      <c r="N376" s="89" t="s">
        <v>301</v>
      </c>
    </row>
    <row r="377" spans="1:14" ht="30" hidden="1" customHeight="1" x14ac:dyDescent="0.25">
      <c r="A377" s="62" t="s">
        <v>1115</v>
      </c>
      <c r="B377" s="84" t="s">
        <v>1056</v>
      </c>
      <c r="C377" s="85" t="s">
        <v>419</v>
      </c>
      <c r="D377" s="85" t="s">
        <v>296</v>
      </c>
      <c r="E377" s="84" t="s">
        <v>297</v>
      </c>
      <c r="F377" s="86" t="s">
        <v>312</v>
      </c>
      <c r="G377" s="87" t="s">
        <v>1057</v>
      </c>
      <c r="H377" s="87" t="s">
        <v>1058</v>
      </c>
      <c r="I377" s="87"/>
      <c r="J377" s="87" t="s">
        <v>1059</v>
      </c>
      <c r="K377" s="88" t="str">
        <f t="shared" si="15"/>
        <v>З</v>
      </c>
      <c r="L377" s="88" t="str">
        <f t="shared" si="16"/>
        <v>Б</v>
      </c>
      <c r="M377" s="89" t="str">
        <f t="shared" si="17"/>
        <v>Прикладная цифровая филология</v>
      </c>
      <c r="N377" s="89" t="s">
        <v>301</v>
      </c>
    </row>
    <row r="378" spans="1:14" customFormat="1" ht="30" hidden="1" customHeight="1" x14ac:dyDescent="0.25">
      <c r="A378" s="62" t="s">
        <v>1116</v>
      </c>
      <c r="B378" s="84" t="s">
        <v>1069</v>
      </c>
      <c r="C378" s="85" t="s">
        <v>419</v>
      </c>
      <c r="D378" s="85" t="s">
        <v>296</v>
      </c>
      <c r="E378" s="84" t="s">
        <v>413</v>
      </c>
      <c r="F378" s="86" t="s">
        <v>331</v>
      </c>
      <c r="G378" s="87" t="s">
        <v>1057</v>
      </c>
      <c r="H378" s="87" t="s">
        <v>1073</v>
      </c>
      <c r="I378" s="87"/>
      <c r="J378" s="87" t="s">
        <v>1059</v>
      </c>
      <c r="K378" s="88" t="str">
        <f t="shared" si="15"/>
        <v>З</v>
      </c>
      <c r="L378" s="88" t="str">
        <f t="shared" si="16"/>
        <v>М</v>
      </c>
      <c r="M378" s="89" t="str">
        <f t="shared" si="17"/>
        <v>Цифровые инновации в филологии</v>
      </c>
      <c r="N378" s="89" t="s">
        <v>301</v>
      </c>
    </row>
    <row r="379" spans="1:14" ht="30" hidden="1" customHeight="1" x14ac:dyDescent="0.25">
      <c r="A379" s="62" t="s">
        <v>1117</v>
      </c>
      <c r="B379" s="84" t="s">
        <v>1069</v>
      </c>
      <c r="C379" s="85" t="s">
        <v>419</v>
      </c>
      <c r="D379" s="85" t="s">
        <v>296</v>
      </c>
      <c r="E379" s="84" t="s">
        <v>413</v>
      </c>
      <c r="F379" s="86" t="s">
        <v>331</v>
      </c>
      <c r="G379" s="87" t="s">
        <v>1057</v>
      </c>
      <c r="H379" s="87" t="s">
        <v>1075</v>
      </c>
      <c r="I379" s="87" t="s">
        <v>1076</v>
      </c>
      <c r="J379" s="87" t="s">
        <v>1059</v>
      </c>
      <c r="K379" s="88" t="str">
        <f t="shared" si="15"/>
        <v>З</v>
      </c>
      <c r="L379" s="88" t="str">
        <f t="shared" si="16"/>
        <v>М</v>
      </c>
      <c r="M379" s="89" t="str">
        <f t="shared" si="17"/>
        <v>Цифровая филология (Вуз-партнёр – Кыргызско-Российский (Славянский) Университет)</v>
      </c>
      <c r="N379" s="89" t="s">
        <v>301</v>
      </c>
    </row>
    <row r="380" spans="1:14" ht="30" hidden="1" customHeight="1" x14ac:dyDescent="0.25">
      <c r="A380" s="62" t="s">
        <v>1118</v>
      </c>
      <c r="B380" s="84" t="s">
        <v>1069</v>
      </c>
      <c r="C380" s="85" t="s">
        <v>419</v>
      </c>
      <c r="D380" s="85" t="s">
        <v>296</v>
      </c>
      <c r="E380" s="84" t="s">
        <v>413</v>
      </c>
      <c r="F380" s="86" t="s">
        <v>331</v>
      </c>
      <c r="G380" s="87" t="s">
        <v>1057</v>
      </c>
      <c r="H380" s="87" t="s">
        <v>1078</v>
      </c>
      <c r="I380" s="87" t="s">
        <v>1079</v>
      </c>
      <c r="J380" s="87" t="s">
        <v>1059</v>
      </c>
      <c r="K380" s="88" t="str">
        <f t="shared" si="15"/>
        <v>З</v>
      </c>
      <c r="L380" s="88" t="str">
        <f t="shared" si="16"/>
        <v>М</v>
      </c>
      <c r="M380" s="89" t="str">
        <f t="shared" si="17"/>
        <v>Русский язык и литература в полиэтнической среде (Вуз-партнёр – Российско-Таджикский (Славянский) университет)</v>
      </c>
      <c r="N380" s="89" t="s">
        <v>301</v>
      </c>
    </row>
    <row r="381" spans="1:14" ht="30" hidden="1" customHeight="1" x14ac:dyDescent="0.25">
      <c r="A381" s="62" t="s">
        <v>1119</v>
      </c>
      <c r="B381" s="84" t="s">
        <v>1120</v>
      </c>
      <c r="C381" s="85" t="s">
        <v>295</v>
      </c>
      <c r="D381" s="85" t="s">
        <v>296</v>
      </c>
      <c r="E381" s="84" t="s">
        <v>330</v>
      </c>
      <c r="F381" s="86" t="s">
        <v>331</v>
      </c>
      <c r="G381" s="87" t="s">
        <v>1121</v>
      </c>
      <c r="H381" s="87" t="s">
        <v>1122</v>
      </c>
      <c r="I381" s="87"/>
      <c r="J381" s="87" t="s">
        <v>1123</v>
      </c>
      <c r="K381" s="88" t="str">
        <f t="shared" si="15"/>
        <v>Д</v>
      </c>
      <c r="L381" s="88" t="str">
        <f t="shared" si="16"/>
        <v>М</v>
      </c>
      <c r="M381" s="89" t="str">
        <f t="shared" si="17"/>
        <v>Биохимические технологии и нанотехнологии</v>
      </c>
      <c r="N381" s="89" t="s">
        <v>301</v>
      </c>
    </row>
    <row r="382" spans="1:14" customFormat="1" ht="30" hidden="1" customHeight="1" x14ac:dyDescent="0.25">
      <c r="A382" s="62" t="s">
        <v>1124</v>
      </c>
      <c r="B382" s="84" t="s">
        <v>745</v>
      </c>
      <c r="C382" s="85" t="s">
        <v>295</v>
      </c>
      <c r="D382" s="85" t="s">
        <v>296</v>
      </c>
      <c r="E382" s="84" t="s">
        <v>330</v>
      </c>
      <c r="F382" s="86" t="s">
        <v>331</v>
      </c>
      <c r="G382" s="87" t="s">
        <v>746</v>
      </c>
      <c r="H382" s="87" t="s">
        <v>1125</v>
      </c>
      <c r="I382" s="87"/>
      <c r="J382" s="87" t="s">
        <v>1123</v>
      </c>
      <c r="K382" s="88" t="str">
        <f t="shared" si="15"/>
        <v>Д</v>
      </c>
      <c r="L382" s="88" t="str">
        <f t="shared" si="16"/>
        <v>М</v>
      </c>
      <c r="M382" s="89" t="str">
        <f t="shared" si="17"/>
        <v>Инновационные технологии и нанотехнологии в медицине, фармацевтике и биотехнологии</v>
      </c>
      <c r="N382" s="89" t="s">
        <v>301</v>
      </c>
    </row>
    <row r="383" spans="1:14" ht="30" hidden="1" customHeight="1" x14ac:dyDescent="0.25">
      <c r="A383" s="62" t="s">
        <v>1126</v>
      </c>
      <c r="B383" s="84" t="s">
        <v>1127</v>
      </c>
      <c r="C383" s="85" t="s">
        <v>295</v>
      </c>
      <c r="D383" s="85" t="s">
        <v>296</v>
      </c>
      <c r="E383" s="84" t="s">
        <v>330</v>
      </c>
      <c r="F383" s="86" t="s">
        <v>331</v>
      </c>
      <c r="G383" s="87" t="s">
        <v>1128</v>
      </c>
      <c r="H383" s="87" t="s">
        <v>1129</v>
      </c>
      <c r="I383" s="87"/>
      <c r="J383" s="87" t="s">
        <v>1123</v>
      </c>
      <c r="K383" s="88" t="str">
        <f t="shared" si="15"/>
        <v>Д</v>
      </c>
      <c r="L383" s="88" t="str">
        <f t="shared" si="16"/>
        <v>М</v>
      </c>
      <c r="M383" s="89" t="str">
        <f t="shared" si="17"/>
        <v>Биофармацевтические технологии и управление фармпроизводством</v>
      </c>
      <c r="N383" s="89" t="s">
        <v>301</v>
      </c>
    </row>
    <row r="384" spans="1:14" ht="30" hidden="1" customHeight="1" x14ac:dyDescent="0.25">
      <c r="A384" s="62" t="s">
        <v>1130</v>
      </c>
      <c r="B384" s="84" t="s">
        <v>1131</v>
      </c>
      <c r="C384" s="85" t="s">
        <v>295</v>
      </c>
      <c r="D384" s="85" t="s">
        <v>296</v>
      </c>
      <c r="E384" s="84" t="s">
        <v>311</v>
      </c>
      <c r="F384" s="86" t="s">
        <v>368</v>
      </c>
      <c r="G384" s="87" t="s">
        <v>1132</v>
      </c>
      <c r="H384" s="87" t="s">
        <v>1132</v>
      </c>
      <c r="I384" s="87"/>
      <c r="J384" s="87" t="s">
        <v>1123</v>
      </c>
      <c r="K384" s="88" t="str">
        <f t="shared" si="15"/>
        <v>Д</v>
      </c>
      <c r="L384" s="88" t="str">
        <f t="shared" si="16"/>
        <v>А</v>
      </c>
      <c r="M384" s="89" t="str">
        <f t="shared" si="17"/>
        <v>Биотехнология</v>
      </c>
      <c r="N384" s="89" t="s">
        <v>301</v>
      </c>
    </row>
    <row r="385" spans="1:14" ht="30" hidden="1" customHeight="1" x14ac:dyDescent="0.25">
      <c r="A385" s="62" t="s">
        <v>1133</v>
      </c>
      <c r="B385" s="84" t="s">
        <v>1134</v>
      </c>
      <c r="C385" s="85" t="s">
        <v>295</v>
      </c>
      <c r="D385" s="85" t="s">
        <v>304</v>
      </c>
      <c r="E385" s="84" t="s">
        <v>393</v>
      </c>
      <c r="F385" s="86" t="s">
        <v>368</v>
      </c>
      <c r="G385" s="87" t="s">
        <v>1135</v>
      </c>
      <c r="H385" s="87" t="s">
        <v>1136</v>
      </c>
      <c r="I385" s="87" t="s">
        <v>1137</v>
      </c>
      <c r="J385" s="87" t="s">
        <v>1123</v>
      </c>
      <c r="K385" s="88" t="str">
        <f t="shared" si="15"/>
        <v>Д</v>
      </c>
      <c r="L385" s="88" t="str">
        <f t="shared" si="16"/>
        <v>А</v>
      </c>
      <c r="M385" s="89" t="str">
        <f t="shared" si="17"/>
        <v>Фармацевтическая технология (Вуз-партнёр – Университет г. Базель)</v>
      </c>
      <c r="N385" s="89" t="s">
        <v>301</v>
      </c>
    </row>
    <row r="386" spans="1:14" customFormat="1" ht="30" hidden="1" customHeight="1" x14ac:dyDescent="0.25">
      <c r="A386" s="62" t="s">
        <v>1138</v>
      </c>
      <c r="B386" s="84" t="s">
        <v>1134</v>
      </c>
      <c r="C386" s="85" t="s">
        <v>295</v>
      </c>
      <c r="D386" s="85" t="s">
        <v>296</v>
      </c>
      <c r="E386" s="84" t="s">
        <v>393</v>
      </c>
      <c r="F386" s="86" t="s">
        <v>368</v>
      </c>
      <c r="G386" s="87" t="s">
        <v>1135</v>
      </c>
      <c r="H386" s="87" t="s">
        <v>1136</v>
      </c>
      <c r="I386" s="87"/>
      <c r="J386" s="87" t="s">
        <v>1123</v>
      </c>
      <c r="K386" s="88" t="str">
        <f t="shared" si="15"/>
        <v>Д</v>
      </c>
      <c r="L386" s="88" t="str">
        <f t="shared" si="16"/>
        <v>А</v>
      </c>
      <c r="M386" s="89" t="str">
        <f t="shared" si="17"/>
        <v>Фармацевтическая технология</v>
      </c>
      <c r="N386" s="89" t="s">
        <v>301</v>
      </c>
    </row>
    <row r="387" spans="1:14" ht="30" hidden="1" customHeight="1" x14ac:dyDescent="0.25">
      <c r="A387" s="62" t="s">
        <v>1139</v>
      </c>
      <c r="B387" s="84" t="s">
        <v>1120</v>
      </c>
      <c r="C387" s="85" t="s">
        <v>403</v>
      </c>
      <c r="D387" s="85" t="s">
        <v>296</v>
      </c>
      <c r="E387" s="84" t="s">
        <v>413</v>
      </c>
      <c r="F387" s="86" t="s">
        <v>331</v>
      </c>
      <c r="G387" s="87" t="s">
        <v>1121</v>
      </c>
      <c r="H387" s="87" t="s">
        <v>1122</v>
      </c>
      <c r="I387" s="87"/>
      <c r="J387" s="87" t="s">
        <v>1123</v>
      </c>
      <c r="K387" s="88" t="str">
        <f t="shared" ref="K387:K450" si="18">IF(C387="очная","Д",IF(C387="Очно-заочная","В",IF(C387="Заочная","З","-")))</f>
        <v>В</v>
      </c>
      <c r="L387" s="88" t="str">
        <f t="shared" ref="L387:L450" si="19">IF(N387="да","ЦМ",LEFT(F387,1))</f>
        <v>М</v>
      </c>
      <c r="M387" s="89" t="str">
        <f t="shared" ref="M387:M450" si="20">CONCATENATE(H387,IF(I387&gt;0,CONCATENATE(" (Вуз-партнёр – ",I387,")"),IF(D387=$D$3,"",CONCATENATE(" [язык реализации –",D387,"]"))))</f>
        <v>Биохимические технологии и нанотехнологии</v>
      </c>
      <c r="N387" s="89" t="s">
        <v>301</v>
      </c>
    </row>
    <row r="388" spans="1:14" ht="30" hidden="1" customHeight="1" x14ac:dyDescent="0.25">
      <c r="A388" s="62" t="s">
        <v>1140</v>
      </c>
      <c r="B388" s="84" t="s">
        <v>1127</v>
      </c>
      <c r="C388" s="85" t="s">
        <v>419</v>
      </c>
      <c r="D388" s="85" t="s">
        <v>296</v>
      </c>
      <c r="E388" s="84" t="s">
        <v>413</v>
      </c>
      <c r="F388" s="86" t="s">
        <v>331</v>
      </c>
      <c r="G388" s="87" t="s">
        <v>1128</v>
      </c>
      <c r="H388" s="87" t="s">
        <v>1129</v>
      </c>
      <c r="I388" s="87"/>
      <c r="J388" s="87" t="s">
        <v>1123</v>
      </c>
      <c r="K388" s="88" t="str">
        <f t="shared" si="18"/>
        <v>З</v>
      </c>
      <c r="L388" s="88" t="str">
        <f t="shared" si="19"/>
        <v>М</v>
      </c>
      <c r="M388" s="89" t="str">
        <f t="shared" si="20"/>
        <v>Биофармацевтические технологии и управление фармпроизводством</v>
      </c>
      <c r="N388" s="89" t="s">
        <v>301</v>
      </c>
    </row>
    <row r="389" spans="1:14" ht="30" hidden="1" customHeight="1" x14ac:dyDescent="0.25">
      <c r="A389" s="62" t="s">
        <v>1141</v>
      </c>
      <c r="B389" s="84" t="s">
        <v>1142</v>
      </c>
      <c r="C389" s="85" t="s">
        <v>295</v>
      </c>
      <c r="D389" s="85" t="s">
        <v>296</v>
      </c>
      <c r="E389" s="84" t="s">
        <v>311</v>
      </c>
      <c r="F389" s="86" t="s">
        <v>312</v>
      </c>
      <c r="G389" s="87" t="s">
        <v>1143</v>
      </c>
      <c r="H389" s="87" t="s">
        <v>1143</v>
      </c>
      <c r="I389" s="87"/>
      <c r="J389" s="87" t="s">
        <v>1144</v>
      </c>
      <c r="K389" s="88" t="str">
        <f t="shared" si="18"/>
        <v>Д</v>
      </c>
      <c r="L389" s="88" t="str">
        <f t="shared" si="19"/>
        <v>Б</v>
      </c>
      <c r="M389" s="89" t="str">
        <f t="shared" si="20"/>
        <v>Экология и природопользование</v>
      </c>
      <c r="N389" s="89" t="s">
        <v>301</v>
      </c>
    </row>
    <row r="390" spans="1:14" customFormat="1" ht="30" hidden="1" customHeight="1" x14ac:dyDescent="0.25">
      <c r="A390" s="62" t="s">
        <v>1145</v>
      </c>
      <c r="B390" s="84" t="s">
        <v>1142</v>
      </c>
      <c r="C390" s="85" t="s">
        <v>295</v>
      </c>
      <c r="D390" s="85" t="s">
        <v>296</v>
      </c>
      <c r="E390" s="84" t="s">
        <v>311</v>
      </c>
      <c r="F390" s="86" t="s">
        <v>312</v>
      </c>
      <c r="G390" s="87" t="s">
        <v>1143</v>
      </c>
      <c r="H390" s="87" t="s">
        <v>1146</v>
      </c>
      <c r="I390" s="87"/>
      <c r="J390" s="87" t="s">
        <v>1144</v>
      </c>
      <c r="K390" s="88" t="str">
        <f t="shared" si="18"/>
        <v>Д</v>
      </c>
      <c r="L390" s="88" t="str">
        <f t="shared" si="19"/>
        <v>Б</v>
      </c>
      <c r="M390" s="89" t="str">
        <f t="shared" si="20"/>
        <v>Управление природными ресурсами</v>
      </c>
      <c r="N390" s="89" t="s">
        <v>301</v>
      </c>
    </row>
    <row r="391" spans="1:14" ht="30" hidden="1" customHeight="1" x14ac:dyDescent="0.25">
      <c r="A391" s="62" t="s">
        <v>1147</v>
      </c>
      <c r="B391" s="84" t="s">
        <v>1142</v>
      </c>
      <c r="C391" s="85" t="s">
        <v>295</v>
      </c>
      <c r="D391" s="85" t="s">
        <v>296</v>
      </c>
      <c r="E391" s="84" t="s">
        <v>311</v>
      </c>
      <c r="F391" s="86" t="s">
        <v>312</v>
      </c>
      <c r="G391" s="87" t="s">
        <v>1143</v>
      </c>
      <c r="H391" s="87" t="s">
        <v>1148</v>
      </c>
      <c r="I391" s="87"/>
      <c r="J391" s="87" t="s">
        <v>1144</v>
      </c>
      <c r="K391" s="88" t="str">
        <f t="shared" si="18"/>
        <v>Д</v>
      </c>
      <c r="L391" s="88" t="str">
        <f t="shared" si="19"/>
        <v>Б</v>
      </c>
      <c r="M391" s="89" t="str">
        <f t="shared" si="20"/>
        <v>Экология и устойчивое развитие</v>
      </c>
      <c r="N391" s="89" t="s">
        <v>301</v>
      </c>
    </row>
    <row r="392" spans="1:14" ht="30" hidden="1" customHeight="1" x14ac:dyDescent="0.25">
      <c r="A392" s="62" t="s">
        <v>1149</v>
      </c>
      <c r="B392" s="84" t="s">
        <v>1150</v>
      </c>
      <c r="C392" s="85" t="s">
        <v>295</v>
      </c>
      <c r="D392" s="85" t="s">
        <v>296</v>
      </c>
      <c r="E392" s="84" t="s">
        <v>311</v>
      </c>
      <c r="F392" s="86" t="s">
        <v>312</v>
      </c>
      <c r="G392" s="87" t="s">
        <v>1151</v>
      </c>
      <c r="H392" s="87" t="s">
        <v>1151</v>
      </c>
      <c r="I392" s="87"/>
      <c r="J392" s="87" t="s">
        <v>1144</v>
      </c>
      <c r="K392" s="88" t="str">
        <f t="shared" si="18"/>
        <v>Д</v>
      </c>
      <c r="L392" s="88" t="str">
        <f t="shared" si="19"/>
        <v>Б</v>
      </c>
      <c r="M392" s="89" t="str">
        <f t="shared" si="20"/>
        <v>Энерго- и ресурсосберегающие процессы в химической технологии, нефтехимии и биотехнологии</v>
      </c>
      <c r="N392" s="89" t="s">
        <v>301</v>
      </c>
    </row>
    <row r="393" spans="1:14" customFormat="1" ht="30" hidden="1" customHeight="1" x14ac:dyDescent="0.25">
      <c r="A393" s="62" t="s">
        <v>1152</v>
      </c>
      <c r="B393" s="84" t="s">
        <v>632</v>
      </c>
      <c r="C393" s="85" t="s">
        <v>295</v>
      </c>
      <c r="D393" s="85" t="s">
        <v>296</v>
      </c>
      <c r="E393" s="84" t="s">
        <v>330</v>
      </c>
      <c r="F393" s="86" t="s">
        <v>331</v>
      </c>
      <c r="G393" s="87" t="s">
        <v>566</v>
      </c>
      <c r="H393" s="87" t="s">
        <v>1153</v>
      </c>
      <c r="I393" s="87"/>
      <c r="J393" s="87" t="s">
        <v>1144</v>
      </c>
      <c r="K393" s="88" t="str">
        <f t="shared" si="18"/>
        <v>Д</v>
      </c>
      <c r="L393" s="88" t="str">
        <f t="shared" si="19"/>
        <v>М</v>
      </c>
      <c r="M393" s="89" t="str">
        <f t="shared" si="20"/>
        <v>Моделирование и прогнозирование процессов в экологии и экономике</v>
      </c>
      <c r="N393" s="89" t="s">
        <v>301</v>
      </c>
    </row>
    <row r="394" spans="1:14" customFormat="1" ht="30" hidden="1" customHeight="1" x14ac:dyDescent="0.25">
      <c r="A394" s="62" t="s">
        <v>1154</v>
      </c>
      <c r="B394" s="84" t="s">
        <v>1155</v>
      </c>
      <c r="C394" s="85" t="s">
        <v>295</v>
      </c>
      <c r="D394" s="85" t="s">
        <v>296</v>
      </c>
      <c r="E394" s="84" t="s">
        <v>330</v>
      </c>
      <c r="F394" s="86" t="s">
        <v>331</v>
      </c>
      <c r="G394" s="87" t="s">
        <v>1143</v>
      </c>
      <c r="H394" s="87" t="s">
        <v>1156</v>
      </c>
      <c r="I394" s="87" t="s">
        <v>516</v>
      </c>
      <c r="J394" s="87" t="s">
        <v>1144</v>
      </c>
      <c r="K394" s="88" t="str">
        <f t="shared" si="18"/>
        <v>Д</v>
      </c>
      <c r="L394" s="88" t="str">
        <f t="shared" si="19"/>
        <v>М</v>
      </c>
      <c r="M394" s="89" t="str">
        <f t="shared" si="20"/>
        <v>Природопользование (Вуз-партнёр – Казахский национальный университет им. Аль-Фараби)</v>
      </c>
      <c r="N394" s="89" t="s">
        <v>301</v>
      </c>
    </row>
    <row r="395" spans="1:14" customFormat="1" ht="30" hidden="1" customHeight="1" x14ac:dyDescent="0.25">
      <c r="A395" s="62" t="s">
        <v>1157</v>
      </c>
      <c r="B395" s="84" t="s">
        <v>1155</v>
      </c>
      <c r="C395" s="85" t="s">
        <v>295</v>
      </c>
      <c r="D395" s="85" t="s">
        <v>296</v>
      </c>
      <c r="E395" s="84" t="s">
        <v>330</v>
      </c>
      <c r="F395" s="86" t="s">
        <v>331</v>
      </c>
      <c r="G395" s="87" t="s">
        <v>1143</v>
      </c>
      <c r="H395" s="87" t="s">
        <v>1156</v>
      </c>
      <c r="I395" s="87" t="s">
        <v>1158</v>
      </c>
      <c r="J395" s="87" t="s">
        <v>1144</v>
      </c>
      <c r="K395" s="88" t="str">
        <f t="shared" si="18"/>
        <v>Д</v>
      </c>
      <c r="L395" s="88" t="str">
        <f t="shared" si="19"/>
        <v>М</v>
      </c>
      <c r="M395" s="89" t="str">
        <f t="shared" si="20"/>
        <v>Природопользование (Вуз-партнёр – Университет Шанхайской организации сотрудничества (Университет ШОС))</v>
      </c>
      <c r="N395" s="89" t="s">
        <v>301</v>
      </c>
    </row>
    <row r="396" spans="1:14" customFormat="1" ht="30" hidden="1" customHeight="1" x14ac:dyDescent="0.25">
      <c r="A396" s="62" t="s">
        <v>1159</v>
      </c>
      <c r="B396" s="84" t="s">
        <v>1155</v>
      </c>
      <c r="C396" s="85" t="s">
        <v>295</v>
      </c>
      <c r="D396" s="85" t="s">
        <v>304</v>
      </c>
      <c r="E396" s="84" t="s">
        <v>330</v>
      </c>
      <c r="F396" s="86" t="s">
        <v>331</v>
      </c>
      <c r="G396" s="87" t="s">
        <v>1143</v>
      </c>
      <c r="H396" s="87" t="s">
        <v>1160</v>
      </c>
      <c r="I396" s="87"/>
      <c r="J396" s="87" t="s">
        <v>1144</v>
      </c>
      <c r="K396" s="88" t="str">
        <f t="shared" si="18"/>
        <v>Д</v>
      </c>
      <c r="L396" s="88" t="str">
        <f t="shared" si="19"/>
        <v>М</v>
      </c>
      <c r="M396" s="89" t="str">
        <f t="shared" si="20"/>
        <v>Экономика управления природными ресурсами [язык реализации –Английский]</v>
      </c>
      <c r="N396" s="89" t="s">
        <v>301</v>
      </c>
    </row>
    <row r="397" spans="1:14" customFormat="1" ht="30" hidden="1" customHeight="1" x14ac:dyDescent="0.25">
      <c r="A397" s="62" t="s">
        <v>1161</v>
      </c>
      <c r="B397" s="84" t="s">
        <v>1155</v>
      </c>
      <c r="C397" s="85" t="s">
        <v>295</v>
      </c>
      <c r="D397" s="85" t="s">
        <v>296</v>
      </c>
      <c r="E397" s="84" t="s">
        <v>330</v>
      </c>
      <c r="F397" s="86" t="s">
        <v>331</v>
      </c>
      <c r="G397" s="87" t="s">
        <v>1143</v>
      </c>
      <c r="H397" s="87" t="s">
        <v>1162</v>
      </c>
      <c r="I397" s="87" t="s">
        <v>514</v>
      </c>
      <c r="J397" s="87" t="s">
        <v>1144</v>
      </c>
      <c r="K397" s="88" t="str">
        <f t="shared" si="18"/>
        <v>Д</v>
      </c>
      <c r="L397" s="88" t="str">
        <f t="shared" si="19"/>
        <v>М</v>
      </c>
      <c r="M397" s="89" t="str">
        <f t="shared" si="20"/>
        <v>Рециклинг отходов производства и потребления (Вуз-партнёр – Евразийский национальный университет имени Л. Н. Гумилёва)</v>
      </c>
      <c r="N397" s="89" t="s">
        <v>301</v>
      </c>
    </row>
    <row r="398" spans="1:14" customFormat="1" ht="30" hidden="1" customHeight="1" x14ac:dyDescent="0.25">
      <c r="A398" s="62" t="s">
        <v>1163</v>
      </c>
      <c r="B398" s="84" t="s">
        <v>1155</v>
      </c>
      <c r="C398" s="85" t="s">
        <v>295</v>
      </c>
      <c r="D398" s="85" t="s">
        <v>296</v>
      </c>
      <c r="E398" s="84" t="s">
        <v>330</v>
      </c>
      <c r="F398" s="86" t="s">
        <v>331</v>
      </c>
      <c r="G398" s="87" t="s">
        <v>1143</v>
      </c>
      <c r="H398" s="87" t="s">
        <v>1164</v>
      </c>
      <c r="I398" s="87"/>
      <c r="J398" s="87" t="s">
        <v>1144</v>
      </c>
      <c r="K398" s="88" t="str">
        <f t="shared" si="18"/>
        <v>Д</v>
      </c>
      <c r="L398" s="88" t="str">
        <f t="shared" si="19"/>
        <v>М</v>
      </c>
      <c r="M398" s="89" t="str">
        <f t="shared" si="20"/>
        <v>Экспертиза в области охраны окружающей среды и устойчивого развития</v>
      </c>
      <c r="N398" s="89" t="s">
        <v>301</v>
      </c>
    </row>
    <row r="399" spans="1:14" customFormat="1" ht="30" hidden="1" customHeight="1" x14ac:dyDescent="0.25">
      <c r="A399" s="62" t="s">
        <v>1165</v>
      </c>
      <c r="B399" s="84" t="s">
        <v>1155</v>
      </c>
      <c r="C399" s="85" t="s">
        <v>295</v>
      </c>
      <c r="D399" s="85" t="s">
        <v>304</v>
      </c>
      <c r="E399" s="84" t="s">
        <v>330</v>
      </c>
      <c r="F399" s="86" t="s">
        <v>331</v>
      </c>
      <c r="G399" s="87" t="s">
        <v>1143</v>
      </c>
      <c r="H399" s="87" t="s">
        <v>1166</v>
      </c>
      <c r="I399" s="87" t="s">
        <v>1167</v>
      </c>
      <c r="J399" s="87" t="s">
        <v>1144</v>
      </c>
      <c r="K399" s="88" t="str">
        <f t="shared" si="18"/>
        <v>Д</v>
      </c>
      <c r="L399" s="88" t="str">
        <f t="shared" si="19"/>
        <v>М</v>
      </c>
      <c r="M399" s="89" t="str">
        <f t="shared" si="20"/>
        <v>Комплексное управление твердыми отходами (Вуз-партнёр – Евразийский национальный университет им. Л.Н. Гумилева)</v>
      </c>
      <c r="N399" s="89" t="s">
        <v>301</v>
      </c>
    </row>
    <row r="400" spans="1:14" customFormat="1" ht="30" hidden="1" customHeight="1" x14ac:dyDescent="0.25">
      <c r="A400" s="62" t="s">
        <v>1168</v>
      </c>
      <c r="B400" s="84" t="s">
        <v>1155</v>
      </c>
      <c r="C400" s="85" t="s">
        <v>295</v>
      </c>
      <c r="D400" s="85" t="s">
        <v>296</v>
      </c>
      <c r="E400" s="84" t="s">
        <v>330</v>
      </c>
      <c r="F400" s="86" t="s">
        <v>331</v>
      </c>
      <c r="G400" s="87" t="s">
        <v>1143</v>
      </c>
      <c r="H400" s="87" t="s">
        <v>1169</v>
      </c>
      <c r="I400" s="87"/>
      <c r="J400" s="87" t="s">
        <v>1144</v>
      </c>
      <c r="K400" s="88" t="str">
        <f t="shared" si="18"/>
        <v>Д</v>
      </c>
      <c r="L400" s="88" t="str">
        <f t="shared" si="19"/>
        <v>М</v>
      </c>
      <c r="M400" s="89" t="str">
        <f t="shared" si="20"/>
        <v>Экология города</v>
      </c>
      <c r="N400" s="89" t="s">
        <v>301</v>
      </c>
    </row>
    <row r="401" spans="1:14" customFormat="1" ht="30" hidden="1" customHeight="1" x14ac:dyDescent="0.25">
      <c r="A401" s="62" t="s">
        <v>1170</v>
      </c>
      <c r="B401" s="84" t="s">
        <v>1155</v>
      </c>
      <c r="C401" s="85" t="s">
        <v>295</v>
      </c>
      <c r="D401" s="85" t="s">
        <v>304</v>
      </c>
      <c r="E401" s="84" t="s">
        <v>330</v>
      </c>
      <c r="F401" s="86" t="s">
        <v>331</v>
      </c>
      <c r="G401" s="87" t="s">
        <v>1143</v>
      </c>
      <c r="H401" s="87" t="s">
        <v>1171</v>
      </c>
      <c r="I401" s="87" t="s">
        <v>1172</v>
      </c>
      <c r="J401" s="87" t="s">
        <v>1144</v>
      </c>
      <c r="K401" s="88" t="str">
        <f t="shared" si="18"/>
        <v>Д</v>
      </c>
      <c r="L401" s="88" t="str">
        <f t="shared" si="19"/>
        <v>М</v>
      </c>
      <c r="M401" s="89" t="str">
        <f t="shared" si="20"/>
        <v>Управление природопользованием (Вуз-партнёр – Шаньдунский университет)</v>
      </c>
      <c r="N401" s="89" t="s">
        <v>301</v>
      </c>
    </row>
    <row r="402" spans="1:14" customFormat="1" ht="30" hidden="1" customHeight="1" x14ac:dyDescent="0.25">
      <c r="A402" s="62" t="s">
        <v>1173</v>
      </c>
      <c r="B402" s="84" t="s">
        <v>1155</v>
      </c>
      <c r="C402" s="85" t="s">
        <v>295</v>
      </c>
      <c r="D402" s="85" t="s">
        <v>296</v>
      </c>
      <c r="E402" s="84" t="s">
        <v>330</v>
      </c>
      <c r="F402" s="86" t="s">
        <v>331</v>
      </c>
      <c r="G402" s="87" t="s">
        <v>1143</v>
      </c>
      <c r="H402" s="87" t="s">
        <v>1171</v>
      </c>
      <c r="I402" s="87" t="s">
        <v>1167</v>
      </c>
      <c r="J402" s="87" t="s">
        <v>1144</v>
      </c>
      <c r="K402" s="88" t="str">
        <f t="shared" si="18"/>
        <v>Д</v>
      </c>
      <c r="L402" s="88" t="str">
        <f t="shared" si="19"/>
        <v>М</v>
      </c>
      <c r="M402" s="89" t="str">
        <f t="shared" si="20"/>
        <v>Управление природопользованием (Вуз-партнёр – Евразийский национальный университет им. Л.Н. Гумилева)</v>
      </c>
      <c r="N402" s="89" t="s">
        <v>301</v>
      </c>
    </row>
    <row r="403" spans="1:14" customFormat="1" ht="30" hidden="1" customHeight="1" x14ac:dyDescent="0.25">
      <c r="A403" s="62" t="s">
        <v>1174</v>
      </c>
      <c r="B403" s="84" t="s">
        <v>1155</v>
      </c>
      <c r="C403" s="85" t="s">
        <v>295</v>
      </c>
      <c r="D403" s="85" t="s">
        <v>296</v>
      </c>
      <c r="E403" s="84" t="s">
        <v>330</v>
      </c>
      <c r="F403" s="86" t="s">
        <v>331</v>
      </c>
      <c r="G403" s="87" t="s">
        <v>1143</v>
      </c>
      <c r="H403" s="87" t="s">
        <v>1171</v>
      </c>
      <c r="I403" s="87" t="s">
        <v>1175</v>
      </c>
      <c r="J403" s="87" t="s">
        <v>1144</v>
      </c>
      <c r="K403" s="88" t="str">
        <f t="shared" si="18"/>
        <v>Д</v>
      </c>
      <c r="L403" s="88" t="str">
        <f t="shared" si="19"/>
        <v>М</v>
      </c>
      <c r="M403" s="89" t="str">
        <f t="shared" si="20"/>
        <v>Управление природопользованием (Вуз-партнёр – Ланьчжоуский университет)</v>
      </c>
      <c r="N403" s="89" t="s">
        <v>301</v>
      </c>
    </row>
    <row r="404" spans="1:14" customFormat="1" ht="30" hidden="1" customHeight="1" x14ac:dyDescent="0.25">
      <c r="A404" s="62" t="s">
        <v>1176</v>
      </c>
      <c r="B404" s="84" t="s">
        <v>1155</v>
      </c>
      <c r="C404" s="85" t="s">
        <v>295</v>
      </c>
      <c r="D404" s="85" t="s">
        <v>296</v>
      </c>
      <c r="E404" s="84" t="s">
        <v>330</v>
      </c>
      <c r="F404" s="86" t="s">
        <v>331</v>
      </c>
      <c r="G404" s="87" t="s">
        <v>1143</v>
      </c>
      <c r="H404" s="87" t="s">
        <v>1171</v>
      </c>
      <c r="I404" s="87" t="s">
        <v>1177</v>
      </c>
      <c r="J404" s="87" t="s">
        <v>1144</v>
      </c>
      <c r="K404" s="88" t="str">
        <f t="shared" si="18"/>
        <v>Д</v>
      </c>
      <c r="L404" s="88" t="str">
        <f t="shared" si="19"/>
        <v>М</v>
      </c>
      <c r="M404" s="89" t="str">
        <f t="shared" si="20"/>
        <v>Управление природопользованием (Вуз-партнёр – Северо-восточный педагогический университет)</v>
      </c>
      <c r="N404" s="89" t="s">
        <v>301</v>
      </c>
    </row>
    <row r="405" spans="1:14" customFormat="1" ht="30" hidden="1" customHeight="1" x14ac:dyDescent="0.25">
      <c r="A405" s="62" t="s">
        <v>1178</v>
      </c>
      <c r="B405" s="84" t="s">
        <v>1155</v>
      </c>
      <c r="C405" s="85" t="s">
        <v>295</v>
      </c>
      <c r="D405" s="85" t="s">
        <v>296</v>
      </c>
      <c r="E405" s="84" t="s">
        <v>330</v>
      </c>
      <c r="F405" s="86" t="s">
        <v>331</v>
      </c>
      <c r="G405" s="87" t="s">
        <v>1143</v>
      </c>
      <c r="H405" s="87" t="s">
        <v>1179</v>
      </c>
      <c r="I405" s="87"/>
      <c r="J405" s="87" t="s">
        <v>1144</v>
      </c>
      <c r="K405" s="88" t="str">
        <f t="shared" si="18"/>
        <v>Д</v>
      </c>
      <c r="L405" s="88" t="str">
        <f t="shared" si="19"/>
        <v>М</v>
      </c>
      <c r="M405" s="89" t="str">
        <f t="shared" si="20"/>
        <v>Управление охраной труда, промышленной и экологической безопасностью (HSE – менеджмент)</v>
      </c>
      <c r="N405" s="89" t="s">
        <v>301</v>
      </c>
    </row>
    <row r="406" spans="1:14" customFormat="1" ht="30" hidden="1" customHeight="1" x14ac:dyDescent="0.25">
      <c r="A406" s="62" t="s">
        <v>1180</v>
      </c>
      <c r="B406" s="84" t="s">
        <v>1155</v>
      </c>
      <c r="C406" s="85" t="s">
        <v>295</v>
      </c>
      <c r="D406" s="85" t="s">
        <v>304</v>
      </c>
      <c r="E406" s="84" t="s">
        <v>330</v>
      </c>
      <c r="F406" s="86" t="s">
        <v>331</v>
      </c>
      <c r="G406" s="87" t="s">
        <v>1143</v>
      </c>
      <c r="H406" s="87" t="s">
        <v>1181</v>
      </c>
      <c r="I406" s="87" t="s">
        <v>1182</v>
      </c>
      <c r="J406" s="87" t="s">
        <v>1144</v>
      </c>
      <c r="K406" s="88" t="str">
        <f t="shared" si="18"/>
        <v>Д</v>
      </c>
      <c r="L406" s="88" t="str">
        <f t="shared" si="19"/>
        <v>М</v>
      </c>
      <c r="M406" s="89" t="str">
        <f t="shared" si="20"/>
        <v>Экологическая инженерия в строительстве (Вуз-партнёр – Национальный исследовательский Московский государственный строительный университет)</v>
      </c>
      <c r="N406" s="89" t="s">
        <v>301</v>
      </c>
    </row>
    <row r="407" spans="1:14" customFormat="1" ht="30" hidden="1" customHeight="1" x14ac:dyDescent="0.25">
      <c r="A407" s="62" t="s">
        <v>1183</v>
      </c>
      <c r="B407" s="84" t="s">
        <v>1155</v>
      </c>
      <c r="C407" s="85" t="s">
        <v>295</v>
      </c>
      <c r="D407" s="85" t="s">
        <v>296</v>
      </c>
      <c r="E407" s="84" t="s">
        <v>330</v>
      </c>
      <c r="F407" s="86" t="s">
        <v>331</v>
      </c>
      <c r="G407" s="87" t="s">
        <v>1143</v>
      </c>
      <c r="H407" s="87" t="s">
        <v>1181</v>
      </c>
      <c r="I407" s="87" t="s">
        <v>1182</v>
      </c>
      <c r="J407" s="87" t="s">
        <v>1144</v>
      </c>
      <c r="K407" s="88" t="str">
        <f t="shared" si="18"/>
        <v>Д</v>
      </c>
      <c r="L407" s="88" t="str">
        <f t="shared" si="19"/>
        <v>М</v>
      </c>
      <c r="M407" s="89" t="str">
        <f t="shared" si="20"/>
        <v>Экологическая инженерия в строительстве (Вуз-партнёр – Национальный исследовательский Московский государственный строительный университет)</v>
      </c>
      <c r="N407" s="89" t="s">
        <v>301</v>
      </c>
    </row>
    <row r="408" spans="1:14" customFormat="1" ht="30" hidden="1" customHeight="1" x14ac:dyDescent="0.25">
      <c r="A408" s="62" t="s">
        <v>1184</v>
      </c>
      <c r="B408" s="84" t="s">
        <v>1155</v>
      </c>
      <c r="C408" s="85" t="s">
        <v>295</v>
      </c>
      <c r="D408" s="85" t="s">
        <v>296</v>
      </c>
      <c r="E408" s="84" t="s">
        <v>330</v>
      </c>
      <c r="F408" s="86" t="s">
        <v>331</v>
      </c>
      <c r="G408" s="87" t="s">
        <v>1143</v>
      </c>
      <c r="H408" s="87" t="s">
        <v>1185</v>
      </c>
      <c r="I408" s="87" t="s">
        <v>512</v>
      </c>
      <c r="J408" s="87" t="s">
        <v>1144</v>
      </c>
      <c r="K408" s="88" t="str">
        <f t="shared" si="18"/>
        <v>Д</v>
      </c>
      <c r="L408" s="88" t="str">
        <f t="shared" si="19"/>
        <v>М</v>
      </c>
      <c r="M408" s="89" t="str">
        <f t="shared" si="20"/>
        <v>Экологическая экспертиза и устойчивое развитие (Вуз-партнёр – Южно-Казахстанский государственный университет им. М.Ауэзова)</v>
      </c>
      <c r="N408" s="89" t="s">
        <v>301</v>
      </c>
    </row>
    <row r="409" spans="1:14" customFormat="1" ht="30" hidden="1" customHeight="1" x14ac:dyDescent="0.25">
      <c r="A409" s="62" t="s">
        <v>1186</v>
      </c>
      <c r="B409" s="84" t="s">
        <v>1155</v>
      </c>
      <c r="C409" s="85" t="s">
        <v>295</v>
      </c>
      <c r="D409" s="85" t="s">
        <v>296</v>
      </c>
      <c r="E409" s="84" t="s">
        <v>330</v>
      </c>
      <c r="F409" s="86" t="s">
        <v>331</v>
      </c>
      <c r="G409" s="87" t="s">
        <v>1143</v>
      </c>
      <c r="H409" s="87" t="s">
        <v>1187</v>
      </c>
      <c r="I409" s="87"/>
      <c r="J409" s="87" t="s">
        <v>1144</v>
      </c>
      <c r="K409" s="88" t="str">
        <f t="shared" si="18"/>
        <v>Д</v>
      </c>
      <c r="L409" s="88" t="str">
        <f t="shared" si="19"/>
        <v>М</v>
      </c>
      <c r="M409" s="89" t="str">
        <f t="shared" si="20"/>
        <v>Биобезопасность и карантин растений</v>
      </c>
      <c r="N409" s="89" t="s">
        <v>301</v>
      </c>
    </row>
    <row r="410" spans="1:14" customFormat="1" ht="30" hidden="1" customHeight="1" x14ac:dyDescent="0.25">
      <c r="A410" s="62" t="s">
        <v>1188</v>
      </c>
      <c r="B410" s="84" t="s">
        <v>1155</v>
      </c>
      <c r="C410" s="85" t="s">
        <v>295</v>
      </c>
      <c r="D410" s="85" t="s">
        <v>296</v>
      </c>
      <c r="E410" s="84" t="s">
        <v>330</v>
      </c>
      <c r="F410" s="86" t="s">
        <v>331</v>
      </c>
      <c r="G410" s="87" t="s">
        <v>1143</v>
      </c>
      <c r="H410" s="87" t="s">
        <v>1189</v>
      </c>
      <c r="I410" s="87"/>
      <c r="J410" s="87" t="s">
        <v>1144</v>
      </c>
      <c r="K410" s="88" t="str">
        <f t="shared" si="18"/>
        <v>Д</v>
      </c>
      <c r="L410" s="88" t="str">
        <f t="shared" si="19"/>
        <v>М</v>
      </c>
      <c r="M410" s="89" t="str">
        <f t="shared" si="20"/>
        <v>Зеленая экономика и устойчивое развитие предприятий</v>
      </c>
      <c r="N410" s="89" t="s">
        <v>301</v>
      </c>
    </row>
    <row r="411" spans="1:14" customFormat="1" ht="30" hidden="1" customHeight="1" x14ac:dyDescent="0.25">
      <c r="A411" s="62" t="s">
        <v>1190</v>
      </c>
      <c r="B411" s="84" t="s">
        <v>1155</v>
      </c>
      <c r="C411" s="85" t="s">
        <v>295</v>
      </c>
      <c r="D411" s="85" t="s">
        <v>304</v>
      </c>
      <c r="E411" s="84" t="s">
        <v>330</v>
      </c>
      <c r="F411" s="86" t="s">
        <v>331</v>
      </c>
      <c r="G411" s="87" t="s">
        <v>1143</v>
      </c>
      <c r="H411" s="87" t="s">
        <v>1191</v>
      </c>
      <c r="I411" s="87"/>
      <c r="J411" s="87" t="s">
        <v>1144</v>
      </c>
      <c r="K411" s="88" t="str">
        <f t="shared" si="18"/>
        <v>Д</v>
      </c>
      <c r="L411" s="88" t="str">
        <f t="shared" si="19"/>
        <v>М</v>
      </c>
      <c r="M411" s="89" t="str">
        <f t="shared" si="20"/>
        <v>Управление климатическими проектами [язык реализации –Английский]</v>
      </c>
      <c r="N411" s="89" t="s">
        <v>301</v>
      </c>
    </row>
    <row r="412" spans="1:14" customFormat="1" ht="30" hidden="1" customHeight="1" x14ac:dyDescent="0.25">
      <c r="A412" s="62" t="s">
        <v>1192</v>
      </c>
      <c r="B412" s="84" t="s">
        <v>1155</v>
      </c>
      <c r="C412" s="85" t="s">
        <v>295</v>
      </c>
      <c r="D412" s="85" t="s">
        <v>304</v>
      </c>
      <c r="E412" s="84" t="s">
        <v>330</v>
      </c>
      <c r="F412" s="86" t="s">
        <v>331</v>
      </c>
      <c r="G412" s="87" t="s">
        <v>1143</v>
      </c>
      <c r="H412" s="87" t="s">
        <v>1193</v>
      </c>
      <c r="I412" s="87"/>
      <c r="J412" s="87" t="s">
        <v>1144</v>
      </c>
      <c r="K412" s="88" t="str">
        <f t="shared" si="18"/>
        <v>Д</v>
      </c>
      <c r="L412" s="88" t="str">
        <f t="shared" si="19"/>
        <v>М</v>
      </c>
      <c r="M412" s="89" t="str">
        <f t="shared" si="20"/>
        <v>Комплексное управление твердыми бытовыми отходами [язык реализации –Английский]</v>
      </c>
      <c r="N412" s="89" t="s">
        <v>301</v>
      </c>
    </row>
    <row r="413" spans="1:14" customFormat="1" ht="30" hidden="1" customHeight="1" x14ac:dyDescent="0.25">
      <c r="A413" s="62" t="s">
        <v>1194</v>
      </c>
      <c r="B413" s="84" t="s">
        <v>1155</v>
      </c>
      <c r="C413" s="85" t="s">
        <v>295</v>
      </c>
      <c r="D413" s="85" t="s">
        <v>296</v>
      </c>
      <c r="E413" s="84" t="s">
        <v>330</v>
      </c>
      <c r="F413" s="86" t="s">
        <v>331</v>
      </c>
      <c r="G413" s="87" t="s">
        <v>1143</v>
      </c>
      <c r="H413" s="87" t="s">
        <v>1195</v>
      </c>
      <c r="I413" s="87"/>
      <c r="J413" s="87" t="s">
        <v>1144</v>
      </c>
      <c r="K413" s="88" t="str">
        <f t="shared" si="18"/>
        <v>Д</v>
      </c>
      <c r="L413" s="88" t="str">
        <f t="shared" si="19"/>
        <v>М</v>
      </c>
      <c r="M413" s="89" t="str">
        <f t="shared" si="20"/>
        <v>Урбанистика и экологическое проектирование городской среды</v>
      </c>
      <c r="N413" s="89" t="s">
        <v>301</v>
      </c>
    </row>
    <row r="414" spans="1:14" ht="30" hidden="1" customHeight="1" x14ac:dyDescent="0.25">
      <c r="A414" s="62" t="s">
        <v>1196</v>
      </c>
      <c r="B414" s="84" t="s">
        <v>1155</v>
      </c>
      <c r="C414" s="85" t="s">
        <v>295</v>
      </c>
      <c r="D414" s="85" t="s">
        <v>296</v>
      </c>
      <c r="E414" s="84" t="s">
        <v>330</v>
      </c>
      <c r="F414" s="86" t="s">
        <v>331</v>
      </c>
      <c r="G414" s="87" t="s">
        <v>1143</v>
      </c>
      <c r="H414" s="87" t="s">
        <v>1197</v>
      </c>
      <c r="I414" s="87" t="s">
        <v>1198</v>
      </c>
      <c r="J414" s="87" t="s">
        <v>1144</v>
      </c>
      <c r="K414" s="88" t="str">
        <f t="shared" si="18"/>
        <v>Д</v>
      </c>
      <c r="L414" s="88" t="str">
        <f t="shared" si="19"/>
        <v>М</v>
      </c>
      <c r="M414" s="89" t="str">
        <f t="shared" si="20"/>
        <v>Методы и технологии снижения углеродного следа в нефтегазовой отрасли (Вуз-партнёр – ФГБОУ ВО «Российский государственный геологоразведочный университет имени Серго Орджоникидзе» (МГРИ) )</v>
      </c>
      <c r="N414" s="89" t="s">
        <v>301</v>
      </c>
    </row>
    <row r="415" spans="1:14" ht="30" hidden="1" customHeight="1" x14ac:dyDescent="0.25">
      <c r="A415" s="62" t="s">
        <v>1199</v>
      </c>
      <c r="B415" s="84" t="s">
        <v>488</v>
      </c>
      <c r="C415" s="85" t="s">
        <v>295</v>
      </c>
      <c r="D415" s="85" t="s">
        <v>296</v>
      </c>
      <c r="E415" s="84" t="s">
        <v>330</v>
      </c>
      <c r="F415" s="86" t="s">
        <v>331</v>
      </c>
      <c r="G415" s="87" t="s">
        <v>449</v>
      </c>
      <c r="H415" s="87" t="s">
        <v>1153</v>
      </c>
      <c r="I415" s="87"/>
      <c r="J415" s="87" t="s">
        <v>1144</v>
      </c>
      <c r="K415" s="88" t="str">
        <f t="shared" si="18"/>
        <v>Д</v>
      </c>
      <c r="L415" s="88" t="str">
        <f t="shared" si="19"/>
        <v>М</v>
      </c>
      <c r="M415" s="89" t="str">
        <f t="shared" si="20"/>
        <v>Моделирование и прогнозирование процессов в экологии и экономике</v>
      </c>
      <c r="N415" s="89" t="s">
        <v>301</v>
      </c>
    </row>
    <row r="416" spans="1:14" customFormat="1" ht="30" hidden="1" customHeight="1" x14ac:dyDescent="0.25">
      <c r="A416" s="62" t="s">
        <v>1200</v>
      </c>
      <c r="B416" s="84" t="s">
        <v>755</v>
      </c>
      <c r="C416" s="85" t="s">
        <v>295</v>
      </c>
      <c r="D416" s="85" t="s">
        <v>304</v>
      </c>
      <c r="E416" s="84" t="s">
        <v>330</v>
      </c>
      <c r="F416" s="86" t="s">
        <v>331</v>
      </c>
      <c r="G416" s="87" t="s">
        <v>756</v>
      </c>
      <c r="H416" s="87" t="s">
        <v>1201</v>
      </c>
      <c r="I416" s="87"/>
      <c r="J416" s="87" t="s">
        <v>1144</v>
      </c>
      <c r="K416" s="88" t="str">
        <f t="shared" si="18"/>
        <v>Д</v>
      </c>
      <c r="L416" s="88" t="str">
        <f t="shared" si="19"/>
        <v>М</v>
      </c>
      <c r="M416" s="89" t="str">
        <f t="shared" si="20"/>
        <v>Экологическая педагогика [язык реализации –Английский]</v>
      </c>
      <c r="N416" s="89" t="s">
        <v>301</v>
      </c>
    </row>
    <row r="417" spans="1:14" ht="30" hidden="1" customHeight="1" x14ac:dyDescent="0.25">
      <c r="A417" s="62" t="s">
        <v>1202</v>
      </c>
      <c r="B417" s="84" t="s">
        <v>367</v>
      </c>
      <c r="C417" s="85" t="s">
        <v>295</v>
      </c>
      <c r="D417" s="85" t="s">
        <v>296</v>
      </c>
      <c r="E417" s="84" t="s">
        <v>311</v>
      </c>
      <c r="F417" s="86" t="s">
        <v>368</v>
      </c>
      <c r="G417" s="87" t="s">
        <v>369</v>
      </c>
      <c r="H417" s="87" t="s">
        <v>369</v>
      </c>
      <c r="I417" s="87"/>
      <c r="J417" s="87" t="s">
        <v>1144</v>
      </c>
      <c r="K417" s="88" t="str">
        <f t="shared" si="18"/>
        <v>Д</v>
      </c>
      <c r="L417" s="88" t="str">
        <f t="shared" si="19"/>
        <v>А</v>
      </c>
      <c r="M417" s="89" t="str">
        <f t="shared" si="20"/>
        <v>Экология</v>
      </c>
      <c r="N417" s="89" t="s">
        <v>301</v>
      </c>
    </row>
    <row r="418" spans="1:14" ht="30" hidden="1" customHeight="1" x14ac:dyDescent="0.25">
      <c r="A418" s="62" t="s">
        <v>1203</v>
      </c>
      <c r="B418" s="84" t="s">
        <v>367</v>
      </c>
      <c r="C418" s="85" t="s">
        <v>295</v>
      </c>
      <c r="D418" s="85" t="s">
        <v>304</v>
      </c>
      <c r="E418" s="84" t="s">
        <v>311</v>
      </c>
      <c r="F418" s="86" t="s">
        <v>368</v>
      </c>
      <c r="G418" s="87" t="s">
        <v>369</v>
      </c>
      <c r="H418" s="87" t="s">
        <v>1204</v>
      </c>
      <c r="I418" s="87" t="s">
        <v>1205</v>
      </c>
      <c r="J418" s="87" t="s">
        <v>1144</v>
      </c>
      <c r="K418" s="88" t="str">
        <f t="shared" si="18"/>
        <v>Д</v>
      </c>
      <c r="L418" s="88" t="str">
        <f t="shared" si="19"/>
        <v>А</v>
      </c>
      <c r="M418" s="89" t="str">
        <f t="shared" si="20"/>
        <v>Современные экологические исследования (Вуз-партнёр – Международный государственный экологический институт им. А.Д. Сахарова Белорусского государственного университета)</v>
      </c>
      <c r="N418" s="89" t="s">
        <v>301</v>
      </c>
    </row>
    <row r="419" spans="1:14" ht="30" hidden="1" customHeight="1" x14ac:dyDescent="0.25">
      <c r="A419" s="62" t="s">
        <v>1206</v>
      </c>
      <c r="B419" s="84" t="s">
        <v>367</v>
      </c>
      <c r="C419" s="85" t="s">
        <v>295</v>
      </c>
      <c r="D419" s="85" t="s">
        <v>304</v>
      </c>
      <c r="E419" s="84" t="s">
        <v>311</v>
      </c>
      <c r="F419" s="86" t="s">
        <v>368</v>
      </c>
      <c r="G419" s="87" t="s">
        <v>369</v>
      </c>
      <c r="H419" s="87" t="s">
        <v>1204</v>
      </c>
      <c r="I419" s="87" t="s">
        <v>1207</v>
      </c>
      <c r="J419" s="87" t="s">
        <v>1144</v>
      </c>
      <c r="K419" s="88" t="str">
        <f t="shared" si="18"/>
        <v>Д</v>
      </c>
      <c r="L419" s="88" t="str">
        <f t="shared" si="19"/>
        <v>А</v>
      </c>
      <c r="M419" s="89" t="str">
        <f t="shared" si="20"/>
        <v>Современные экологические исследования (Вуз-партнёр – Университет Витовта Великого)</v>
      </c>
      <c r="N419" s="89" t="s">
        <v>301</v>
      </c>
    </row>
    <row r="420" spans="1:14" ht="30" hidden="1" customHeight="1" x14ac:dyDescent="0.25">
      <c r="A420" s="62" t="s">
        <v>1208</v>
      </c>
      <c r="B420" s="84" t="s">
        <v>367</v>
      </c>
      <c r="C420" s="85" t="s">
        <v>295</v>
      </c>
      <c r="D420" s="85" t="s">
        <v>304</v>
      </c>
      <c r="E420" s="84" t="s">
        <v>311</v>
      </c>
      <c r="F420" s="86" t="s">
        <v>368</v>
      </c>
      <c r="G420" s="87" t="s">
        <v>369</v>
      </c>
      <c r="H420" s="87" t="s">
        <v>1209</v>
      </c>
      <c r="I420" s="87"/>
      <c r="J420" s="87" t="s">
        <v>1144</v>
      </c>
      <c r="K420" s="88" t="str">
        <f t="shared" si="18"/>
        <v>Д</v>
      </c>
      <c r="L420" s="88" t="str">
        <f t="shared" si="19"/>
        <v>А</v>
      </c>
      <c r="M420" s="89" t="str">
        <f t="shared" si="20"/>
        <v>Экология: Современные исследования окружающей среды [язык реализации –Английский]</v>
      </c>
      <c r="N420" s="89" t="s">
        <v>301</v>
      </c>
    </row>
    <row r="421" spans="1:14" ht="30" hidden="1" customHeight="1" x14ac:dyDescent="0.25">
      <c r="A421" s="62" t="s">
        <v>1210</v>
      </c>
      <c r="B421" s="84" t="s">
        <v>1211</v>
      </c>
      <c r="C421" s="85" t="s">
        <v>295</v>
      </c>
      <c r="D421" s="85" t="s">
        <v>296</v>
      </c>
      <c r="E421" s="84" t="s">
        <v>393</v>
      </c>
      <c r="F421" s="86" t="s">
        <v>368</v>
      </c>
      <c r="G421" s="87" t="s">
        <v>1212</v>
      </c>
      <c r="H421" s="87" t="s">
        <v>1212</v>
      </c>
      <c r="I421" s="87"/>
      <c r="J421" s="87" t="s">
        <v>1144</v>
      </c>
      <c r="K421" s="88" t="str">
        <f t="shared" si="18"/>
        <v>Д</v>
      </c>
      <c r="L421" s="88" t="str">
        <f t="shared" si="19"/>
        <v>А</v>
      </c>
      <c r="M421" s="89" t="str">
        <f t="shared" si="20"/>
        <v>Геоэкология</v>
      </c>
      <c r="N421" s="89" t="s">
        <v>301</v>
      </c>
    </row>
    <row r="422" spans="1:14" customFormat="1" ht="30" hidden="1" customHeight="1" x14ac:dyDescent="0.25">
      <c r="A422" s="62" t="s">
        <v>1213</v>
      </c>
      <c r="B422" s="84" t="s">
        <v>1142</v>
      </c>
      <c r="C422" s="85" t="s">
        <v>403</v>
      </c>
      <c r="D422" s="85" t="s">
        <v>296</v>
      </c>
      <c r="E422" s="84" t="s">
        <v>406</v>
      </c>
      <c r="F422" s="86" t="s">
        <v>312</v>
      </c>
      <c r="G422" s="87" t="s">
        <v>1143</v>
      </c>
      <c r="H422" s="87" t="s">
        <v>1143</v>
      </c>
      <c r="I422" s="87"/>
      <c r="J422" s="87" t="s">
        <v>1144</v>
      </c>
      <c r="K422" s="88" t="str">
        <f t="shared" si="18"/>
        <v>В</v>
      </c>
      <c r="L422" s="88" t="str">
        <f t="shared" si="19"/>
        <v>Б</v>
      </c>
      <c r="M422" s="89" t="str">
        <f t="shared" si="20"/>
        <v>Экология и природопользование</v>
      </c>
      <c r="N422" s="89" t="s">
        <v>301</v>
      </c>
    </row>
    <row r="423" spans="1:14" ht="30" hidden="1" customHeight="1" x14ac:dyDescent="0.25">
      <c r="A423" s="62" t="s">
        <v>1214</v>
      </c>
      <c r="B423" s="84" t="s">
        <v>1142</v>
      </c>
      <c r="C423" s="85" t="s">
        <v>403</v>
      </c>
      <c r="D423" s="85" t="s">
        <v>296</v>
      </c>
      <c r="E423" s="84" t="s">
        <v>406</v>
      </c>
      <c r="F423" s="86" t="s">
        <v>312</v>
      </c>
      <c r="G423" s="87" t="s">
        <v>1143</v>
      </c>
      <c r="H423" s="87" t="s">
        <v>1146</v>
      </c>
      <c r="I423" s="87"/>
      <c r="J423" s="87" t="s">
        <v>1144</v>
      </c>
      <c r="K423" s="88" t="str">
        <f t="shared" si="18"/>
        <v>В</v>
      </c>
      <c r="L423" s="88" t="str">
        <f t="shared" si="19"/>
        <v>Б</v>
      </c>
      <c r="M423" s="89" t="str">
        <f t="shared" si="20"/>
        <v>Управление природными ресурсами</v>
      </c>
      <c r="N423" s="89" t="s">
        <v>301</v>
      </c>
    </row>
    <row r="424" spans="1:14" ht="30" hidden="1" customHeight="1" x14ac:dyDescent="0.25">
      <c r="A424" s="62" t="s">
        <v>1215</v>
      </c>
      <c r="B424" s="84" t="s">
        <v>1142</v>
      </c>
      <c r="C424" s="85" t="s">
        <v>403</v>
      </c>
      <c r="D424" s="85" t="s">
        <v>296</v>
      </c>
      <c r="E424" s="84" t="s">
        <v>406</v>
      </c>
      <c r="F424" s="86" t="s">
        <v>312</v>
      </c>
      <c r="G424" s="87" t="s">
        <v>1143</v>
      </c>
      <c r="H424" s="87" t="s">
        <v>1148</v>
      </c>
      <c r="I424" s="87"/>
      <c r="J424" s="87" t="s">
        <v>1144</v>
      </c>
      <c r="K424" s="88" t="str">
        <f t="shared" si="18"/>
        <v>В</v>
      </c>
      <c r="L424" s="88" t="str">
        <f t="shared" si="19"/>
        <v>Б</v>
      </c>
      <c r="M424" s="89" t="str">
        <f t="shared" si="20"/>
        <v>Экология и устойчивое развитие</v>
      </c>
      <c r="N424" s="89" t="s">
        <v>301</v>
      </c>
    </row>
    <row r="425" spans="1:14" ht="30" hidden="1" customHeight="1" x14ac:dyDescent="0.25">
      <c r="A425" s="62" t="s">
        <v>1216</v>
      </c>
      <c r="B425" s="84" t="s">
        <v>1150</v>
      </c>
      <c r="C425" s="85" t="s">
        <v>403</v>
      </c>
      <c r="D425" s="85" t="s">
        <v>296</v>
      </c>
      <c r="E425" s="84" t="s">
        <v>406</v>
      </c>
      <c r="F425" s="86" t="s">
        <v>312</v>
      </c>
      <c r="G425" s="87" t="s">
        <v>1151</v>
      </c>
      <c r="H425" s="87" t="s">
        <v>1151</v>
      </c>
      <c r="I425" s="87"/>
      <c r="J425" s="87" t="s">
        <v>1144</v>
      </c>
      <c r="K425" s="88" t="str">
        <f t="shared" si="18"/>
        <v>В</v>
      </c>
      <c r="L425" s="88" t="str">
        <f t="shared" si="19"/>
        <v>Б</v>
      </c>
      <c r="M425" s="89" t="str">
        <f t="shared" si="20"/>
        <v>Энерго- и ресурсосберегающие процессы в химической технологии, нефтехимии и биотехнологии</v>
      </c>
      <c r="N425" s="89" t="s">
        <v>301</v>
      </c>
    </row>
    <row r="426" spans="1:14" customFormat="1" ht="30" hidden="1" customHeight="1" x14ac:dyDescent="0.25">
      <c r="A426" s="62" t="s">
        <v>1217</v>
      </c>
      <c r="B426" s="84" t="s">
        <v>632</v>
      </c>
      <c r="C426" s="85" t="s">
        <v>403</v>
      </c>
      <c r="D426" s="85" t="s">
        <v>296</v>
      </c>
      <c r="E426" s="84" t="s">
        <v>413</v>
      </c>
      <c r="F426" s="86" t="s">
        <v>331</v>
      </c>
      <c r="G426" s="87" t="s">
        <v>566</v>
      </c>
      <c r="H426" s="87" t="s">
        <v>1153</v>
      </c>
      <c r="I426" s="87"/>
      <c r="J426" s="87" t="s">
        <v>1144</v>
      </c>
      <c r="K426" s="88" t="str">
        <f t="shared" si="18"/>
        <v>В</v>
      </c>
      <c r="L426" s="88" t="str">
        <f t="shared" si="19"/>
        <v>М</v>
      </c>
      <c r="M426" s="89" t="str">
        <f t="shared" si="20"/>
        <v>Моделирование и прогнозирование процессов в экологии и экономике</v>
      </c>
      <c r="N426" s="89" t="s">
        <v>301</v>
      </c>
    </row>
    <row r="427" spans="1:14" ht="30" hidden="1" customHeight="1" x14ac:dyDescent="0.25">
      <c r="A427" s="62" t="s">
        <v>1218</v>
      </c>
      <c r="B427" s="84" t="s">
        <v>1155</v>
      </c>
      <c r="C427" s="85" t="s">
        <v>403</v>
      </c>
      <c r="D427" s="85" t="s">
        <v>296</v>
      </c>
      <c r="E427" s="84" t="s">
        <v>413</v>
      </c>
      <c r="F427" s="86" t="s">
        <v>331</v>
      </c>
      <c r="G427" s="87" t="s">
        <v>1143</v>
      </c>
      <c r="H427" s="87" t="s">
        <v>1169</v>
      </c>
      <c r="I427" s="87"/>
      <c r="J427" s="87" t="s">
        <v>1144</v>
      </c>
      <c r="K427" s="88" t="str">
        <f t="shared" si="18"/>
        <v>В</v>
      </c>
      <c r="L427" s="88" t="str">
        <f t="shared" si="19"/>
        <v>М</v>
      </c>
      <c r="M427" s="89" t="str">
        <f t="shared" si="20"/>
        <v>Экология города</v>
      </c>
      <c r="N427" s="89" t="s">
        <v>301</v>
      </c>
    </row>
    <row r="428" spans="1:14" ht="30" hidden="1" customHeight="1" x14ac:dyDescent="0.25">
      <c r="A428" s="62" t="s">
        <v>1219</v>
      </c>
      <c r="B428" s="84" t="s">
        <v>1155</v>
      </c>
      <c r="C428" s="85" t="s">
        <v>403</v>
      </c>
      <c r="D428" s="85" t="s">
        <v>296</v>
      </c>
      <c r="E428" s="84" t="s">
        <v>413</v>
      </c>
      <c r="F428" s="86" t="s">
        <v>331</v>
      </c>
      <c r="G428" s="87" t="s">
        <v>1143</v>
      </c>
      <c r="H428" s="87" t="s">
        <v>1179</v>
      </c>
      <c r="I428" s="87"/>
      <c r="J428" s="87" t="s">
        <v>1144</v>
      </c>
      <c r="K428" s="88" t="str">
        <f t="shared" si="18"/>
        <v>В</v>
      </c>
      <c r="L428" s="88" t="str">
        <f t="shared" si="19"/>
        <v>М</v>
      </c>
      <c r="M428" s="89" t="str">
        <f t="shared" si="20"/>
        <v>Управление охраной труда, промышленной и экологической безопасностью (HSE – менеджмент)</v>
      </c>
      <c r="N428" s="89" t="s">
        <v>301</v>
      </c>
    </row>
    <row r="429" spans="1:14" ht="30" hidden="1" customHeight="1" x14ac:dyDescent="0.25">
      <c r="A429" s="62" t="s">
        <v>1220</v>
      </c>
      <c r="B429" s="84" t="s">
        <v>335</v>
      </c>
      <c r="C429" s="85" t="s">
        <v>403</v>
      </c>
      <c r="D429" s="85" t="s">
        <v>296</v>
      </c>
      <c r="E429" s="84" t="s">
        <v>413</v>
      </c>
      <c r="F429" s="86" t="s">
        <v>331</v>
      </c>
      <c r="G429" s="87" t="s">
        <v>316</v>
      </c>
      <c r="H429" s="87" t="s">
        <v>1221</v>
      </c>
      <c r="I429" s="87"/>
      <c r="J429" s="87" t="s">
        <v>1144</v>
      </c>
      <c r="K429" s="88" t="str">
        <f t="shared" si="18"/>
        <v>В</v>
      </c>
      <c r="L429" s="88" t="str">
        <f t="shared" si="19"/>
        <v>М</v>
      </c>
      <c r="M429" s="89" t="str">
        <f t="shared" si="20"/>
        <v>Оценка соответствия качества и безопасности продукции</v>
      </c>
      <c r="N429" s="89" t="s">
        <v>301</v>
      </c>
    </row>
    <row r="430" spans="1:14" ht="30" hidden="1" customHeight="1" x14ac:dyDescent="0.25">
      <c r="A430" s="62" t="s">
        <v>1222</v>
      </c>
      <c r="B430" s="84" t="s">
        <v>488</v>
      </c>
      <c r="C430" s="85" t="s">
        <v>403</v>
      </c>
      <c r="D430" s="85" t="s">
        <v>296</v>
      </c>
      <c r="E430" s="84" t="s">
        <v>413</v>
      </c>
      <c r="F430" s="86" t="s">
        <v>331</v>
      </c>
      <c r="G430" s="87" t="s">
        <v>449</v>
      </c>
      <c r="H430" s="87" t="s">
        <v>1153</v>
      </c>
      <c r="I430" s="87"/>
      <c r="J430" s="87" t="s">
        <v>1144</v>
      </c>
      <c r="K430" s="88" t="str">
        <f t="shared" si="18"/>
        <v>В</v>
      </c>
      <c r="L430" s="88" t="str">
        <f t="shared" si="19"/>
        <v>М</v>
      </c>
      <c r="M430" s="89" t="str">
        <f t="shared" si="20"/>
        <v>Моделирование и прогнозирование процессов в экологии и экономике</v>
      </c>
      <c r="N430" s="89" t="s">
        <v>301</v>
      </c>
    </row>
    <row r="431" spans="1:14" ht="30" hidden="1" customHeight="1" x14ac:dyDescent="0.25">
      <c r="A431" s="62" t="s">
        <v>1223</v>
      </c>
      <c r="B431" s="84" t="s">
        <v>1142</v>
      </c>
      <c r="C431" s="85" t="s">
        <v>419</v>
      </c>
      <c r="D431" s="85" t="s">
        <v>296</v>
      </c>
      <c r="E431" s="84" t="s">
        <v>406</v>
      </c>
      <c r="F431" s="86" t="s">
        <v>312</v>
      </c>
      <c r="G431" s="87" t="s">
        <v>1143</v>
      </c>
      <c r="H431" s="87" t="s">
        <v>1143</v>
      </c>
      <c r="I431" s="87"/>
      <c r="J431" s="87" t="s">
        <v>1144</v>
      </c>
      <c r="K431" s="88" t="str">
        <f t="shared" si="18"/>
        <v>З</v>
      </c>
      <c r="L431" s="88" t="str">
        <f t="shared" si="19"/>
        <v>Б</v>
      </c>
      <c r="M431" s="89" t="str">
        <f t="shared" si="20"/>
        <v>Экология и природопользование</v>
      </c>
      <c r="N431" s="89" t="s">
        <v>301</v>
      </c>
    </row>
    <row r="432" spans="1:14" ht="30" hidden="1" customHeight="1" x14ac:dyDescent="0.25">
      <c r="A432" s="62" t="s">
        <v>1224</v>
      </c>
      <c r="B432" s="84" t="s">
        <v>1142</v>
      </c>
      <c r="C432" s="85" t="s">
        <v>419</v>
      </c>
      <c r="D432" s="85" t="s">
        <v>296</v>
      </c>
      <c r="E432" s="84" t="s">
        <v>406</v>
      </c>
      <c r="F432" s="86" t="s">
        <v>312</v>
      </c>
      <c r="G432" s="87" t="s">
        <v>1143</v>
      </c>
      <c r="H432" s="87" t="s">
        <v>1146</v>
      </c>
      <c r="I432" s="87"/>
      <c r="J432" s="87" t="s">
        <v>1144</v>
      </c>
      <c r="K432" s="88" t="str">
        <f t="shared" si="18"/>
        <v>З</v>
      </c>
      <c r="L432" s="88" t="str">
        <f t="shared" si="19"/>
        <v>Б</v>
      </c>
      <c r="M432" s="89" t="str">
        <f t="shared" si="20"/>
        <v>Управление природными ресурсами</v>
      </c>
      <c r="N432" s="89" t="s">
        <v>301</v>
      </c>
    </row>
    <row r="433" spans="1:14" customFormat="1" ht="30" hidden="1" customHeight="1" x14ac:dyDescent="0.25">
      <c r="A433" s="62" t="s">
        <v>1225</v>
      </c>
      <c r="B433" s="84" t="s">
        <v>1142</v>
      </c>
      <c r="C433" s="85" t="s">
        <v>419</v>
      </c>
      <c r="D433" s="85" t="s">
        <v>296</v>
      </c>
      <c r="E433" s="84" t="s">
        <v>406</v>
      </c>
      <c r="F433" s="86" t="s">
        <v>312</v>
      </c>
      <c r="G433" s="87" t="s">
        <v>1143</v>
      </c>
      <c r="H433" s="87" t="s">
        <v>1148</v>
      </c>
      <c r="I433" s="87"/>
      <c r="J433" s="87" t="s">
        <v>1144</v>
      </c>
      <c r="K433" s="88" t="str">
        <f t="shared" si="18"/>
        <v>З</v>
      </c>
      <c r="L433" s="88" t="str">
        <f t="shared" si="19"/>
        <v>Б</v>
      </c>
      <c r="M433" s="89" t="str">
        <f t="shared" si="20"/>
        <v>Экология и устойчивое развитие</v>
      </c>
      <c r="N433" s="89" t="s">
        <v>301</v>
      </c>
    </row>
    <row r="434" spans="1:14" ht="30" hidden="1" customHeight="1" x14ac:dyDescent="0.25">
      <c r="A434" s="62" t="s">
        <v>1226</v>
      </c>
      <c r="B434" s="84" t="s">
        <v>1150</v>
      </c>
      <c r="C434" s="85" t="s">
        <v>419</v>
      </c>
      <c r="D434" s="85" t="s">
        <v>296</v>
      </c>
      <c r="E434" s="84" t="s">
        <v>406</v>
      </c>
      <c r="F434" s="86" t="s">
        <v>312</v>
      </c>
      <c r="G434" s="87" t="s">
        <v>1151</v>
      </c>
      <c r="H434" s="87" t="s">
        <v>1151</v>
      </c>
      <c r="I434" s="87"/>
      <c r="J434" s="87" t="s">
        <v>1144</v>
      </c>
      <c r="K434" s="88" t="str">
        <f t="shared" si="18"/>
        <v>З</v>
      </c>
      <c r="L434" s="88" t="str">
        <f t="shared" si="19"/>
        <v>Б</v>
      </c>
      <c r="M434" s="89" t="str">
        <f t="shared" si="20"/>
        <v>Энерго- и ресурсосберегающие процессы в химической технологии, нефтехимии и биотехнологии</v>
      </c>
      <c r="N434" s="89" t="s">
        <v>301</v>
      </c>
    </row>
    <row r="435" spans="1:14" ht="30" hidden="1" customHeight="1" x14ac:dyDescent="0.25">
      <c r="A435" s="62" t="s">
        <v>1227</v>
      </c>
      <c r="B435" s="84" t="s">
        <v>1155</v>
      </c>
      <c r="C435" s="85" t="s">
        <v>419</v>
      </c>
      <c r="D435" s="85" t="s">
        <v>296</v>
      </c>
      <c r="E435" s="84" t="s">
        <v>413</v>
      </c>
      <c r="F435" s="86" t="s">
        <v>331</v>
      </c>
      <c r="G435" s="87" t="s">
        <v>1143</v>
      </c>
      <c r="H435" s="87" t="s">
        <v>1179</v>
      </c>
      <c r="I435" s="87"/>
      <c r="J435" s="87" t="s">
        <v>1144</v>
      </c>
      <c r="K435" s="88" t="str">
        <f t="shared" si="18"/>
        <v>З</v>
      </c>
      <c r="L435" s="88" t="str">
        <f t="shared" si="19"/>
        <v>М</v>
      </c>
      <c r="M435" s="89" t="str">
        <f t="shared" si="20"/>
        <v>Управление охраной труда, промышленной и экологической безопасностью (HSE – менеджмент)</v>
      </c>
      <c r="N435" s="89" t="s">
        <v>301</v>
      </c>
    </row>
    <row r="436" spans="1:14" customFormat="1" ht="30" hidden="1" customHeight="1" x14ac:dyDescent="0.25">
      <c r="A436" s="62" t="s">
        <v>1228</v>
      </c>
      <c r="B436" s="84" t="s">
        <v>1155</v>
      </c>
      <c r="C436" s="85" t="s">
        <v>419</v>
      </c>
      <c r="D436" s="85" t="s">
        <v>304</v>
      </c>
      <c r="E436" s="84" t="s">
        <v>413</v>
      </c>
      <c r="F436" s="86" t="s">
        <v>331</v>
      </c>
      <c r="G436" s="87" t="s">
        <v>1143</v>
      </c>
      <c r="H436" s="87" t="s">
        <v>1181</v>
      </c>
      <c r="I436" s="87" t="s">
        <v>1182</v>
      </c>
      <c r="J436" s="87" t="s">
        <v>1144</v>
      </c>
      <c r="K436" s="88" t="str">
        <f t="shared" si="18"/>
        <v>З</v>
      </c>
      <c r="L436" s="88" t="str">
        <f t="shared" si="19"/>
        <v>М</v>
      </c>
      <c r="M436" s="89" t="str">
        <f t="shared" si="20"/>
        <v>Экологическая инженерия в строительстве (Вуз-партнёр – Национальный исследовательский Московский государственный строительный университет)</v>
      </c>
      <c r="N436" s="89" t="s">
        <v>301</v>
      </c>
    </row>
    <row r="437" spans="1:14" ht="30" hidden="1" customHeight="1" x14ac:dyDescent="0.25">
      <c r="A437" s="62" t="s">
        <v>1229</v>
      </c>
      <c r="B437" s="84" t="s">
        <v>1155</v>
      </c>
      <c r="C437" s="85" t="s">
        <v>419</v>
      </c>
      <c r="D437" s="85" t="s">
        <v>296</v>
      </c>
      <c r="E437" s="84" t="s">
        <v>413</v>
      </c>
      <c r="F437" s="86" t="s">
        <v>331</v>
      </c>
      <c r="G437" s="87" t="s">
        <v>1143</v>
      </c>
      <c r="H437" s="87" t="s">
        <v>1181</v>
      </c>
      <c r="I437" s="87" t="s">
        <v>1182</v>
      </c>
      <c r="J437" s="87" t="s">
        <v>1144</v>
      </c>
      <c r="K437" s="88" t="str">
        <f t="shared" si="18"/>
        <v>З</v>
      </c>
      <c r="L437" s="88" t="str">
        <f t="shared" si="19"/>
        <v>М</v>
      </c>
      <c r="M437" s="89" t="str">
        <f t="shared" si="20"/>
        <v>Экологическая инженерия в строительстве (Вуз-партнёр – Национальный исследовательский Московский государственный строительный университет)</v>
      </c>
      <c r="N437" s="89" t="s">
        <v>301</v>
      </c>
    </row>
    <row r="438" spans="1:14" ht="30" hidden="1" customHeight="1" x14ac:dyDescent="0.25">
      <c r="A438" s="62" t="s">
        <v>1230</v>
      </c>
      <c r="B438" s="84" t="s">
        <v>1155</v>
      </c>
      <c r="C438" s="85" t="s">
        <v>419</v>
      </c>
      <c r="D438" s="85" t="s">
        <v>296</v>
      </c>
      <c r="E438" s="84" t="s">
        <v>413</v>
      </c>
      <c r="F438" s="86" t="s">
        <v>331</v>
      </c>
      <c r="G438" s="87" t="s">
        <v>1143</v>
      </c>
      <c r="H438" s="87" t="s">
        <v>1187</v>
      </c>
      <c r="I438" s="87"/>
      <c r="J438" s="87" t="s">
        <v>1144</v>
      </c>
      <c r="K438" s="88" t="str">
        <f t="shared" si="18"/>
        <v>З</v>
      </c>
      <c r="L438" s="88" t="str">
        <f t="shared" si="19"/>
        <v>М</v>
      </c>
      <c r="M438" s="89" t="str">
        <f t="shared" si="20"/>
        <v>Биобезопасность и карантин растений</v>
      </c>
      <c r="N438" s="89" t="s">
        <v>301</v>
      </c>
    </row>
    <row r="439" spans="1:14" ht="30" hidden="1" customHeight="1" x14ac:dyDescent="0.25">
      <c r="A439" s="62" t="s">
        <v>1231</v>
      </c>
      <c r="B439" s="84" t="s">
        <v>1155</v>
      </c>
      <c r="C439" s="85" t="s">
        <v>419</v>
      </c>
      <c r="D439" s="85" t="s">
        <v>296</v>
      </c>
      <c r="E439" s="84" t="s">
        <v>413</v>
      </c>
      <c r="F439" s="86" t="s">
        <v>331</v>
      </c>
      <c r="G439" s="87" t="s">
        <v>1143</v>
      </c>
      <c r="H439" s="87" t="s">
        <v>1195</v>
      </c>
      <c r="I439" s="87"/>
      <c r="J439" s="87" t="s">
        <v>1144</v>
      </c>
      <c r="K439" s="88" t="str">
        <f t="shared" si="18"/>
        <v>З</v>
      </c>
      <c r="L439" s="88" t="str">
        <f t="shared" si="19"/>
        <v>М</v>
      </c>
      <c r="M439" s="89" t="str">
        <f t="shared" si="20"/>
        <v>Урбанистика и экологическое проектирование городской среды</v>
      </c>
      <c r="N439" s="89" t="s">
        <v>301</v>
      </c>
    </row>
    <row r="440" spans="1:14" ht="30" hidden="1" customHeight="1" x14ac:dyDescent="0.25">
      <c r="A440" s="62" t="s">
        <v>1232</v>
      </c>
      <c r="B440" s="84" t="s">
        <v>335</v>
      </c>
      <c r="C440" s="85" t="s">
        <v>419</v>
      </c>
      <c r="D440" s="85" t="s">
        <v>296</v>
      </c>
      <c r="E440" s="84" t="s">
        <v>413</v>
      </c>
      <c r="F440" s="86" t="s">
        <v>331</v>
      </c>
      <c r="G440" s="87" t="s">
        <v>316</v>
      </c>
      <c r="H440" s="87" t="s">
        <v>1221</v>
      </c>
      <c r="I440" s="87"/>
      <c r="J440" s="87" t="s">
        <v>1144</v>
      </c>
      <c r="K440" s="88" t="str">
        <f t="shared" si="18"/>
        <v>З</v>
      </c>
      <c r="L440" s="88" t="str">
        <f t="shared" si="19"/>
        <v>М</v>
      </c>
      <c r="M440" s="89" t="str">
        <f t="shared" si="20"/>
        <v>Оценка соответствия качества и безопасности продукции</v>
      </c>
      <c r="N440" s="89" t="s">
        <v>301</v>
      </c>
    </row>
    <row r="441" spans="1:14" ht="30" hidden="1" customHeight="1" x14ac:dyDescent="0.25">
      <c r="A441" s="62" t="s">
        <v>1233</v>
      </c>
      <c r="B441" s="84" t="s">
        <v>755</v>
      </c>
      <c r="C441" s="85" t="s">
        <v>419</v>
      </c>
      <c r="D441" s="85" t="s">
        <v>304</v>
      </c>
      <c r="E441" s="84" t="s">
        <v>413</v>
      </c>
      <c r="F441" s="86" t="s">
        <v>331</v>
      </c>
      <c r="G441" s="87" t="s">
        <v>756</v>
      </c>
      <c r="H441" s="87" t="s">
        <v>1201</v>
      </c>
      <c r="I441" s="87"/>
      <c r="J441" s="87" t="s">
        <v>1144</v>
      </c>
      <c r="K441" s="88" t="str">
        <f t="shared" si="18"/>
        <v>З</v>
      </c>
      <c r="L441" s="88" t="str">
        <f t="shared" si="19"/>
        <v>М</v>
      </c>
      <c r="M441" s="89" t="str">
        <f t="shared" si="20"/>
        <v>Экологическая педагогика [язык реализации –Английский]</v>
      </c>
      <c r="N441" s="89" t="s">
        <v>301</v>
      </c>
    </row>
    <row r="442" spans="1:14" customFormat="1" ht="30" hidden="1" customHeight="1" x14ac:dyDescent="0.25">
      <c r="A442" s="62" t="s">
        <v>1234</v>
      </c>
      <c r="B442" s="84" t="s">
        <v>1235</v>
      </c>
      <c r="C442" s="85" t="s">
        <v>295</v>
      </c>
      <c r="D442" s="85" t="s">
        <v>296</v>
      </c>
      <c r="E442" s="84" t="s">
        <v>1236</v>
      </c>
      <c r="F442" s="86" t="s">
        <v>298</v>
      </c>
      <c r="G442" s="87" t="s">
        <v>1237</v>
      </c>
      <c r="H442" s="87" t="s">
        <v>1237</v>
      </c>
      <c r="I442" s="87"/>
      <c r="J442" s="87" t="s">
        <v>1238</v>
      </c>
      <c r="K442" s="88" t="str">
        <f t="shared" si="18"/>
        <v>Д</v>
      </c>
      <c r="L442" s="88" t="str">
        <f t="shared" si="19"/>
        <v>С</v>
      </c>
      <c r="M442" s="89" t="str">
        <f t="shared" si="20"/>
        <v>Лечебное дело</v>
      </c>
      <c r="N442" s="89" t="s">
        <v>301</v>
      </c>
    </row>
    <row r="443" spans="1:14" ht="30" hidden="1" customHeight="1" x14ac:dyDescent="0.25">
      <c r="A443" s="62" t="s">
        <v>1239</v>
      </c>
      <c r="B443" s="84" t="s">
        <v>1235</v>
      </c>
      <c r="C443" s="85" t="s">
        <v>295</v>
      </c>
      <c r="D443" s="85" t="s">
        <v>304</v>
      </c>
      <c r="E443" s="84" t="s">
        <v>1240</v>
      </c>
      <c r="F443" s="86" t="s">
        <v>298</v>
      </c>
      <c r="G443" s="87" t="s">
        <v>1237</v>
      </c>
      <c r="H443" s="87" t="s">
        <v>1237</v>
      </c>
      <c r="I443" s="87"/>
      <c r="J443" s="87" t="s">
        <v>1238</v>
      </c>
      <c r="K443" s="88" t="str">
        <f t="shared" si="18"/>
        <v>Д</v>
      </c>
      <c r="L443" s="88" t="str">
        <f t="shared" si="19"/>
        <v>С</v>
      </c>
      <c r="M443" s="89" t="str">
        <f t="shared" si="20"/>
        <v>Лечебное дело [язык реализации –Английский]</v>
      </c>
      <c r="N443" s="89" t="s">
        <v>301</v>
      </c>
    </row>
    <row r="444" spans="1:14" customFormat="1" ht="30" hidden="1" customHeight="1" x14ac:dyDescent="0.25">
      <c r="A444" s="62" t="s">
        <v>1241</v>
      </c>
      <c r="B444" s="84" t="s">
        <v>1235</v>
      </c>
      <c r="C444" s="85" t="s">
        <v>295</v>
      </c>
      <c r="D444" s="85" t="s">
        <v>296</v>
      </c>
      <c r="E444" s="84" t="s">
        <v>1240</v>
      </c>
      <c r="F444" s="86" t="s">
        <v>298</v>
      </c>
      <c r="G444" s="87" t="s">
        <v>1237</v>
      </c>
      <c r="H444" s="87" t="s">
        <v>1237</v>
      </c>
      <c r="I444" s="87" t="s">
        <v>1242</v>
      </c>
      <c r="J444" s="87" t="s">
        <v>1238</v>
      </c>
      <c r="K444" s="88" t="str">
        <f t="shared" si="18"/>
        <v>Д</v>
      </c>
      <c r="L444" s="88" t="str">
        <f t="shared" si="19"/>
        <v>С</v>
      </c>
      <c r="M444" s="89" t="str">
        <f t="shared" si="20"/>
        <v>Лечебное дело (Вуз-партнёр – Ташкентский государственный стоматологический институт при Министерстве здравоохранения)</v>
      </c>
      <c r="N444" s="89" t="s">
        <v>301</v>
      </c>
    </row>
    <row r="445" spans="1:14" customFormat="1" ht="30" hidden="1" customHeight="1" x14ac:dyDescent="0.25">
      <c r="A445" s="62" t="s">
        <v>1243</v>
      </c>
      <c r="B445" s="84" t="s">
        <v>1235</v>
      </c>
      <c r="C445" s="85" t="s">
        <v>295</v>
      </c>
      <c r="D445" s="85" t="s">
        <v>296</v>
      </c>
      <c r="E445" s="84" t="s">
        <v>1240</v>
      </c>
      <c r="F445" s="86" t="s">
        <v>298</v>
      </c>
      <c r="G445" s="87" t="s">
        <v>1237</v>
      </c>
      <c r="H445" s="87" t="s">
        <v>1237</v>
      </c>
      <c r="I445" s="87" t="s">
        <v>1244</v>
      </c>
      <c r="J445" s="87" t="s">
        <v>1238</v>
      </c>
      <c r="K445" s="88" t="str">
        <f t="shared" si="18"/>
        <v>Д</v>
      </c>
      <c r="L445" s="88" t="str">
        <f t="shared" si="19"/>
        <v>С</v>
      </c>
      <c r="M445" s="89" t="str">
        <f t="shared" si="20"/>
        <v>Лечебное дело (Вуз-партнёр – Бухарский государственный медицинский институт имени Абу Али ибн Сино)</v>
      </c>
      <c r="N445" s="89" t="s">
        <v>301</v>
      </c>
    </row>
    <row r="446" spans="1:14" ht="30" hidden="1" customHeight="1" x14ac:dyDescent="0.25">
      <c r="A446" s="62" t="s">
        <v>1245</v>
      </c>
      <c r="B446" s="84" t="s">
        <v>1235</v>
      </c>
      <c r="C446" s="85" t="s">
        <v>295</v>
      </c>
      <c r="D446" s="85" t="s">
        <v>296</v>
      </c>
      <c r="E446" s="84" t="s">
        <v>1240</v>
      </c>
      <c r="F446" s="86" t="s">
        <v>298</v>
      </c>
      <c r="G446" s="87" t="s">
        <v>1237</v>
      </c>
      <c r="H446" s="87" t="s">
        <v>1237</v>
      </c>
      <c r="I446" s="87"/>
      <c r="J446" s="87" t="s">
        <v>1238</v>
      </c>
      <c r="K446" s="88" t="str">
        <f t="shared" si="18"/>
        <v>Д</v>
      </c>
      <c r="L446" s="88" t="str">
        <f t="shared" si="19"/>
        <v>С</v>
      </c>
      <c r="M446" s="89" t="str">
        <f t="shared" si="20"/>
        <v>Лечебное дело</v>
      </c>
      <c r="N446" s="89" t="s">
        <v>301</v>
      </c>
    </row>
    <row r="447" spans="1:14" ht="30" hidden="1" customHeight="1" x14ac:dyDescent="0.25">
      <c r="A447" s="62" t="s">
        <v>1246</v>
      </c>
      <c r="B447" s="84" t="s">
        <v>1247</v>
      </c>
      <c r="C447" s="85" t="s">
        <v>295</v>
      </c>
      <c r="D447" s="85" t="s">
        <v>296</v>
      </c>
      <c r="E447" s="84" t="s">
        <v>1248</v>
      </c>
      <c r="F447" s="86" t="s">
        <v>298</v>
      </c>
      <c r="G447" s="87" t="s">
        <v>1249</v>
      </c>
      <c r="H447" s="87" t="s">
        <v>1249</v>
      </c>
      <c r="I447" s="87"/>
      <c r="J447" s="87" t="s">
        <v>1238</v>
      </c>
      <c r="K447" s="88" t="str">
        <f t="shared" si="18"/>
        <v>Д</v>
      </c>
      <c r="L447" s="88" t="str">
        <f t="shared" si="19"/>
        <v>С</v>
      </c>
      <c r="M447" s="89" t="str">
        <f t="shared" si="20"/>
        <v>Стоматология</v>
      </c>
      <c r="N447" s="89" t="s">
        <v>301</v>
      </c>
    </row>
    <row r="448" spans="1:14" ht="30" hidden="1" customHeight="1" x14ac:dyDescent="0.25">
      <c r="A448" s="62" t="s">
        <v>1250</v>
      </c>
      <c r="B448" s="84" t="s">
        <v>1247</v>
      </c>
      <c r="C448" s="85" t="s">
        <v>295</v>
      </c>
      <c r="D448" s="85" t="s">
        <v>304</v>
      </c>
      <c r="E448" s="84" t="s">
        <v>297</v>
      </c>
      <c r="F448" s="86" t="s">
        <v>298</v>
      </c>
      <c r="G448" s="87" t="s">
        <v>1249</v>
      </c>
      <c r="H448" s="87" t="s">
        <v>1249</v>
      </c>
      <c r="I448" s="87"/>
      <c r="J448" s="87" t="s">
        <v>1238</v>
      </c>
      <c r="K448" s="88" t="str">
        <f t="shared" si="18"/>
        <v>Д</v>
      </c>
      <c r="L448" s="88" t="str">
        <f t="shared" si="19"/>
        <v>С</v>
      </c>
      <c r="M448" s="89" t="str">
        <f t="shared" si="20"/>
        <v>Стоматология [язык реализации –Английский]</v>
      </c>
      <c r="N448" s="89" t="s">
        <v>301</v>
      </c>
    </row>
    <row r="449" spans="1:14" ht="30" hidden="1" customHeight="1" x14ac:dyDescent="0.25">
      <c r="A449" s="62" t="s">
        <v>1251</v>
      </c>
      <c r="B449" s="84" t="s">
        <v>1247</v>
      </c>
      <c r="C449" s="85" t="s">
        <v>295</v>
      </c>
      <c r="D449" s="85" t="s">
        <v>296</v>
      </c>
      <c r="E449" s="84" t="s">
        <v>297</v>
      </c>
      <c r="F449" s="86" t="s">
        <v>298</v>
      </c>
      <c r="G449" s="87" t="s">
        <v>1249</v>
      </c>
      <c r="H449" s="87" t="s">
        <v>1249</v>
      </c>
      <c r="I449" s="87" t="s">
        <v>1242</v>
      </c>
      <c r="J449" s="87" t="s">
        <v>1238</v>
      </c>
      <c r="K449" s="88" t="str">
        <f t="shared" si="18"/>
        <v>Д</v>
      </c>
      <c r="L449" s="88" t="str">
        <f t="shared" si="19"/>
        <v>С</v>
      </c>
      <c r="M449" s="89" t="str">
        <f t="shared" si="20"/>
        <v>Стоматология (Вуз-партнёр – Ташкентский государственный стоматологический институт при Министерстве здравоохранения)</v>
      </c>
      <c r="N449" s="89" t="s">
        <v>301</v>
      </c>
    </row>
    <row r="450" spans="1:14" ht="30" hidden="1" customHeight="1" x14ac:dyDescent="0.25">
      <c r="A450" s="62" t="s">
        <v>1252</v>
      </c>
      <c r="B450" s="84" t="s">
        <v>1247</v>
      </c>
      <c r="C450" s="85" t="s">
        <v>295</v>
      </c>
      <c r="D450" s="85" t="s">
        <v>296</v>
      </c>
      <c r="E450" s="84" t="s">
        <v>297</v>
      </c>
      <c r="F450" s="86" t="s">
        <v>298</v>
      </c>
      <c r="G450" s="87" t="s">
        <v>1249</v>
      </c>
      <c r="H450" s="87" t="s">
        <v>1249</v>
      </c>
      <c r="I450" s="87" t="s">
        <v>1244</v>
      </c>
      <c r="J450" s="87" t="s">
        <v>1238</v>
      </c>
      <c r="K450" s="88" t="str">
        <f t="shared" si="18"/>
        <v>Д</v>
      </c>
      <c r="L450" s="88" t="str">
        <f t="shared" si="19"/>
        <v>С</v>
      </c>
      <c r="M450" s="89" t="str">
        <f t="shared" si="20"/>
        <v>Стоматология (Вуз-партнёр – Бухарский государственный медицинский институт имени Абу Али ибн Сино)</v>
      </c>
      <c r="N450" s="89" t="s">
        <v>301</v>
      </c>
    </row>
    <row r="451" spans="1:14" ht="30" hidden="1" customHeight="1" x14ac:dyDescent="0.25">
      <c r="A451" s="62" t="s">
        <v>1253</v>
      </c>
      <c r="B451" s="84" t="s">
        <v>1247</v>
      </c>
      <c r="C451" s="85" t="s">
        <v>295</v>
      </c>
      <c r="D451" s="85" t="s">
        <v>296</v>
      </c>
      <c r="E451" s="84" t="s">
        <v>297</v>
      </c>
      <c r="F451" s="86" t="s">
        <v>298</v>
      </c>
      <c r="G451" s="87" t="s">
        <v>1249</v>
      </c>
      <c r="H451" s="87" t="s">
        <v>1249</v>
      </c>
      <c r="I451" s="87"/>
      <c r="J451" s="87" t="s">
        <v>1238</v>
      </c>
      <c r="K451" s="88" t="str">
        <f t="shared" ref="K451:K514" si="21">IF(C451="очная","Д",IF(C451="Очно-заочная","В",IF(C451="Заочная","З","-")))</f>
        <v>Д</v>
      </c>
      <c r="L451" s="88" t="str">
        <f t="shared" ref="L451:L514" si="22">IF(N451="да","ЦМ",LEFT(F451,1))</f>
        <v>С</v>
      </c>
      <c r="M451" s="89" t="str">
        <f t="shared" ref="M451:M514" si="23">CONCATENATE(H451,IF(I451&gt;0,CONCATENATE(" (Вуз-партнёр – ",I451,")"),IF(D451=$D$3,"",CONCATENATE(" [язык реализации –",D451,"]"))))</f>
        <v>Стоматология</v>
      </c>
      <c r="N451" s="89" t="s">
        <v>301</v>
      </c>
    </row>
    <row r="452" spans="1:14" ht="30" hidden="1" customHeight="1" x14ac:dyDescent="0.25">
      <c r="A452" s="62" t="s">
        <v>1254</v>
      </c>
      <c r="B452" s="84" t="s">
        <v>1255</v>
      </c>
      <c r="C452" s="85" t="s">
        <v>295</v>
      </c>
      <c r="D452" s="85" t="s">
        <v>296</v>
      </c>
      <c r="E452" s="84" t="s">
        <v>297</v>
      </c>
      <c r="F452" s="86" t="s">
        <v>298</v>
      </c>
      <c r="G452" s="87" t="s">
        <v>1256</v>
      </c>
      <c r="H452" s="87" t="s">
        <v>1256</v>
      </c>
      <c r="I452" s="87"/>
      <c r="J452" s="87" t="s">
        <v>1238</v>
      </c>
      <c r="K452" s="88" t="str">
        <f t="shared" si="21"/>
        <v>Д</v>
      </c>
      <c r="L452" s="88" t="str">
        <f t="shared" si="22"/>
        <v>С</v>
      </c>
      <c r="M452" s="89" t="str">
        <f t="shared" si="23"/>
        <v>Фармация</v>
      </c>
      <c r="N452" s="89" t="s">
        <v>301</v>
      </c>
    </row>
    <row r="453" spans="1:14" customFormat="1" ht="30" hidden="1" customHeight="1" x14ac:dyDescent="0.25">
      <c r="A453" s="62" t="s">
        <v>1257</v>
      </c>
      <c r="B453" s="84" t="s">
        <v>1258</v>
      </c>
      <c r="C453" s="85" t="s">
        <v>295</v>
      </c>
      <c r="D453" s="85" t="s">
        <v>296</v>
      </c>
      <c r="E453" s="84" t="s">
        <v>311</v>
      </c>
      <c r="F453" s="86" t="s">
        <v>312</v>
      </c>
      <c r="G453" s="87" t="s">
        <v>1259</v>
      </c>
      <c r="H453" s="87" t="s">
        <v>1260</v>
      </c>
      <c r="I453" s="87"/>
      <c r="J453" s="87" t="s">
        <v>1238</v>
      </c>
      <c r="K453" s="88" t="str">
        <f t="shared" si="21"/>
        <v>Д</v>
      </c>
      <c r="L453" s="88" t="str">
        <f t="shared" si="22"/>
        <v>Б</v>
      </c>
      <c r="M453" s="89" t="str">
        <f t="shared" si="23"/>
        <v>Биомедицина</v>
      </c>
      <c r="N453" s="89" t="s">
        <v>301</v>
      </c>
    </row>
    <row r="454" spans="1:14" ht="30" hidden="1" customHeight="1" x14ac:dyDescent="0.25">
      <c r="A454" s="62" t="s">
        <v>1261</v>
      </c>
      <c r="B454" s="84" t="s">
        <v>1262</v>
      </c>
      <c r="C454" s="85" t="s">
        <v>295</v>
      </c>
      <c r="D454" s="85" t="s">
        <v>296</v>
      </c>
      <c r="E454" s="84" t="s">
        <v>311</v>
      </c>
      <c r="F454" s="86" t="s">
        <v>312</v>
      </c>
      <c r="G454" s="87" t="s">
        <v>1263</v>
      </c>
      <c r="H454" s="87" t="s">
        <v>1263</v>
      </c>
      <c r="I454" s="87"/>
      <c r="J454" s="87" t="s">
        <v>1238</v>
      </c>
      <c r="K454" s="88" t="str">
        <f t="shared" si="21"/>
        <v>Д</v>
      </c>
      <c r="L454" s="88" t="str">
        <f t="shared" si="22"/>
        <v>Б</v>
      </c>
      <c r="M454" s="89" t="str">
        <f t="shared" si="23"/>
        <v>Сестринское дело</v>
      </c>
      <c r="N454" s="89" t="s">
        <v>301</v>
      </c>
    </row>
    <row r="455" spans="1:14" ht="30" hidden="1" customHeight="1" x14ac:dyDescent="0.25">
      <c r="A455" s="62" t="s">
        <v>1264</v>
      </c>
      <c r="B455" s="84" t="s">
        <v>1265</v>
      </c>
      <c r="C455" s="85" t="s">
        <v>295</v>
      </c>
      <c r="D455" s="85" t="s">
        <v>296</v>
      </c>
      <c r="E455" s="84" t="s">
        <v>330</v>
      </c>
      <c r="F455" s="86" t="s">
        <v>331</v>
      </c>
      <c r="G455" s="87" t="s">
        <v>1259</v>
      </c>
      <c r="H455" s="87" t="s">
        <v>1266</v>
      </c>
      <c r="I455" s="87"/>
      <c r="J455" s="87" t="s">
        <v>1238</v>
      </c>
      <c r="K455" s="88" t="str">
        <f t="shared" si="21"/>
        <v>Д</v>
      </c>
      <c r="L455" s="88" t="str">
        <f t="shared" si="22"/>
        <v>М</v>
      </c>
      <c r="M455" s="89" t="str">
        <f t="shared" si="23"/>
        <v>Биофармацевтический анализ</v>
      </c>
      <c r="N455" s="89" t="s">
        <v>301</v>
      </c>
    </row>
    <row r="456" spans="1:14" customFormat="1" ht="30" hidden="1" customHeight="1" x14ac:dyDescent="0.25">
      <c r="A456" s="62" t="s">
        <v>1267</v>
      </c>
      <c r="B456" s="84" t="s">
        <v>1265</v>
      </c>
      <c r="C456" s="85" t="s">
        <v>295</v>
      </c>
      <c r="D456" s="85" t="s">
        <v>296</v>
      </c>
      <c r="E456" s="84" t="s">
        <v>330</v>
      </c>
      <c r="F456" s="86" t="s">
        <v>331</v>
      </c>
      <c r="G456" s="87" t="s">
        <v>1259</v>
      </c>
      <c r="H456" s="87" t="s">
        <v>1268</v>
      </c>
      <c r="I456" s="87"/>
      <c r="J456" s="87" t="s">
        <v>1238</v>
      </c>
      <c r="K456" s="88" t="str">
        <f t="shared" si="21"/>
        <v>Д</v>
      </c>
      <c r="L456" s="88" t="str">
        <f t="shared" si="22"/>
        <v>М</v>
      </c>
      <c r="M456" s="89" t="str">
        <f t="shared" si="23"/>
        <v>Радиационная биомедицина</v>
      </c>
      <c r="N456" s="89" t="s">
        <v>301</v>
      </c>
    </row>
    <row r="457" spans="1:14" customFormat="1" ht="30" hidden="1" customHeight="1" x14ac:dyDescent="0.25">
      <c r="A457" s="62" t="s">
        <v>1269</v>
      </c>
      <c r="B457" s="84" t="s">
        <v>1265</v>
      </c>
      <c r="C457" s="85" t="s">
        <v>295</v>
      </c>
      <c r="D457" s="85" t="s">
        <v>296</v>
      </c>
      <c r="E457" s="84" t="s">
        <v>330</v>
      </c>
      <c r="F457" s="86" t="s">
        <v>331</v>
      </c>
      <c r="G457" s="87" t="s">
        <v>1259</v>
      </c>
      <c r="H457" s="87" t="s">
        <v>1270</v>
      </c>
      <c r="I457" s="87"/>
      <c r="J457" s="87" t="s">
        <v>1238</v>
      </c>
      <c r="K457" s="88" t="str">
        <f t="shared" si="21"/>
        <v>Д</v>
      </c>
      <c r="L457" s="88" t="str">
        <f t="shared" si="22"/>
        <v>М</v>
      </c>
      <c r="M457" s="89" t="str">
        <f t="shared" si="23"/>
        <v>Генная и тканевая инженерия</v>
      </c>
      <c r="N457" s="89" t="s">
        <v>301</v>
      </c>
    </row>
    <row r="458" spans="1:14" customFormat="1" ht="30" hidden="1" customHeight="1" x14ac:dyDescent="0.25">
      <c r="A458" s="62" t="s">
        <v>1271</v>
      </c>
      <c r="B458" s="84" t="s">
        <v>1127</v>
      </c>
      <c r="C458" s="85" t="s">
        <v>295</v>
      </c>
      <c r="D458" s="85" t="s">
        <v>296</v>
      </c>
      <c r="E458" s="84" t="s">
        <v>330</v>
      </c>
      <c r="F458" s="86" t="s">
        <v>331</v>
      </c>
      <c r="G458" s="87" t="s">
        <v>1128</v>
      </c>
      <c r="H458" s="87" t="s">
        <v>1272</v>
      </c>
      <c r="I458" s="87"/>
      <c r="J458" s="87" t="s">
        <v>1238</v>
      </c>
      <c r="K458" s="88" t="str">
        <f t="shared" si="21"/>
        <v>Д</v>
      </c>
      <c r="L458" s="88" t="str">
        <f t="shared" si="22"/>
        <v>М</v>
      </c>
      <c r="M458" s="89" t="str">
        <f t="shared" si="23"/>
        <v>Создание и разработка лекарственных препаратов</v>
      </c>
      <c r="N458" s="89" t="s">
        <v>301</v>
      </c>
    </row>
    <row r="459" spans="1:14" customFormat="1" ht="30" hidden="1" customHeight="1" x14ac:dyDescent="0.25">
      <c r="A459" s="62" t="s">
        <v>1273</v>
      </c>
      <c r="B459" s="84" t="s">
        <v>1274</v>
      </c>
      <c r="C459" s="85" t="s">
        <v>295</v>
      </c>
      <c r="D459" s="85" t="s">
        <v>296</v>
      </c>
      <c r="E459" s="84" t="s">
        <v>330</v>
      </c>
      <c r="F459" s="86" t="s">
        <v>331</v>
      </c>
      <c r="G459" s="87" t="s">
        <v>1275</v>
      </c>
      <c r="H459" s="87" t="s">
        <v>1275</v>
      </c>
      <c r="I459" s="87"/>
      <c r="J459" s="87" t="s">
        <v>1238</v>
      </c>
      <c r="K459" s="88" t="str">
        <f t="shared" si="21"/>
        <v>Д</v>
      </c>
      <c r="L459" s="88" t="str">
        <f t="shared" si="22"/>
        <v>М</v>
      </c>
      <c r="M459" s="89" t="str">
        <f t="shared" si="23"/>
        <v>Управление сестринской деятельностью</v>
      </c>
      <c r="N459" s="89" t="s">
        <v>301</v>
      </c>
    </row>
    <row r="460" spans="1:14" customFormat="1" ht="30" hidden="1" customHeight="1" x14ac:dyDescent="0.25">
      <c r="A460" s="62" t="s">
        <v>1276</v>
      </c>
      <c r="B460" s="84" t="s">
        <v>1277</v>
      </c>
      <c r="C460" s="85" t="s">
        <v>295</v>
      </c>
      <c r="D460" s="85" t="s">
        <v>296</v>
      </c>
      <c r="E460" s="84" t="s">
        <v>311</v>
      </c>
      <c r="F460" s="86" t="s">
        <v>368</v>
      </c>
      <c r="G460" s="87" t="s">
        <v>1278</v>
      </c>
      <c r="H460" s="87" t="s">
        <v>1278</v>
      </c>
      <c r="I460" s="87"/>
      <c r="J460" s="87" t="s">
        <v>1238</v>
      </c>
      <c r="K460" s="88" t="str">
        <f t="shared" si="21"/>
        <v>Д</v>
      </c>
      <c r="L460" s="88" t="str">
        <f t="shared" si="22"/>
        <v>А</v>
      </c>
      <c r="M460" s="89" t="str">
        <f t="shared" si="23"/>
        <v>Микробиология</v>
      </c>
      <c r="N460" s="89" t="s">
        <v>301</v>
      </c>
    </row>
    <row r="461" spans="1:14" customFormat="1" ht="30" hidden="1" customHeight="1" x14ac:dyDescent="0.25">
      <c r="A461" s="62" t="s">
        <v>1279</v>
      </c>
      <c r="B461" s="84" t="s">
        <v>1280</v>
      </c>
      <c r="C461" s="85" t="s">
        <v>295</v>
      </c>
      <c r="D461" s="85" t="s">
        <v>296</v>
      </c>
      <c r="E461" s="84" t="s">
        <v>311</v>
      </c>
      <c r="F461" s="86" t="s">
        <v>368</v>
      </c>
      <c r="G461" s="87" t="s">
        <v>1281</v>
      </c>
      <c r="H461" s="87" t="s">
        <v>1282</v>
      </c>
      <c r="I461" s="87"/>
      <c r="J461" s="87" t="s">
        <v>1238</v>
      </c>
      <c r="K461" s="88" t="str">
        <f t="shared" si="21"/>
        <v>Д</v>
      </c>
      <c r="L461" s="88" t="str">
        <f t="shared" si="22"/>
        <v>А</v>
      </c>
      <c r="M461" s="89" t="str">
        <f t="shared" si="23"/>
        <v>Клеточная биология, цитология, гистология</v>
      </c>
      <c r="N461" s="89" t="s">
        <v>301</v>
      </c>
    </row>
    <row r="462" spans="1:14" customFormat="1" ht="30" hidden="1" customHeight="1" x14ac:dyDescent="0.25">
      <c r="A462" s="62" t="s">
        <v>1283</v>
      </c>
      <c r="B462" s="84" t="s">
        <v>1280</v>
      </c>
      <c r="C462" s="85" t="s">
        <v>295</v>
      </c>
      <c r="D462" s="85" t="s">
        <v>296</v>
      </c>
      <c r="E462" s="84" t="s">
        <v>311</v>
      </c>
      <c r="F462" s="86" t="s">
        <v>368</v>
      </c>
      <c r="G462" s="87" t="s">
        <v>1281</v>
      </c>
      <c r="H462" s="87" t="s">
        <v>1281</v>
      </c>
      <c r="I462" s="87"/>
      <c r="J462" s="87" t="s">
        <v>1238</v>
      </c>
      <c r="K462" s="88" t="str">
        <f t="shared" si="21"/>
        <v>Д</v>
      </c>
      <c r="L462" s="88" t="str">
        <f t="shared" si="22"/>
        <v>А</v>
      </c>
      <c r="M462" s="89" t="str">
        <f t="shared" si="23"/>
        <v>Клеточная биология</v>
      </c>
      <c r="N462" s="89" t="s">
        <v>301</v>
      </c>
    </row>
    <row r="463" spans="1:14" customFormat="1" ht="30" hidden="1" customHeight="1" x14ac:dyDescent="0.25">
      <c r="A463" s="62" t="s">
        <v>1284</v>
      </c>
      <c r="B463" s="84" t="s">
        <v>1285</v>
      </c>
      <c r="C463" s="85" t="s">
        <v>295</v>
      </c>
      <c r="D463" s="85" t="s">
        <v>296</v>
      </c>
      <c r="E463" s="84" t="s">
        <v>311</v>
      </c>
      <c r="F463" s="86" t="s">
        <v>368</v>
      </c>
      <c r="G463" s="87" t="s">
        <v>1286</v>
      </c>
      <c r="H463" s="87" t="s">
        <v>1286</v>
      </c>
      <c r="I463" s="87"/>
      <c r="J463" s="87" t="s">
        <v>1238</v>
      </c>
      <c r="K463" s="88" t="str">
        <f t="shared" si="21"/>
        <v>Д</v>
      </c>
      <c r="L463" s="88" t="str">
        <f t="shared" si="22"/>
        <v>А</v>
      </c>
      <c r="M463" s="89" t="str">
        <f t="shared" si="23"/>
        <v>Биохимия</v>
      </c>
      <c r="N463" s="89" t="s">
        <v>301</v>
      </c>
    </row>
    <row r="464" spans="1:14" customFormat="1" ht="30" hidden="1" customHeight="1" x14ac:dyDescent="0.25">
      <c r="A464" s="62" t="s">
        <v>1287</v>
      </c>
      <c r="B464" s="84" t="s">
        <v>1285</v>
      </c>
      <c r="C464" s="85" t="s">
        <v>295</v>
      </c>
      <c r="D464" s="85" t="s">
        <v>304</v>
      </c>
      <c r="E464" s="84" t="s">
        <v>311</v>
      </c>
      <c r="F464" s="86" t="s">
        <v>368</v>
      </c>
      <c r="G464" s="87" t="s">
        <v>1286</v>
      </c>
      <c r="H464" s="87" t="s">
        <v>1288</v>
      </c>
      <c r="I464" s="87"/>
      <c r="J464" s="87" t="s">
        <v>1238</v>
      </c>
      <c r="K464" s="88" t="str">
        <f t="shared" si="21"/>
        <v>Д</v>
      </c>
      <c r="L464" s="88" t="str">
        <f t="shared" si="22"/>
        <v>А</v>
      </c>
      <c r="M464" s="89" t="str">
        <f t="shared" si="23"/>
        <v>Биохимия: молекулярные механизмы опухолей [язык реализации –Английский]</v>
      </c>
      <c r="N464" s="89" t="s">
        <v>301</v>
      </c>
    </row>
    <row r="465" spans="1:14" customFormat="1" ht="30" hidden="1" customHeight="1" x14ac:dyDescent="0.25">
      <c r="A465" s="62" t="s">
        <v>1289</v>
      </c>
      <c r="B465" s="84" t="s">
        <v>1290</v>
      </c>
      <c r="C465" s="85" t="s">
        <v>295</v>
      </c>
      <c r="D465" s="85" t="s">
        <v>296</v>
      </c>
      <c r="E465" s="84" t="s">
        <v>311</v>
      </c>
      <c r="F465" s="86" t="s">
        <v>368</v>
      </c>
      <c r="G465" s="87" t="s">
        <v>1291</v>
      </c>
      <c r="H465" s="87" t="s">
        <v>1292</v>
      </c>
      <c r="I465" s="87"/>
      <c r="J465" s="87" t="s">
        <v>1238</v>
      </c>
      <c r="K465" s="88" t="str">
        <f t="shared" si="21"/>
        <v>Д</v>
      </c>
      <c r="L465" s="88" t="str">
        <f t="shared" si="22"/>
        <v>А</v>
      </c>
      <c r="M465" s="89" t="str">
        <f t="shared" si="23"/>
        <v>Физиология</v>
      </c>
      <c r="N465" s="89" t="s">
        <v>301</v>
      </c>
    </row>
    <row r="466" spans="1:14" customFormat="1" ht="30" hidden="1" customHeight="1" x14ac:dyDescent="0.25">
      <c r="A466" s="62" t="s">
        <v>1293</v>
      </c>
      <c r="B466" s="84" t="s">
        <v>1290</v>
      </c>
      <c r="C466" s="85" t="s">
        <v>295</v>
      </c>
      <c r="D466" s="85" t="s">
        <v>296</v>
      </c>
      <c r="E466" s="84" t="s">
        <v>311</v>
      </c>
      <c r="F466" s="86" t="s">
        <v>368</v>
      </c>
      <c r="G466" s="87" t="s">
        <v>1291</v>
      </c>
      <c r="H466" s="87" t="s">
        <v>1294</v>
      </c>
      <c r="I466" s="87"/>
      <c r="J466" s="87" t="s">
        <v>1238</v>
      </c>
      <c r="K466" s="88" t="str">
        <f t="shared" si="21"/>
        <v>Д</v>
      </c>
      <c r="L466" s="88" t="str">
        <f t="shared" si="22"/>
        <v>А</v>
      </c>
      <c r="M466" s="89" t="str">
        <f t="shared" si="23"/>
        <v>Физиология человека</v>
      </c>
      <c r="N466" s="89" t="s">
        <v>301</v>
      </c>
    </row>
    <row r="467" spans="1:14" customFormat="1" ht="30" hidden="1" customHeight="1" x14ac:dyDescent="0.25">
      <c r="A467" s="62" t="s">
        <v>1295</v>
      </c>
      <c r="B467" s="84" t="s">
        <v>376</v>
      </c>
      <c r="C467" s="85" t="s">
        <v>295</v>
      </c>
      <c r="D467" s="85" t="s">
        <v>296</v>
      </c>
      <c r="E467" s="84" t="s">
        <v>311</v>
      </c>
      <c r="F467" s="86" t="s">
        <v>368</v>
      </c>
      <c r="G467" s="87" t="s">
        <v>377</v>
      </c>
      <c r="H467" s="87" t="s">
        <v>377</v>
      </c>
      <c r="I467" s="87"/>
      <c r="J467" s="87" t="s">
        <v>1238</v>
      </c>
      <c r="K467" s="88" t="str">
        <f t="shared" si="21"/>
        <v>Д</v>
      </c>
      <c r="L467" s="88" t="str">
        <f t="shared" si="22"/>
        <v>А</v>
      </c>
      <c r="M467" s="89" t="str">
        <f t="shared" si="23"/>
        <v>Генетика</v>
      </c>
      <c r="N467" s="89" t="s">
        <v>301</v>
      </c>
    </row>
    <row r="468" spans="1:14" customFormat="1" ht="30" hidden="1" customHeight="1" x14ac:dyDescent="0.25">
      <c r="A468" s="62" t="s">
        <v>1296</v>
      </c>
      <c r="B468" s="84" t="s">
        <v>376</v>
      </c>
      <c r="C468" s="85" t="s">
        <v>295</v>
      </c>
      <c r="D468" s="85" t="s">
        <v>304</v>
      </c>
      <c r="E468" s="84" t="s">
        <v>311</v>
      </c>
      <c r="F468" s="86" t="s">
        <v>368</v>
      </c>
      <c r="G468" s="87" t="s">
        <v>377</v>
      </c>
      <c r="H468" s="87" t="s">
        <v>1297</v>
      </c>
      <c r="I468" s="87"/>
      <c r="J468" s="87" t="s">
        <v>1238</v>
      </c>
      <c r="K468" s="88" t="str">
        <f t="shared" si="21"/>
        <v>Д</v>
      </c>
      <c r="L468" s="88" t="str">
        <f t="shared" si="22"/>
        <v>А</v>
      </c>
      <c r="M468" s="89" t="str">
        <f t="shared" si="23"/>
        <v>Генетика: молекулярные основы наследственных болезней человека [язык реализации –Английский]</v>
      </c>
      <c r="N468" s="89" t="s">
        <v>301</v>
      </c>
    </row>
    <row r="469" spans="1:14" customFormat="1" ht="30" hidden="1" customHeight="1" x14ac:dyDescent="0.25">
      <c r="A469" s="62" t="s">
        <v>1298</v>
      </c>
      <c r="B469" s="84" t="s">
        <v>376</v>
      </c>
      <c r="C469" s="85" t="s">
        <v>295</v>
      </c>
      <c r="D469" s="85" t="s">
        <v>296</v>
      </c>
      <c r="E469" s="84" t="s">
        <v>311</v>
      </c>
      <c r="F469" s="86" t="s">
        <v>368</v>
      </c>
      <c r="G469" s="87" t="s">
        <v>377</v>
      </c>
      <c r="H469" s="87" t="s">
        <v>1299</v>
      </c>
      <c r="I469" s="87"/>
      <c r="J469" s="87" t="s">
        <v>1238</v>
      </c>
      <c r="K469" s="88" t="str">
        <f t="shared" si="21"/>
        <v>Д</v>
      </c>
      <c r="L469" s="88" t="str">
        <f t="shared" si="22"/>
        <v>А</v>
      </c>
      <c r="M469" s="89" t="str">
        <f t="shared" si="23"/>
        <v>Генетика человека</v>
      </c>
      <c r="N469" s="89" t="s">
        <v>301</v>
      </c>
    </row>
    <row r="470" spans="1:14" customFormat="1" ht="30" hidden="1" customHeight="1" x14ac:dyDescent="0.25">
      <c r="A470" s="62" t="s">
        <v>1300</v>
      </c>
      <c r="B470" s="84" t="s">
        <v>1301</v>
      </c>
      <c r="C470" s="85" t="s">
        <v>295</v>
      </c>
      <c r="D470" s="85" t="s">
        <v>296</v>
      </c>
      <c r="E470" s="84" t="s">
        <v>311</v>
      </c>
      <c r="F470" s="86" t="s">
        <v>368</v>
      </c>
      <c r="G470" s="87" t="s">
        <v>1302</v>
      </c>
      <c r="H470" s="87" t="s">
        <v>1302</v>
      </c>
      <c r="I470" s="87"/>
      <c r="J470" s="87" t="s">
        <v>1238</v>
      </c>
      <c r="K470" s="88" t="str">
        <f t="shared" si="21"/>
        <v>Д</v>
      </c>
      <c r="L470" s="88" t="str">
        <f t="shared" si="22"/>
        <v>А</v>
      </c>
      <c r="M470" s="89" t="str">
        <f t="shared" si="23"/>
        <v>Математическая биология, биоинформатика</v>
      </c>
      <c r="N470" s="89" t="s">
        <v>301</v>
      </c>
    </row>
    <row r="471" spans="1:14" customFormat="1" ht="30" hidden="1" customHeight="1" x14ac:dyDescent="0.25">
      <c r="A471" s="62" t="s">
        <v>1303</v>
      </c>
      <c r="B471" s="84" t="s">
        <v>1304</v>
      </c>
      <c r="C471" s="85" t="s">
        <v>295</v>
      </c>
      <c r="D471" s="85" t="s">
        <v>296</v>
      </c>
      <c r="E471" s="84" t="s">
        <v>393</v>
      </c>
      <c r="F471" s="86" t="s">
        <v>368</v>
      </c>
      <c r="G471" s="87" t="s">
        <v>1305</v>
      </c>
      <c r="H471" s="87" t="s">
        <v>1305</v>
      </c>
      <c r="I471" s="87"/>
      <c r="J471" s="87" t="s">
        <v>1238</v>
      </c>
      <c r="K471" s="88" t="str">
        <f t="shared" si="21"/>
        <v>Д</v>
      </c>
      <c r="L471" s="88" t="str">
        <f t="shared" si="22"/>
        <v>А</v>
      </c>
      <c r="M471" s="89" t="str">
        <f t="shared" si="23"/>
        <v>Рентгенэндоваскулярная хирургия</v>
      </c>
      <c r="N471" s="89" t="s">
        <v>301</v>
      </c>
    </row>
    <row r="472" spans="1:14" customFormat="1" ht="30" hidden="1" customHeight="1" x14ac:dyDescent="0.25">
      <c r="A472" s="62" t="s">
        <v>1306</v>
      </c>
      <c r="B472" s="84" t="s">
        <v>1307</v>
      </c>
      <c r="C472" s="85" t="s">
        <v>295</v>
      </c>
      <c r="D472" s="85" t="s">
        <v>296</v>
      </c>
      <c r="E472" s="84" t="s">
        <v>393</v>
      </c>
      <c r="F472" s="86" t="s">
        <v>368</v>
      </c>
      <c r="G472" s="87" t="s">
        <v>1308</v>
      </c>
      <c r="H472" s="87" t="s">
        <v>1308</v>
      </c>
      <c r="I472" s="87"/>
      <c r="J472" s="87" t="s">
        <v>1238</v>
      </c>
      <c r="K472" s="88" t="str">
        <f t="shared" si="21"/>
        <v>Д</v>
      </c>
      <c r="L472" s="88" t="str">
        <f t="shared" si="22"/>
        <v>А</v>
      </c>
      <c r="M472" s="89" t="str">
        <f t="shared" si="23"/>
        <v>Нейрохирургия</v>
      </c>
      <c r="N472" s="89" t="s">
        <v>301</v>
      </c>
    </row>
    <row r="473" spans="1:14" customFormat="1" ht="30" hidden="1" customHeight="1" x14ac:dyDescent="0.25">
      <c r="A473" s="62" t="s">
        <v>1309</v>
      </c>
      <c r="B473" s="84" t="s">
        <v>1310</v>
      </c>
      <c r="C473" s="85" t="s">
        <v>295</v>
      </c>
      <c r="D473" s="85" t="s">
        <v>296</v>
      </c>
      <c r="E473" s="84" t="s">
        <v>393</v>
      </c>
      <c r="F473" s="86" t="s">
        <v>368</v>
      </c>
      <c r="G473" s="87" t="s">
        <v>1311</v>
      </c>
      <c r="H473" s="87" t="s">
        <v>1311</v>
      </c>
      <c r="I473" s="87"/>
      <c r="J473" s="87" t="s">
        <v>1238</v>
      </c>
      <c r="K473" s="88" t="str">
        <f t="shared" si="21"/>
        <v>Д</v>
      </c>
      <c r="L473" s="88" t="str">
        <f t="shared" si="22"/>
        <v>А</v>
      </c>
      <c r="M473" s="89" t="str">
        <f t="shared" si="23"/>
        <v>Анестезиология и реаниматология</v>
      </c>
      <c r="N473" s="89" t="s">
        <v>301</v>
      </c>
    </row>
    <row r="474" spans="1:14" customFormat="1" ht="30" hidden="1" customHeight="1" x14ac:dyDescent="0.25">
      <c r="A474" s="62" t="s">
        <v>1312</v>
      </c>
      <c r="B474" s="84" t="s">
        <v>1313</v>
      </c>
      <c r="C474" s="85" t="s">
        <v>295</v>
      </c>
      <c r="D474" s="85" t="s">
        <v>296</v>
      </c>
      <c r="E474" s="84" t="s">
        <v>393</v>
      </c>
      <c r="F474" s="86" t="s">
        <v>368</v>
      </c>
      <c r="G474" s="87" t="s">
        <v>1314</v>
      </c>
      <c r="H474" s="87" t="s">
        <v>1315</v>
      </c>
      <c r="I474" s="87"/>
      <c r="J474" s="87" t="s">
        <v>1238</v>
      </c>
      <c r="K474" s="88" t="str">
        <f t="shared" si="21"/>
        <v>Д</v>
      </c>
      <c r="L474" s="88" t="str">
        <f t="shared" si="22"/>
        <v>А</v>
      </c>
      <c r="M474" s="89" t="str">
        <f t="shared" si="23"/>
        <v>Урология</v>
      </c>
      <c r="N474" s="89" t="s">
        <v>301</v>
      </c>
    </row>
    <row r="475" spans="1:14" ht="30" hidden="1" customHeight="1" x14ac:dyDescent="0.25">
      <c r="A475" s="62" t="s">
        <v>1316</v>
      </c>
      <c r="B475" s="84" t="s">
        <v>1313</v>
      </c>
      <c r="C475" s="85" t="s">
        <v>295</v>
      </c>
      <c r="D475" s="85" t="s">
        <v>304</v>
      </c>
      <c r="E475" s="84" t="s">
        <v>393</v>
      </c>
      <c r="F475" s="86" t="s">
        <v>368</v>
      </c>
      <c r="G475" s="87" t="s">
        <v>1314</v>
      </c>
      <c r="H475" s="87" t="s">
        <v>1317</v>
      </c>
      <c r="I475" s="87"/>
      <c r="J475" s="87" t="s">
        <v>1238</v>
      </c>
      <c r="K475" s="88" t="str">
        <f t="shared" si="21"/>
        <v>Д</v>
      </c>
      <c r="L475" s="88" t="str">
        <f t="shared" si="22"/>
        <v>А</v>
      </c>
      <c r="M475" s="89" t="str">
        <f t="shared" si="23"/>
        <v>Урология: современные направления диагностики и лечения урологических болезней [язык реализации –Английский]</v>
      </c>
      <c r="N475" s="89" t="s">
        <v>301</v>
      </c>
    </row>
    <row r="476" spans="1:14" ht="30" hidden="1" customHeight="1" x14ac:dyDescent="0.25">
      <c r="A476" s="62" t="s">
        <v>1318</v>
      </c>
      <c r="B476" s="84" t="s">
        <v>1313</v>
      </c>
      <c r="C476" s="85" t="s">
        <v>295</v>
      </c>
      <c r="D476" s="85" t="s">
        <v>296</v>
      </c>
      <c r="E476" s="84" t="s">
        <v>393</v>
      </c>
      <c r="F476" s="86" t="s">
        <v>368</v>
      </c>
      <c r="G476" s="87" t="s">
        <v>1314</v>
      </c>
      <c r="H476" s="87" t="s">
        <v>1314</v>
      </c>
      <c r="I476" s="87"/>
      <c r="J476" s="87" t="s">
        <v>1238</v>
      </c>
      <c r="K476" s="88" t="str">
        <f t="shared" si="21"/>
        <v>Д</v>
      </c>
      <c r="L476" s="88" t="str">
        <f t="shared" si="22"/>
        <v>А</v>
      </c>
      <c r="M476" s="89" t="str">
        <f t="shared" si="23"/>
        <v>Урология и андрология</v>
      </c>
      <c r="N476" s="89" t="s">
        <v>301</v>
      </c>
    </row>
    <row r="477" spans="1:14" ht="30" hidden="1" customHeight="1" x14ac:dyDescent="0.25">
      <c r="A477" s="62" t="s">
        <v>1319</v>
      </c>
      <c r="B477" s="84" t="s">
        <v>1320</v>
      </c>
      <c r="C477" s="85" t="s">
        <v>295</v>
      </c>
      <c r="D477" s="85" t="s">
        <v>296</v>
      </c>
      <c r="E477" s="84" t="s">
        <v>393</v>
      </c>
      <c r="F477" s="86" t="s">
        <v>368</v>
      </c>
      <c r="G477" s="87" t="s">
        <v>1321</v>
      </c>
      <c r="H477" s="87" t="s">
        <v>1321</v>
      </c>
      <c r="I477" s="87"/>
      <c r="J477" s="87" t="s">
        <v>1238</v>
      </c>
      <c r="K477" s="88" t="str">
        <f t="shared" si="21"/>
        <v>Д</v>
      </c>
      <c r="L477" s="88" t="str">
        <f t="shared" si="22"/>
        <v>А</v>
      </c>
      <c r="M477" s="89" t="str">
        <f t="shared" si="23"/>
        <v>Сердечно-сосудистая хирургия</v>
      </c>
      <c r="N477" s="89" t="s">
        <v>301</v>
      </c>
    </row>
    <row r="478" spans="1:14" ht="30" hidden="1" customHeight="1" x14ac:dyDescent="0.25">
      <c r="A478" s="62" t="s">
        <v>1322</v>
      </c>
      <c r="B478" s="84" t="s">
        <v>1323</v>
      </c>
      <c r="C478" s="85" t="s">
        <v>295</v>
      </c>
      <c r="D478" s="85" t="s">
        <v>296</v>
      </c>
      <c r="E478" s="84" t="s">
        <v>393</v>
      </c>
      <c r="F478" s="86" t="s">
        <v>368</v>
      </c>
      <c r="G478" s="87" t="s">
        <v>1324</v>
      </c>
      <c r="H478" s="87" t="s">
        <v>1324</v>
      </c>
      <c r="I478" s="87"/>
      <c r="J478" s="87" t="s">
        <v>1238</v>
      </c>
      <c r="K478" s="88" t="str">
        <f t="shared" si="21"/>
        <v>Д</v>
      </c>
      <c r="L478" s="88" t="str">
        <f t="shared" si="22"/>
        <v>А</v>
      </c>
      <c r="M478" s="89" t="str">
        <f t="shared" si="23"/>
        <v>Пластическая хирургия</v>
      </c>
      <c r="N478" s="89" t="s">
        <v>301</v>
      </c>
    </row>
    <row r="479" spans="1:14" ht="30" hidden="1" customHeight="1" x14ac:dyDescent="0.25">
      <c r="A479" s="62" t="s">
        <v>1325</v>
      </c>
      <c r="B479" s="84" t="s">
        <v>1326</v>
      </c>
      <c r="C479" s="85" t="s">
        <v>295</v>
      </c>
      <c r="D479" s="85" t="s">
        <v>296</v>
      </c>
      <c r="E479" s="84" t="s">
        <v>393</v>
      </c>
      <c r="F479" s="86" t="s">
        <v>368</v>
      </c>
      <c r="G479" s="87" t="s">
        <v>1327</v>
      </c>
      <c r="H479" s="87" t="s">
        <v>1328</v>
      </c>
      <c r="I479" s="87"/>
      <c r="J479" s="87" t="s">
        <v>1238</v>
      </c>
      <c r="K479" s="88" t="str">
        <f t="shared" si="21"/>
        <v>Д</v>
      </c>
      <c r="L479" s="88" t="str">
        <f t="shared" si="22"/>
        <v>А</v>
      </c>
      <c r="M479" s="89" t="str">
        <f t="shared" si="23"/>
        <v>Психиатрия</v>
      </c>
      <c r="N479" s="89" t="s">
        <v>301</v>
      </c>
    </row>
    <row r="480" spans="1:14" ht="30" hidden="1" customHeight="1" x14ac:dyDescent="0.25">
      <c r="A480" s="62" t="s">
        <v>1329</v>
      </c>
      <c r="B480" s="84" t="s">
        <v>1326</v>
      </c>
      <c r="C480" s="85" t="s">
        <v>295</v>
      </c>
      <c r="D480" s="85" t="s">
        <v>296</v>
      </c>
      <c r="E480" s="84" t="s">
        <v>393</v>
      </c>
      <c r="F480" s="86" t="s">
        <v>368</v>
      </c>
      <c r="G480" s="87" t="s">
        <v>1327</v>
      </c>
      <c r="H480" s="87" t="s">
        <v>1330</v>
      </c>
      <c r="I480" s="87"/>
      <c r="J480" s="87" t="s">
        <v>1238</v>
      </c>
      <c r="K480" s="88" t="str">
        <f t="shared" si="21"/>
        <v>Д</v>
      </c>
      <c r="L480" s="88" t="str">
        <f t="shared" si="22"/>
        <v>А</v>
      </c>
      <c r="M480" s="89" t="str">
        <f t="shared" si="23"/>
        <v>Наркология</v>
      </c>
      <c r="N480" s="89" t="s">
        <v>301</v>
      </c>
    </row>
    <row r="481" spans="1:14" ht="30" hidden="1" customHeight="1" x14ac:dyDescent="0.25">
      <c r="A481" s="62" t="s">
        <v>1331</v>
      </c>
      <c r="B481" s="84" t="s">
        <v>1326</v>
      </c>
      <c r="C481" s="85" t="s">
        <v>295</v>
      </c>
      <c r="D481" s="85" t="s">
        <v>296</v>
      </c>
      <c r="E481" s="84" t="s">
        <v>393</v>
      </c>
      <c r="F481" s="86" t="s">
        <v>368</v>
      </c>
      <c r="G481" s="87" t="s">
        <v>1327</v>
      </c>
      <c r="H481" s="87" t="s">
        <v>1327</v>
      </c>
      <c r="I481" s="87"/>
      <c r="J481" s="87" t="s">
        <v>1238</v>
      </c>
      <c r="K481" s="88" t="str">
        <f t="shared" si="21"/>
        <v>Д</v>
      </c>
      <c r="L481" s="88" t="str">
        <f t="shared" si="22"/>
        <v>А</v>
      </c>
      <c r="M481" s="89" t="str">
        <f t="shared" si="23"/>
        <v>Психиатрия и наркология</v>
      </c>
      <c r="N481" s="89" t="s">
        <v>301</v>
      </c>
    </row>
    <row r="482" spans="1:14" ht="30" hidden="1" customHeight="1" x14ac:dyDescent="0.25">
      <c r="A482" s="62" t="s">
        <v>1332</v>
      </c>
      <c r="B482" s="84" t="s">
        <v>1333</v>
      </c>
      <c r="C482" s="85" t="s">
        <v>295</v>
      </c>
      <c r="D482" s="85" t="s">
        <v>296</v>
      </c>
      <c r="E482" s="84" t="s">
        <v>393</v>
      </c>
      <c r="F482" s="86" t="s">
        <v>368</v>
      </c>
      <c r="G482" s="87" t="s">
        <v>1334</v>
      </c>
      <c r="H482" s="87" t="s">
        <v>1334</v>
      </c>
      <c r="I482" s="87"/>
      <c r="J482" s="87" t="s">
        <v>1238</v>
      </c>
      <c r="K482" s="88" t="str">
        <f t="shared" si="21"/>
        <v>Д</v>
      </c>
      <c r="L482" s="88" t="str">
        <f t="shared" si="22"/>
        <v>А</v>
      </c>
      <c r="M482" s="89" t="str">
        <f t="shared" si="23"/>
        <v>Внутренние болезни</v>
      </c>
      <c r="N482" s="89" t="s">
        <v>301</v>
      </c>
    </row>
    <row r="483" spans="1:14" ht="30" hidden="1" customHeight="1" x14ac:dyDescent="0.25">
      <c r="A483" s="62" t="s">
        <v>1335</v>
      </c>
      <c r="B483" s="84" t="s">
        <v>1333</v>
      </c>
      <c r="C483" s="85" t="s">
        <v>295</v>
      </c>
      <c r="D483" s="85" t="s">
        <v>304</v>
      </c>
      <c r="E483" s="84" t="s">
        <v>393</v>
      </c>
      <c r="F483" s="86" t="s">
        <v>368</v>
      </c>
      <c r="G483" s="87" t="s">
        <v>1334</v>
      </c>
      <c r="H483" s="87" t="s">
        <v>1336</v>
      </c>
      <c r="I483" s="87"/>
      <c r="J483" s="87" t="s">
        <v>1238</v>
      </c>
      <c r="K483" s="88" t="str">
        <f t="shared" si="21"/>
        <v>Д</v>
      </c>
      <c r="L483" s="88" t="str">
        <f t="shared" si="22"/>
        <v>А</v>
      </c>
      <c r="M483" s="89" t="str">
        <f t="shared" si="23"/>
        <v>Внутренние болезни: сердечная недостаточность [язык реализации –Английский]</v>
      </c>
      <c r="N483" s="89" t="s">
        <v>301</v>
      </c>
    </row>
    <row r="484" spans="1:14" customFormat="1" ht="30" hidden="1" customHeight="1" x14ac:dyDescent="0.25">
      <c r="A484" s="62" t="s">
        <v>1337</v>
      </c>
      <c r="B484" s="84" t="s">
        <v>1338</v>
      </c>
      <c r="C484" s="85" t="s">
        <v>295</v>
      </c>
      <c r="D484" s="85" t="s">
        <v>296</v>
      </c>
      <c r="E484" s="84" t="s">
        <v>393</v>
      </c>
      <c r="F484" s="86" t="s">
        <v>368</v>
      </c>
      <c r="G484" s="87" t="s">
        <v>1339</v>
      </c>
      <c r="H484" s="87" t="s">
        <v>1339</v>
      </c>
      <c r="I484" s="87"/>
      <c r="J484" s="87" t="s">
        <v>1238</v>
      </c>
      <c r="K484" s="88" t="str">
        <f t="shared" si="21"/>
        <v>Д</v>
      </c>
      <c r="L484" s="88" t="str">
        <f t="shared" si="22"/>
        <v>А</v>
      </c>
      <c r="M484" s="89" t="str">
        <f t="shared" si="23"/>
        <v>Челюстно-лицевая хирургия</v>
      </c>
      <c r="N484" s="89" t="s">
        <v>301</v>
      </c>
    </row>
    <row r="485" spans="1:14" customFormat="1" ht="30" hidden="1" customHeight="1" x14ac:dyDescent="0.25">
      <c r="A485" s="62" t="s">
        <v>1340</v>
      </c>
      <c r="B485" s="84" t="s">
        <v>1341</v>
      </c>
      <c r="C485" s="85" t="s">
        <v>295</v>
      </c>
      <c r="D485" s="85" t="s">
        <v>296</v>
      </c>
      <c r="E485" s="84" t="s">
        <v>393</v>
      </c>
      <c r="F485" s="86" t="s">
        <v>368</v>
      </c>
      <c r="G485" s="87" t="s">
        <v>1342</v>
      </c>
      <c r="H485" s="87" t="s">
        <v>1342</v>
      </c>
      <c r="I485" s="87"/>
      <c r="J485" s="87" t="s">
        <v>1238</v>
      </c>
      <c r="K485" s="88" t="str">
        <f t="shared" si="21"/>
        <v>Д</v>
      </c>
      <c r="L485" s="88" t="str">
        <f t="shared" si="22"/>
        <v>А</v>
      </c>
      <c r="M485" s="89" t="str">
        <f t="shared" si="23"/>
        <v>Кардиология</v>
      </c>
      <c r="N485" s="89" t="s">
        <v>301</v>
      </c>
    </row>
    <row r="486" spans="1:14" customFormat="1" ht="30" hidden="1" customHeight="1" x14ac:dyDescent="0.25">
      <c r="A486" s="62" t="s">
        <v>1343</v>
      </c>
      <c r="B486" s="84" t="s">
        <v>1344</v>
      </c>
      <c r="C486" s="85" t="s">
        <v>295</v>
      </c>
      <c r="D486" s="85" t="s">
        <v>296</v>
      </c>
      <c r="E486" s="84" t="s">
        <v>393</v>
      </c>
      <c r="F486" s="86" t="s">
        <v>368</v>
      </c>
      <c r="G486" s="87" t="s">
        <v>1345</v>
      </c>
      <c r="H486" s="87" t="s">
        <v>1345</v>
      </c>
      <c r="I486" s="87"/>
      <c r="J486" s="87" t="s">
        <v>1238</v>
      </c>
      <c r="K486" s="88" t="str">
        <f t="shared" si="21"/>
        <v>Д</v>
      </c>
      <c r="L486" s="88" t="str">
        <f t="shared" si="22"/>
        <v>А</v>
      </c>
      <c r="M486" s="89" t="str">
        <f t="shared" si="23"/>
        <v>Педиатрия</v>
      </c>
      <c r="N486" s="89" t="s">
        <v>301</v>
      </c>
    </row>
    <row r="487" spans="1:14" customFormat="1" ht="30" hidden="1" customHeight="1" x14ac:dyDescent="0.25">
      <c r="A487" s="62" t="s">
        <v>1346</v>
      </c>
      <c r="B487" s="84" t="s">
        <v>1347</v>
      </c>
      <c r="C487" s="85" t="s">
        <v>295</v>
      </c>
      <c r="D487" s="85" t="s">
        <v>296</v>
      </c>
      <c r="E487" s="84" t="s">
        <v>393</v>
      </c>
      <c r="F487" s="86" t="s">
        <v>368</v>
      </c>
      <c r="G487" s="87" t="s">
        <v>1348</v>
      </c>
      <c r="H487" s="87" t="s">
        <v>1348</v>
      </c>
      <c r="I487" s="87"/>
      <c r="J487" s="87" t="s">
        <v>1238</v>
      </c>
      <c r="K487" s="88" t="str">
        <f t="shared" si="21"/>
        <v>Д</v>
      </c>
      <c r="L487" s="88" t="str">
        <f t="shared" si="22"/>
        <v>А</v>
      </c>
      <c r="M487" s="89" t="str">
        <f t="shared" si="23"/>
        <v>Инфекционные болезни</v>
      </c>
      <c r="N487" s="89" t="s">
        <v>301</v>
      </c>
    </row>
    <row r="488" spans="1:14" ht="30" hidden="1" customHeight="1" x14ac:dyDescent="0.25">
      <c r="A488" s="62" t="s">
        <v>1349</v>
      </c>
      <c r="B488" s="84" t="s">
        <v>1347</v>
      </c>
      <c r="C488" s="85" t="s">
        <v>295</v>
      </c>
      <c r="D488" s="85" t="s">
        <v>304</v>
      </c>
      <c r="E488" s="84" t="s">
        <v>393</v>
      </c>
      <c r="F488" s="86" t="s">
        <v>368</v>
      </c>
      <c r="G488" s="87" t="s">
        <v>1348</v>
      </c>
      <c r="H488" s="87" t="s">
        <v>1350</v>
      </c>
      <c r="I488" s="87"/>
      <c r="J488" s="87" t="s">
        <v>1238</v>
      </c>
      <c r="K488" s="88" t="str">
        <f t="shared" si="21"/>
        <v>Д</v>
      </c>
      <c r="L488" s="88" t="str">
        <f t="shared" si="22"/>
        <v>А</v>
      </c>
      <c r="M488" s="89" t="str">
        <f t="shared" si="23"/>
        <v>Социально-значимые инфекционные болезни [язык реализации –Английский]</v>
      </c>
      <c r="N488" s="89" t="s">
        <v>301</v>
      </c>
    </row>
    <row r="489" spans="1:14" ht="30" hidden="1" customHeight="1" x14ac:dyDescent="0.25">
      <c r="A489" s="62" t="s">
        <v>1351</v>
      </c>
      <c r="B489" s="84" t="s">
        <v>1352</v>
      </c>
      <c r="C489" s="85" t="s">
        <v>295</v>
      </c>
      <c r="D489" s="85" t="s">
        <v>296</v>
      </c>
      <c r="E489" s="84" t="s">
        <v>393</v>
      </c>
      <c r="F489" s="86" t="s">
        <v>368</v>
      </c>
      <c r="G489" s="87" t="s">
        <v>1353</v>
      </c>
      <c r="H489" s="87" t="s">
        <v>1354</v>
      </c>
      <c r="I489" s="87"/>
      <c r="J489" s="87" t="s">
        <v>1238</v>
      </c>
      <c r="K489" s="88" t="str">
        <f t="shared" si="21"/>
        <v>Д</v>
      </c>
      <c r="L489" s="88" t="str">
        <f t="shared" si="22"/>
        <v>А</v>
      </c>
      <c r="M489" s="89" t="str">
        <f t="shared" si="23"/>
        <v>Кожные и венерические болезни</v>
      </c>
      <c r="N489" s="89" t="s">
        <v>301</v>
      </c>
    </row>
    <row r="490" spans="1:14" ht="30" hidden="1" customHeight="1" x14ac:dyDescent="0.25">
      <c r="A490" s="62" t="s">
        <v>1355</v>
      </c>
      <c r="B490" s="84" t="s">
        <v>1352</v>
      </c>
      <c r="C490" s="85" t="s">
        <v>295</v>
      </c>
      <c r="D490" s="85" t="s">
        <v>296</v>
      </c>
      <c r="E490" s="84" t="s">
        <v>393</v>
      </c>
      <c r="F490" s="86" t="s">
        <v>368</v>
      </c>
      <c r="G490" s="87" t="s">
        <v>1353</v>
      </c>
      <c r="H490" s="87" t="s">
        <v>1353</v>
      </c>
      <c r="I490" s="87"/>
      <c r="J490" s="87" t="s">
        <v>1238</v>
      </c>
      <c r="K490" s="88" t="str">
        <f t="shared" si="21"/>
        <v>Д</v>
      </c>
      <c r="L490" s="88" t="str">
        <f t="shared" si="22"/>
        <v>А</v>
      </c>
      <c r="M490" s="89" t="str">
        <f t="shared" si="23"/>
        <v>Дерматовенерология</v>
      </c>
      <c r="N490" s="89" t="s">
        <v>301</v>
      </c>
    </row>
    <row r="491" spans="1:14" ht="30" hidden="1" customHeight="1" x14ac:dyDescent="0.25">
      <c r="A491" s="62" t="s">
        <v>1356</v>
      </c>
      <c r="B491" s="84" t="s">
        <v>1357</v>
      </c>
      <c r="C491" s="85" t="s">
        <v>295</v>
      </c>
      <c r="D491" s="85" t="s">
        <v>296</v>
      </c>
      <c r="E491" s="84" t="s">
        <v>393</v>
      </c>
      <c r="F491" s="86" t="s">
        <v>368</v>
      </c>
      <c r="G491" s="87" t="s">
        <v>1358</v>
      </c>
      <c r="H491" s="87" t="s">
        <v>1359</v>
      </c>
      <c r="I491" s="87"/>
      <c r="J491" s="87" t="s">
        <v>1238</v>
      </c>
      <c r="K491" s="88" t="str">
        <f t="shared" si="21"/>
        <v>Д</v>
      </c>
      <c r="L491" s="88" t="str">
        <f t="shared" si="22"/>
        <v>А</v>
      </c>
      <c r="M491" s="89" t="str">
        <f t="shared" si="23"/>
        <v>Нервные болезни</v>
      </c>
      <c r="N491" s="89" t="s">
        <v>301</v>
      </c>
    </row>
    <row r="492" spans="1:14" customFormat="1" ht="30" hidden="1" customHeight="1" x14ac:dyDescent="0.25">
      <c r="A492" s="62" t="s">
        <v>1360</v>
      </c>
      <c r="B492" s="84" t="s">
        <v>1357</v>
      </c>
      <c r="C492" s="85" t="s">
        <v>295</v>
      </c>
      <c r="D492" s="85" t="s">
        <v>296</v>
      </c>
      <c r="E492" s="84" t="s">
        <v>393</v>
      </c>
      <c r="F492" s="86" t="s">
        <v>368</v>
      </c>
      <c r="G492" s="87" t="s">
        <v>1358</v>
      </c>
      <c r="H492" s="87" t="s">
        <v>1358</v>
      </c>
      <c r="I492" s="87"/>
      <c r="J492" s="87" t="s">
        <v>1238</v>
      </c>
      <c r="K492" s="88" t="str">
        <f t="shared" si="21"/>
        <v>Д</v>
      </c>
      <c r="L492" s="88" t="str">
        <f t="shared" si="22"/>
        <v>А</v>
      </c>
      <c r="M492" s="89" t="str">
        <f t="shared" si="23"/>
        <v>Неврология</v>
      </c>
      <c r="N492" s="89" t="s">
        <v>301</v>
      </c>
    </row>
    <row r="493" spans="1:14" ht="30" hidden="1" customHeight="1" x14ac:dyDescent="0.25">
      <c r="A493" s="62" t="s">
        <v>1361</v>
      </c>
      <c r="B493" s="84" t="s">
        <v>1362</v>
      </c>
      <c r="C493" s="85" t="s">
        <v>295</v>
      </c>
      <c r="D493" s="85" t="s">
        <v>296</v>
      </c>
      <c r="E493" s="84" t="s">
        <v>393</v>
      </c>
      <c r="F493" s="86" t="s">
        <v>368</v>
      </c>
      <c r="G493" s="87" t="s">
        <v>1363</v>
      </c>
      <c r="H493" s="87" t="s">
        <v>1364</v>
      </c>
      <c r="I493" s="87"/>
      <c r="J493" s="87" t="s">
        <v>1238</v>
      </c>
      <c r="K493" s="88" t="str">
        <f t="shared" si="21"/>
        <v>Д</v>
      </c>
      <c r="L493" s="88" t="str">
        <f t="shared" si="22"/>
        <v>А</v>
      </c>
      <c r="M493" s="89" t="str">
        <f t="shared" si="23"/>
        <v>Болезни уха, горла и носа</v>
      </c>
      <c r="N493" s="89" t="s">
        <v>301</v>
      </c>
    </row>
    <row r="494" spans="1:14" ht="30" hidden="1" customHeight="1" x14ac:dyDescent="0.25">
      <c r="A494" s="62" t="s">
        <v>1365</v>
      </c>
      <c r="B494" s="84" t="s">
        <v>1366</v>
      </c>
      <c r="C494" s="85" t="s">
        <v>295</v>
      </c>
      <c r="D494" s="85" t="s">
        <v>296</v>
      </c>
      <c r="E494" s="84" t="s">
        <v>393</v>
      </c>
      <c r="F494" s="86" t="s">
        <v>368</v>
      </c>
      <c r="G494" s="87" t="s">
        <v>1367</v>
      </c>
      <c r="H494" s="87" t="s">
        <v>1367</v>
      </c>
      <c r="I494" s="87"/>
      <c r="J494" s="87" t="s">
        <v>1238</v>
      </c>
      <c r="K494" s="88" t="str">
        <f t="shared" si="21"/>
        <v>Д</v>
      </c>
      <c r="L494" s="88" t="str">
        <f t="shared" si="22"/>
        <v>А</v>
      </c>
      <c r="M494" s="89" t="str">
        <f t="shared" si="23"/>
        <v>Нефрология</v>
      </c>
      <c r="N494" s="89" t="s">
        <v>301</v>
      </c>
    </row>
    <row r="495" spans="1:14" customFormat="1" ht="30" hidden="1" customHeight="1" x14ac:dyDescent="0.25">
      <c r="A495" s="62" t="s">
        <v>1368</v>
      </c>
      <c r="B495" s="84" t="s">
        <v>1369</v>
      </c>
      <c r="C495" s="85" t="s">
        <v>295</v>
      </c>
      <c r="D495" s="85" t="s">
        <v>296</v>
      </c>
      <c r="E495" s="84" t="s">
        <v>393</v>
      </c>
      <c r="F495" s="86" t="s">
        <v>368</v>
      </c>
      <c r="G495" s="87" t="s">
        <v>1370</v>
      </c>
      <c r="H495" s="87" t="s">
        <v>1370</v>
      </c>
      <c r="I495" s="87"/>
      <c r="J495" s="87" t="s">
        <v>1238</v>
      </c>
      <c r="K495" s="88" t="str">
        <f t="shared" si="21"/>
        <v>Д</v>
      </c>
      <c r="L495" s="88" t="str">
        <f t="shared" si="22"/>
        <v>А</v>
      </c>
      <c r="M495" s="89" t="str">
        <f t="shared" si="23"/>
        <v>Восстановительная медицина, спортивная медицина, лечебная физкультура, курортология и физиотерапия</v>
      </c>
      <c r="N495" s="89" t="s">
        <v>301</v>
      </c>
    </row>
    <row r="496" spans="1:14" customFormat="1" ht="30" hidden="1" customHeight="1" x14ac:dyDescent="0.25">
      <c r="A496" s="62" t="s">
        <v>1371</v>
      </c>
      <c r="B496" s="84" t="s">
        <v>1372</v>
      </c>
      <c r="C496" s="85" t="s">
        <v>295</v>
      </c>
      <c r="D496" s="85" t="s">
        <v>296</v>
      </c>
      <c r="E496" s="84" t="s">
        <v>393</v>
      </c>
      <c r="F496" s="86" t="s">
        <v>368</v>
      </c>
      <c r="G496" s="87" t="s">
        <v>1373</v>
      </c>
      <c r="H496" s="87" t="s">
        <v>1373</v>
      </c>
      <c r="I496" s="87"/>
      <c r="J496" s="87" t="s">
        <v>1238</v>
      </c>
      <c r="K496" s="88" t="str">
        <f t="shared" si="21"/>
        <v>Д</v>
      </c>
      <c r="L496" s="88" t="str">
        <f t="shared" si="22"/>
        <v>А</v>
      </c>
      <c r="M496" s="89" t="str">
        <f t="shared" si="23"/>
        <v>Акушерство и гинекология</v>
      </c>
      <c r="N496" s="89" t="s">
        <v>301</v>
      </c>
    </row>
    <row r="497" spans="1:14" customFormat="1" ht="30" hidden="1" customHeight="1" x14ac:dyDescent="0.25">
      <c r="A497" s="62" t="s">
        <v>1374</v>
      </c>
      <c r="B497" s="84" t="s">
        <v>1375</v>
      </c>
      <c r="C497" s="85" t="s">
        <v>295</v>
      </c>
      <c r="D497" s="85" t="s">
        <v>296</v>
      </c>
      <c r="E497" s="84" t="s">
        <v>393</v>
      </c>
      <c r="F497" s="86" t="s">
        <v>368</v>
      </c>
      <c r="G497" s="87" t="s">
        <v>1376</v>
      </c>
      <c r="H497" s="87" t="s">
        <v>1377</v>
      </c>
      <c r="I497" s="87"/>
      <c r="J497" s="87" t="s">
        <v>1238</v>
      </c>
      <c r="K497" s="88" t="str">
        <f t="shared" si="21"/>
        <v>Д</v>
      </c>
      <c r="L497" s="88" t="str">
        <f t="shared" si="22"/>
        <v>А</v>
      </c>
      <c r="M497" s="89" t="str">
        <f t="shared" si="23"/>
        <v>Глазные болезни</v>
      </c>
      <c r="N497" s="89" t="s">
        <v>301</v>
      </c>
    </row>
    <row r="498" spans="1:14" customFormat="1" ht="30" hidden="1" customHeight="1" x14ac:dyDescent="0.25">
      <c r="A498" s="62" t="s">
        <v>1378</v>
      </c>
      <c r="B498" s="84" t="s">
        <v>1375</v>
      </c>
      <c r="C498" s="85" t="s">
        <v>295</v>
      </c>
      <c r="D498" s="85" t="s">
        <v>296</v>
      </c>
      <c r="E498" s="84" t="s">
        <v>393</v>
      </c>
      <c r="F498" s="86" t="s">
        <v>368</v>
      </c>
      <c r="G498" s="87" t="s">
        <v>1376</v>
      </c>
      <c r="H498" s="87" t="s">
        <v>1376</v>
      </c>
      <c r="I498" s="87"/>
      <c r="J498" s="87" t="s">
        <v>1238</v>
      </c>
      <c r="K498" s="88" t="str">
        <f t="shared" si="21"/>
        <v>Д</v>
      </c>
      <c r="L498" s="88" t="str">
        <f t="shared" si="22"/>
        <v>А</v>
      </c>
      <c r="M498" s="89" t="str">
        <f t="shared" si="23"/>
        <v>Офтальмология</v>
      </c>
      <c r="N498" s="89" t="s">
        <v>301</v>
      </c>
    </row>
    <row r="499" spans="1:14" customFormat="1" ht="30" hidden="1" customHeight="1" x14ac:dyDescent="0.25">
      <c r="A499" s="62" t="s">
        <v>1379</v>
      </c>
      <c r="B499" s="84" t="s">
        <v>1380</v>
      </c>
      <c r="C499" s="85" t="s">
        <v>295</v>
      </c>
      <c r="D499" s="85" t="s">
        <v>296</v>
      </c>
      <c r="E499" s="84" t="s">
        <v>393</v>
      </c>
      <c r="F499" s="86" t="s">
        <v>368</v>
      </c>
      <c r="G499" s="87" t="s">
        <v>1381</v>
      </c>
      <c r="H499" s="87" t="s">
        <v>1382</v>
      </c>
      <c r="I499" s="87"/>
      <c r="J499" s="87" t="s">
        <v>1238</v>
      </c>
      <c r="K499" s="88" t="str">
        <f t="shared" si="21"/>
        <v>Д</v>
      </c>
      <c r="L499" s="88" t="str">
        <f t="shared" si="22"/>
        <v>А</v>
      </c>
      <c r="M499" s="89" t="str">
        <f t="shared" si="23"/>
        <v>Онкология</v>
      </c>
      <c r="N499" s="89" t="s">
        <v>301</v>
      </c>
    </row>
    <row r="500" spans="1:14" customFormat="1" ht="30" hidden="1" customHeight="1" x14ac:dyDescent="0.25">
      <c r="A500" s="62" t="s">
        <v>1383</v>
      </c>
      <c r="B500" s="84" t="s">
        <v>1380</v>
      </c>
      <c r="C500" s="85" t="s">
        <v>295</v>
      </c>
      <c r="D500" s="85" t="s">
        <v>296</v>
      </c>
      <c r="E500" s="84" t="s">
        <v>393</v>
      </c>
      <c r="F500" s="86" t="s">
        <v>368</v>
      </c>
      <c r="G500" s="87" t="s">
        <v>1381</v>
      </c>
      <c r="H500" s="87" t="s">
        <v>1381</v>
      </c>
      <c r="I500" s="87"/>
      <c r="J500" s="87" t="s">
        <v>1238</v>
      </c>
      <c r="K500" s="88" t="str">
        <f t="shared" si="21"/>
        <v>Д</v>
      </c>
      <c r="L500" s="88" t="str">
        <f t="shared" si="22"/>
        <v>А</v>
      </c>
      <c r="M500" s="89" t="str">
        <f t="shared" si="23"/>
        <v>Онкология, лучевая терапия</v>
      </c>
      <c r="N500" s="89" t="s">
        <v>301</v>
      </c>
    </row>
    <row r="501" spans="1:14" customFormat="1" ht="30" hidden="1" customHeight="1" x14ac:dyDescent="0.25">
      <c r="A501" s="62" t="s">
        <v>1384</v>
      </c>
      <c r="B501" s="84" t="s">
        <v>1385</v>
      </c>
      <c r="C501" s="85" t="s">
        <v>295</v>
      </c>
      <c r="D501" s="85" t="s">
        <v>296</v>
      </c>
      <c r="E501" s="84" t="s">
        <v>393</v>
      </c>
      <c r="F501" s="86" t="s">
        <v>368</v>
      </c>
      <c r="G501" s="87" t="s">
        <v>1249</v>
      </c>
      <c r="H501" s="87" t="s">
        <v>1249</v>
      </c>
      <c r="I501" s="87"/>
      <c r="J501" s="87" t="s">
        <v>1238</v>
      </c>
      <c r="K501" s="88" t="str">
        <f t="shared" si="21"/>
        <v>Д</v>
      </c>
      <c r="L501" s="88" t="str">
        <f t="shared" si="22"/>
        <v>А</v>
      </c>
      <c r="M501" s="89" t="str">
        <f t="shared" si="23"/>
        <v>Стоматология</v>
      </c>
      <c r="N501" s="89" t="s">
        <v>301</v>
      </c>
    </row>
    <row r="502" spans="1:14" customFormat="1" ht="30" hidden="1" customHeight="1" x14ac:dyDescent="0.25">
      <c r="A502" s="62" t="s">
        <v>1386</v>
      </c>
      <c r="B502" s="84" t="s">
        <v>1387</v>
      </c>
      <c r="C502" s="85" t="s">
        <v>295</v>
      </c>
      <c r="D502" s="85" t="s">
        <v>296</v>
      </c>
      <c r="E502" s="84" t="s">
        <v>393</v>
      </c>
      <c r="F502" s="86" t="s">
        <v>368</v>
      </c>
      <c r="G502" s="87" t="s">
        <v>1388</v>
      </c>
      <c r="H502" s="87" t="s">
        <v>1388</v>
      </c>
      <c r="I502" s="87"/>
      <c r="J502" s="87" t="s">
        <v>1238</v>
      </c>
      <c r="K502" s="88" t="str">
        <f t="shared" si="21"/>
        <v>Д</v>
      </c>
      <c r="L502" s="88" t="str">
        <f t="shared" si="22"/>
        <v>А</v>
      </c>
      <c r="M502" s="89" t="str">
        <f t="shared" si="23"/>
        <v>Травматология и ортопедия</v>
      </c>
      <c r="N502" s="89" t="s">
        <v>301</v>
      </c>
    </row>
    <row r="503" spans="1:14" customFormat="1" ht="30" hidden="1" customHeight="1" x14ac:dyDescent="0.25">
      <c r="A503" s="62" t="s">
        <v>1389</v>
      </c>
      <c r="B503" s="84" t="s">
        <v>1390</v>
      </c>
      <c r="C503" s="85" t="s">
        <v>295</v>
      </c>
      <c r="D503" s="85" t="s">
        <v>296</v>
      </c>
      <c r="E503" s="84" t="s">
        <v>393</v>
      </c>
      <c r="F503" s="86" t="s">
        <v>368</v>
      </c>
      <c r="G503" s="87" t="s">
        <v>1391</v>
      </c>
      <c r="H503" s="87" t="s">
        <v>1391</v>
      </c>
      <c r="I503" s="87"/>
      <c r="J503" s="87" t="s">
        <v>1238</v>
      </c>
      <c r="K503" s="88" t="str">
        <f t="shared" si="21"/>
        <v>Д</v>
      </c>
      <c r="L503" s="88" t="str">
        <f t="shared" si="22"/>
        <v>А</v>
      </c>
      <c r="M503" s="89" t="str">
        <f t="shared" si="23"/>
        <v>Хирургия</v>
      </c>
      <c r="N503" s="89" t="s">
        <v>301</v>
      </c>
    </row>
    <row r="504" spans="1:14" customFormat="1" ht="30" hidden="1" customHeight="1" x14ac:dyDescent="0.25">
      <c r="A504" s="62" t="s">
        <v>1392</v>
      </c>
      <c r="B504" s="84" t="s">
        <v>1393</v>
      </c>
      <c r="C504" s="85" t="s">
        <v>295</v>
      </c>
      <c r="D504" s="85" t="s">
        <v>296</v>
      </c>
      <c r="E504" s="84" t="s">
        <v>393</v>
      </c>
      <c r="F504" s="86" t="s">
        <v>368</v>
      </c>
      <c r="G504" s="87" t="s">
        <v>1394</v>
      </c>
      <c r="H504" s="87" t="s">
        <v>1394</v>
      </c>
      <c r="I504" s="87"/>
      <c r="J504" s="87" t="s">
        <v>1238</v>
      </c>
      <c r="K504" s="88" t="str">
        <f t="shared" si="21"/>
        <v>Д</v>
      </c>
      <c r="L504" s="88" t="str">
        <f t="shared" si="22"/>
        <v>А</v>
      </c>
      <c r="M504" s="89" t="str">
        <f t="shared" si="23"/>
        <v>Общественное здоровье, организация и социология здравоохранения, медико-социальная экспертиза</v>
      </c>
      <c r="N504" s="89" t="s">
        <v>301</v>
      </c>
    </row>
    <row r="505" spans="1:14" customFormat="1" ht="30" hidden="1" customHeight="1" x14ac:dyDescent="0.25">
      <c r="A505" s="62" t="s">
        <v>1395</v>
      </c>
      <c r="B505" s="84" t="s">
        <v>1396</v>
      </c>
      <c r="C505" s="85" t="s">
        <v>295</v>
      </c>
      <c r="D505" s="85" t="s">
        <v>296</v>
      </c>
      <c r="E505" s="84" t="s">
        <v>393</v>
      </c>
      <c r="F505" s="86" t="s">
        <v>368</v>
      </c>
      <c r="G505" s="87" t="s">
        <v>1397</v>
      </c>
      <c r="H505" s="87" t="s">
        <v>1397</v>
      </c>
      <c r="I505" s="87"/>
      <c r="J505" s="87" t="s">
        <v>1238</v>
      </c>
      <c r="K505" s="88" t="str">
        <f t="shared" si="21"/>
        <v>Д</v>
      </c>
      <c r="L505" s="88" t="str">
        <f t="shared" si="22"/>
        <v>А</v>
      </c>
      <c r="M505" s="89" t="str">
        <f t="shared" si="23"/>
        <v>Иммунология</v>
      </c>
      <c r="N505" s="89" t="s">
        <v>301</v>
      </c>
    </row>
    <row r="506" spans="1:14" customFormat="1" ht="30" hidden="1" customHeight="1" x14ac:dyDescent="0.25">
      <c r="A506" s="62" t="s">
        <v>1398</v>
      </c>
      <c r="B506" s="84" t="s">
        <v>1399</v>
      </c>
      <c r="C506" s="85" t="s">
        <v>295</v>
      </c>
      <c r="D506" s="85" t="s">
        <v>296</v>
      </c>
      <c r="E506" s="84" t="s">
        <v>311</v>
      </c>
      <c r="F506" s="86" t="s">
        <v>368</v>
      </c>
      <c r="G506" s="87" t="s">
        <v>1400</v>
      </c>
      <c r="H506" s="87" t="s">
        <v>1400</v>
      </c>
      <c r="I506" s="87"/>
      <c r="J506" s="87" t="s">
        <v>1238</v>
      </c>
      <c r="K506" s="88" t="str">
        <f t="shared" si="21"/>
        <v>Д</v>
      </c>
      <c r="L506" s="88" t="str">
        <f t="shared" si="22"/>
        <v>А</v>
      </c>
      <c r="M506" s="89" t="str">
        <f t="shared" si="23"/>
        <v>Анатомия человека</v>
      </c>
      <c r="N506" s="89" t="s">
        <v>301</v>
      </c>
    </row>
    <row r="507" spans="1:14" customFormat="1" ht="30" hidden="1" customHeight="1" x14ac:dyDescent="0.25">
      <c r="A507" s="62" t="s">
        <v>1401</v>
      </c>
      <c r="B507" s="84" t="s">
        <v>1402</v>
      </c>
      <c r="C507" s="85" t="s">
        <v>295</v>
      </c>
      <c r="D507" s="85" t="s">
        <v>296</v>
      </c>
      <c r="E507" s="84" t="s">
        <v>311</v>
      </c>
      <c r="F507" s="86" t="s">
        <v>368</v>
      </c>
      <c r="G507" s="87" t="s">
        <v>1403</v>
      </c>
      <c r="H507" s="87" t="s">
        <v>1403</v>
      </c>
      <c r="I507" s="87"/>
      <c r="J507" s="87" t="s">
        <v>1238</v>
      </c>
      <c r="K507" s="88" t="str">
        <f t="shared" si="21"/>
        <v>Д</v>
      </c>
      <c r="L507" s="88" t="str">
        <f t="shared" si="22"/>
        <v>А</v>
      </c>
      <c r="M507" s="89" t="str">
        <f t="shared" si="23"/>
        <v>Патологическая анатомия</v>
      </c>
      <c r="N507" s="89" t="s">
        <v>301</v>
      </c>
    </row>
    <row r="508" spans="1:14" customFormat="1" ht="30" hidden="1" customHeight="1" x14ac:dyDescent="0.25">
      <c r="A508" s="62" t="s">
        <v>1404</v>
      </c>
      <c r="B508" s="84" t="s">
        <v>1405</v>
      </c>
      <c r="C508" s="85" t="s">
        <v>295</v>
      </c>
      <c r="D508" s="85" t="s">
        <v>296</v>
      </c>
      <c r="E508" s="84" t="s">
        <v>311</v>
      </c>
      <c r="F508" s="86" t="s">
        <v>368</v>
      </c>
      <c r="G508" s="87" t="s">
        <v>1406</v>
      </c>
      <c r="H508" s="87" t="s">
        <v>1406</v>
      </c>
      <c r="I508" s="87"/>
      <c r="J508" s="87" t="s">
        <v>1238</v>
      </c>
      <c r="K508" s="88" t="str">
        <f t="shared" si="21"/>
        <v>Д</v>
      </c>
      <c r="L508" s="88" t="str">
        <f t="shared" si="22"/>
        <v>А</v>
      </c>
      <c r="M508" s="89" t="str">
        <f t="shared" si="23"/>
        <v>Патологическая физиология</v>
      </c>
      <c r="N508" s="89" t="s">
        <v>301</v>
      </c>
    </row>
    <row r="509" spans="1:14" customFormat="1" ht="30" hidden="1" customHeight="1" x14ac:dyDescent="0.25">
      <c r="A509" s="62" t="s">
        <v>1407</v>
      </c>
      <c r="B509" s="84" t="s">
        <v>1405</v>
      </c>
      <c r="C509" s="85" t="s">
        <v>295</v>
      </c>
      <c r="D509" s="85" t="s">
        <v>304</v>
      </c>
      <c r="E509" s="84" t="s">
        <v>311</v>
      </c>
      <c r="F509" s="86" t="s">
        <v>368</v>
      </c>
      <c r="G509" s="87" t="s">
        <v>1406</v>
      </c>
      <c r="H509" s="87" t="s">
        <v>1408</v>
      </c>
      <c r="I509" s="87"/>
      <c r="J509" s="87" t="s">
        <v>1238</v>
      </c>
      <c r="K509" s="88" t="str">
        <f t="shared" si="21"/>
        <v>Д</v>
      </c>
      <c r="L509" s="88" t="str">
        <f t="shared" si="22"/>
        <v>А</v>
      </c>
      <c r="M509" s="89" t="str">
        <f t="shared" si="23"/>
        <v>Патологическая физиология: патологические механизмы современных заболеваний [язык реализации –Английский]</v>
      </c>
      <c r="N509" s="89" t="s">
        <v>301</v>
      </c>
    </row>
    <row r="510" spans="1:14" customFormat="1" ht="30" hidden="1" customHeight="1" x14ac:dyDescent="0.25">
      <c r="A510" s="62" t="s">
        <v>1409</v>
      </c>
      <c r="B510" s="84" t="s">
        <v>1410</v>
      </c>
      <c r="C510" s="85" t="s">
        <v>295</v>
      </c>
      <c r="D510" s="85" t="s">
        <v>296</v>
      </c>
      <c r="E510" s="84" t="s">
        <v>311</v>
      </c>
      <c r="F510" s="86" t="s">
        <v>368</v>
      </c>
      <c r="G510" s="87" t="s">
        <v>1411</v>
      </c>
      <c r="H510" s="87" t="s">
        <v>1411</v>
      </c>
      <c r="I510" s="87"/>
      <c r="J510" s="87" t="s">
        <v>1238</v>
      </c>
      <c r="K510" s="88" t="str">
        <f t="shared" si="21"/>
        <v>Д</v>
      </c>
      <c r="L510" s="88" t="str">
        <f t="shared" si="22"/>
        <v>А</v>
      </c>
      <c r="M510" s="89" t="str">
        <f t="shared" si="23"/>
        <v>Судебная медицина</v>
      </c>
      <c r="N510" s="89" t="s">
        <v>301</v>
      </c>
    </row>
    <row r="511" spans="1:14" customFormat="1" ht="30" hidden="1" customHeight="1" x14ac:dyDescent="0.25">
      <c r="A511" s="62" t="s">
        <v>1412</v>
      </c>
      <c r="B511" s="84" t="s">
        <v>1413</v>
      </c>
      <c r="C511" s="85" t="s">
        <v>295</v>
      </c>
      <c r="D511" s="85" t="s">
        <v>296</v>
      </c>
      <c r="E511" s="84" t="s">
        <v>311</v>
      </c>
      <c r="F511" s="86" t="s">
        <v>368</v>
      </c>
      <c r="G511" s="87" t="s">
        <v>1414</v>
      </c>
      <c r="H511" s="87" t="s">
        <v>1414</v>
      </c>
      <c r="I511" s="87"/>
      <c r="J511" s="87" t="s">
        <v>1238</v>
      </c>
      <c r="K511" s="88" t="str">
        <f t="shared" si="21"/>
        <v>Д</v>
      </c>
      <c r="L511" s="88" t="str">
        <f t="shared" si="22"/>
        <v>А</v>
      </c>
      <c r="M511" s="89" t="str">
        <f t="shared" si="23"/>
        <v>Фармакология, клиническая фармакология</v>
      </c>
      <c r="N511" s="89" t="s">
        <v>301</v>
      </c>
    </row>
    <row r="512" spans="1:14" customFormat="1" ht="30" hidden="1" customHeight="1" x14ac:dyDescent="0.25">
      <c r="A512" s="62" t="s">
        <v>1415</v>
      </c>
      <c r="B512" s="84" t="s">
        <v>1416</v>
      </c>
      <c r="C512" s="85" t="s">
        <v>295</v>
      </c>
      <c r="D512" s="85" t="s">
        <v>296</v>
      </c>
      <c r="E512" s="84" t="s">
        <v>311</v>
      </c>
      <c r="F512" s="86" t="s">
        <v>368</v>
      </c>
      <c r="G512" s="87" t="s">
        <v>1417</v>
      </c>
      <c r="H512" s="87" t="s">
        <v>1417</v>
      </c>
      <c r="I512" s="87"/>
      <c r="J512" s="87" t="s">
        <v>1238</v>
      </c>
      <c r="K512" s="88" t="str">
        <f t="shared" si="21"/>
        <v>Д</v>
      </c>
      <c r="L512" s="88" t="str">
        <f t="shared" si="22"/>
        <v>А</v>
      </c>
      <c r="M512" s="89" t="str">
        <f t="shared" si="23"/>
        <v>Медицинская информатика</v>
      </c>
      <c r="N512" s="89" t="s">
        <v>301</v>
      </c>
    </row>
    <row r="513" spans="1:14" ht="30" hidden="1" customHeight="1" x14ac:dyDescent="0.25">
      <c r="A513" s="62" t="s">
        <v>1418</v>
      </c>
      <c r="B513" s="84" t="s">
        <v>1134</v>
      </c>
      <c r="C513" s="85" t="s">
        <v>295</v>
      </c>
      <c r="D513" s="85" t="s">
        <v>296</v>
      </c>
      <c r="E513" s="84" t="s">
        <v>393</v>
      </c>
      <c r="F513" s="86" t="s">
        <v>368</v>
      </c>
      <c r="G513" s="87" t="s">
        <v>1135</v>
      </c>
      <c r="H513" s="87" t="s">
        <v>1419</v>
      </c>
      <c r="I513" s="87"/>
      <c r="J513" s="87" t="s">
        <v>1238</v>
      </c>
      <c r="K513" s="88" t="str">
        <f t="shared" si="21"/>
        <v>Д</v>
      </c>
      <c r="L513" s="88" t="str">
        <f t="shared" si="22"/>
        <v>А</v>
      </c>
      <c r="M513" s="89" t="str">
        <f t="shared" si="23"/>
        <v>Технология получения лекарств</v>
      </c>
      <c r="N513" s="89" t="s">
        <v>301</v>
      </c>
    </row>
    <row r="514" spans="1:14" ht="30" hidden="1" customHeight="1" x14ac:dyDescent="0.25">
      <c r="A514" s="62" t="s">
        <v>1420</v>
      </c>
      <c r="B514" s="84" t="s">
        <v>1134</v>
      </c>
      <c r="C514" s="85" t="s">
        <v>295</v>
      </c>
      <c r="D514" s="85" t="s">
        <v>304</v>
      </c>
      <c r="E514" s="84" t="s">
        <v>393</v>
      </c>
      <c r="F514" s="86" t="s">
        <v>368</v>
      </c>
      <c r="G514" s="87" t="s">
        <v>1135</v>
      </c>
      <c r="H514" s="87" t="s">
        <v>1421</v>
      </c>
      <c r="I514" s="87"/>
      <c r="J514" s="87" t="s">
        <v>1238</v>
      </c>
      <c r="K514" s="88" t="str">
        <f t="shared" si="21"/>
        <v>Д</v>
      </c>
      <c r="L514" s="88" t="str">
        <f t="shared" si="22"/>
        <v>А</v>
      </c>
      <c r="M514" s="89" t="str">
        <f t="shared" si="23"/>
        <v>Технология получения лекарств: биофармация [язык реализации –Английский]</v>
      </c>
      <c r="N514" s="89" t="s">
        <v>301</v>
      </c>
    </row>
    <row r="515" spans="1:14" ht="30" hidden="1" customHeight="1" x14ac:dyDescent="0.25">
      <c r="A515" s="62" t="s">
        <v>1422</v>
      </c>
      <c r="B515" s="84" t="s">
        <v>1134</v>
      </c>
      <c r="C515" s="85" t="s">
        <v>295</v>
      </c>
      <c r="D515" s="85" t="s">
        <v>296</v>
      </c>
      <c r="E515" s="84" t="s">
        <v>393</v>
      </c>
      <c r="F515" s="86" t="s">
        <v>368</v>
      </c>
      <c r="G515" s="87" t="s">
        <v>1135</v>
      </c>
      <c r="H515" s="87" t="s">
        <v>1135</v>
      </c>
      <c r="I515" s="87"/>
      <c r="J515" s="87" t="s">
        <v>1238</v>
      </c>
      <c r="K515" s="88" t="str">
        <f t="shared" ref="K515:K578" si="24">IF(C515="очная","Д",IF(C515="Очно-заочная","В",IF(C515="Заочная","З","-")))</f>
        <v>Д</v>
      </c>
      <c r="L515" s="88" t="str">
        <f t="shared" ref="L515:L578" si="25">IF(N515="да","ЦМ",LEFT(F515,1))</f>
        <v>А</v>
      </c>
      <c r="M515" s="89" t="str">
        <f t="shared" ref="M515:M578" si="26">CONCATENATE(H515,IF(I515&gt;0,CONCATENATE(" (Вуз-партнёр – ",I515,")"),IF(D515=$D$3,"",CONCATENATE(" [язык реализации –",D515,"]"))))</f>
        <v>Промышленная фармация и технология получения лекарств</v>
      </c>
      <c r="N515" s="89" t="s">
        <v>301</v>
      </c>
    </row>
    <row r="516" spans="1:14" ht="30" hidden="1" customHeight="1" x14ac:dyDescent="0.25">
      <c r="A516" s="62" t="s">
        <v>1423</v>
      </c>
      <c r="B516" s="84" t="s">
        <v>1424</v>
      </c>
      <c r="C516" s="85" t="s">
        <v>295</v>
      </c>
      <c r="D516" s="85" t="s">
        <v>296</v>
      </c>
      <c r="E516" s="84" t="s">
        <v>393</v>
      </c>
      <c r="F516" s="86" t="s">
        <v>368</v>
      </c>
      <c r="G516" s="87" t="s">
        <v>1425</v>
      </c>
      <c r="H516" s="87" t="s">
        <v>1425</v>
      </c>
      <c r="I516" s="87"/>
      <c r="J516" s="87" t="s">
        <v>1238</v>
      </c>
      <c r="K516" s="88" t="str">
        <f t="shared" si="24"/>
        <v>Д</v>
      </c>
      <c r="L516" s="88" t="str">
        <f t="shared" si="25"/>
        <v>А</v>
      </c>
      <c r="M516" s="89" t="str">
        <f t="shared" si="26"/>
        <v>Фармацевтическая химия, фармакогнозия</v>
      </c>
      <c r="N516" s="89" t="s">
        <v>301</v>
      </c>
    </row>
    <row r="517" spans="1:14" ht="30" hidden="1" customHeight="1" x14ac:dyDescent="0.25">
      <c r="A517" s="62" t="s">
        <v>1426</v>
      </c>
      <c r="B517" s="84" t="s">
        <v>1424</v>
      </c>
      <c r="C517" s="85" t="s">
        <v>295</v>
      </c>
      <c r="D517" s="85" t="s">
        <v>304</v>
      </c>
      <c r="E517" s="84" t="s">
        <v>393</v>
      </c>
      <c r="F517" s="86" t="s">
        <v>368</v>
      </c>
      <c r="G517" s="87" t="s">
        <v>1425</v>
      </c>
      <c r="H517" s="87" t="s">
        <v>1427</v>
      </c>
      <c r="I517" s="87"/>
      <c r="J517" s="87" t="s">
        <v>1238</v>
      </c>
      <c r="K517" s="88" t="str">
        <f t="shared" si="24"/>
        <v>Д</v>
      </c>
      <c r="L517" s="88" t="str">
        <f t="shared" si="25"/>
        <v>А</v>
      </c>
      <c r="M517" s="89" t="str">
        <f t="shared" si="26"/>
        <v>Фармацевтическая химия: анализ и контроль качества лекарственных средств [язык реализации –Английский]</v>
      </c>
      <c r="N517" s="89" t="s">
        <v>301</v>
      </c>
    </row>
    <row r="518" spans="1:14" ht="30" hidden="1" customHeight="1" x14ac:dyDescent="0.25">
      <c r="A518" s="62" t="s">
        <v>1428</v>
      </c>
      <c r="B518" s="84" t="s">
        <v>1429</v>
      </c>
      <c r="C518" s="85" t="s">
        <v>295</v>
      </c>
      <c r="D518" s="85" t="s">
        <v>296</v>
      </c>
      <c r="E518" s="84" t="s">
        <v>393</v>
      </c>
      <c r="F518" s="86" t="s">
        <v>368</v>
      </c>
      <c r="G518" s="87" t="s">
        <v>1430</v>
      </c>
      <c r="H518" s="87" t="s">
        <v>1430</v>
      </c>
      <c r="I518" s="87"/>
      <c r="J518" s="87" t="s">
        <v>1238</v>
      </c>
      <c r="K518" s="88" t="str">
        <f t="shared" si="24"/>
        <v>Д</v>
      </c>
      <c r="L518" s="88" t="str">
        <f t="shared" si="25"/>
        <v>А</v>
      </c>
      <c r="M518" s="89" t="str">
        <f t="shared" si="26"/>
        <v>Организация фармацевтического дела</v>
      </c>
      <c r="N518" s="89" t="s">
        <v>301</v>
      </c>
    </row>
    <row r="519" spans="1:14" ht="30" hidden="1" customHeight="1" x14ac:dyDescent="0.25">
      <c r="A519" s="62" t="s">
        <v>1431</v>
      </c>
      <c r="B519" s="84" t="s">
        <v>1429</v>
      </c>
      <c r="C519" s="85" t="s">
        <v>295</v>
      </c>
      <c r="D519" s="85" t="s">
        <v>304</v>
      </c>
      <c r="E519" s="84" t="s">
        <v>393</v>
      </c>
      <c r="F519" s="86" t="s">
        <v>368</v>
      </c>
      <c r="G519" s="87" t="s">
        <v>1430</v>
      </c>
      <c r="H519" s="87" t="s">
        <v>1432</v>
      </c>
      <c r="I519" s="87"/>
      <c r="J519" s="87" t="s">
        <v>1238</v>
      </c>
      <c r="K519" s="88" t="str">
        <f t="shared" si="24"/>
        <v>Д</v>
      </c>
      <c r="L519" s="88" t="str">
        <f t="shared" si="25"/>
        <v>А</v>
      </c>
      <c r="M519" s="89" t="str">
        <f t="shared" si="26"/>
        <v>Социальная и административная фармация [язык реализации –Английский]</v>
      </c>
      <c r="N519" s="89" t="s">
        <v>301</v>
      </c>
    </row>
    <row r="520" spans="1:14" ht="30" hidden="1" customHeight="1" x14ac:dyDescent="0.25">
      <c r="A520" s="62" t="s">
        <v>1433</v>
      </c>
      <c r="B520" s="84" t="s">
        <v>1434</v>
      </c>
      <c r="C520" s="85" t="s">
        <v>295</v>
      </c>
      <c r="D520" s="85" t="s">
        <v>296</v>
      </c>
      <c r="E520" s="84" t="s">
        <v>393</v>
      </c>
      <c r="F520" s="86" t="s">
        <v>368</v>
      </c>
      <c r="G520" s="87" t="s">
        <v>1435</v>
      </c>
      <c r="H520" s="87" t="s">
        <v>1435</v>
      </c>
      <c r="I520" s="87"/>
      <c r="J520" s="87" t="s">
        <v>1238</v>
      </c>
      <c r="K520" s="88" t="str">
        <f t="shared" si="24"/>
        <v>Д</v>
      </c>
      <c r="L520" s="88" t="str">
        <f t="shared" si="25"/>
        <v>А</v>
      </c>
      <c r="M520" s="89" t="str">
        <f t="shared" si="26"/>
        <v>Физическая культура и профессиональная физическая подготовка</v>
      </c>
      <c r="N520" s="89" t="s">
        <v>301</v>
      </c>
    </row>
    <row r="521" spans="1:14" ht="30" hidden="1" customHeight="1" x14ac:dyDescent="0.25">
      <c r="A521" s="62" t="s">
        <v>1436</v>
      </c>
      <c r="B521" s="84" t="s">
        <v>1437</v>
      </c>
      <c r="C521" s="85" t="s">
        <v>295</v>
      </c>
      <c r="D521" s="85" t="s">
        <v>296</v>
      </c>
      <c r="E521" s="84" t="s">
        <v>393</v>
      </c>
      <c r="F521" s="86" t="s">
        <v>368</v>
      </c>
      <c r="G521" s="87" t="s">
        <v>1438</v>
      </c>
      <c r="H521" s="87" t="s">
        <v>1438</v>
      </c>
      <c r="I521" s="87"/>
      <c r="J521" s="87" t="s">
        <v>1238</v>
      </c>
      <c r="K521" s="88" t="str">
        <f t="shared" si="24"/>
        <v>Д</v>
      </c>
      <c r="L521" s="88" t="str">
        <f t="shared" si="25"/>
        <v>А</v>
      </c>
      <c r="M521" s="89" t="str">
        <f t="shared" si="26"/>
        <v>Теория и методика спорта</v>
      </c>
      <c r="N521" s="89" t="s">
        <v>301</v>
      </c>
    </row>
    <row r="522" spans="1:14" ht="30" hidden="1" customHeight="1" x14ac:dyDescent="0.25">
      <c r="A522" s="62" t="s">
        <v>1439</v>
      </c>
      <c r="B522" s="84" t="s">
        <v>1440</v>
      </c>
      <c r="C522" s="85" t="s">
        <v>295</v>
      </c>
      <c r="D522" s="85" t="s">
        <v>296</v>
      </c>
      <c r="E522" s="84" t="s">
        <v>393</v>
      </c>
      <c r="F522" s="86" t="s">
        <v>368</v>
      </c>
      <c r="G522" s="87" t="s">
        <v>1441</v>
      </c>
      <c r="H522" s="87" t="s">
        <v>1441</v>
      </c>
      <c r="I522" s="87"/>
      <c r="J522" s="87" t="s">
        <v>1238</v>
      </c>
      <c r="K522" s="88" t="str">
        <f t="shared" si="24"/>
        <v>Д</v>
      </c>
      <c r="L522" s="88" t="str">
        <f t="shared" si="25"/>
        <v>А</v>
      </c>
      <c r="M522" s="89" t="str">
        <f t="shared" si="26"/>
        <v>Оздоровительная и адаптивная физическая культура</v>
      </c>
      <c r="N522" s="89" t="s">
        <v>301</v>
      </c>
    </row>
    <row r="523" spans="1:14" ht="30" hidden="1" customHeight="1" x14ac:dyDescent="0.25">
      <c r="A523" s="62" t="s">
        <v>1442</v>
      </c>
      <c r="B523" s="84" t="s">
        <v>1443</v>
      </c>
      <c r="C523" s="85" t="s">
        <v>295</v>
      </c>
      <c r="D523" s="85" t="s">
        <v>296</v>
      </c>
      <c r="E523" s="84" t="s">
        <v>393</v>
      </c>
      <c r="F523" s="86" t="s">
        <v>1444</v>
      </c>
      <c r="G523" s="87" t="s">
        <v>1445</v>
      </c>
      <c r="H523" s="87" t="s">
        <v>1445</v>
      </c>
      <c r="I523" s="87"/>
      <c r="J523" s="87" t="s">
        <v>1238</v>
      </c>
      <c r="K523" s="88" t="str">
        <f t="shared" si="24"/>
        <v>Д</v>
      </c>
      <c r="L523" s="88" t="str">
        <f t="shared" si="25"/>
        <v>О</v>
      </c>
      <c r="M523" s="89" t="str">
        <f t="shared" si="26"/>
        <v>Физическая и реабилитационная медицина</v>
      </c>
      <c r="N523" s="89" t="s">
        <v>301</v>
      </c>
    </row>
    <row r="524" spans="1:14" ht="30" hidden="1" customHeight="1" x14ac:dyDescent="0.25">
      <c r="A524" s="62" t="s">
        <v>1446</v>
      </c>
      <c r="B524" s="84" t="s">
        <v>1447</v>
      </c>
      <c r="C524" s="85" t="s">
        <v>295</v>
      </c>
      <c r="D524" s="85" t="s">
        <v>296</v>
      </c>
      <c r="E524" s="84" t="s">
        <v>330</v>
      </c>
      <c r="F524" s="86" t="s">
        <v>1444</v>
      </c>
      <c r="G524" s="87" t="s">
        <v>1373</v>
      </c>
      <c r="H524" s="87" t="s">
        <v>1373</v>
      </c>
      <c r="I524" s="87"/>
      <c r="J524" s="87" t="s">
        <v>1238</v>
      </c>
      <c r="K524" s="88" t="str">
        <f t="shared" si="24"/>
        <v>Д</v>
      </c>
      <c r="L524" s="88" t="str">
        <f t="shared" si="25"/>
        <v>О</v>
      </c>
      <c r="M524" s="89" t="str">
        <f t="shared" si="26"/>
        <v>Акушерство и гинекология</v>
      </c>
      <c r="N524" s="89" t="s">
        <v>301</v>
      </c>
    </row>
    <row r="525" spans="1:14" ht="30" hidden="1" customHeight="1" x14ac:dyDescent="0.25">
      <c r="A525" s="62" t="s">
        <v>1448</v>
      </c>
      <c r="B525" s="84" t="s">
        <v>1449</v>
      </c>
      <c r="C525" s="85" t="s">
        <v>295</v>
      </c>
      <c r="D525" s="85" t="s">
        <v>296</v>
      </c>
      <c r="E525" s="84" t="s">
        <v>330</v>
      </c>
      <c r="F525" s="86" t="s">
        <v>1444</v>
      </c>
      <c r="G525" s="87" t="s">
        <v>1450</v>
      </c>
      <c r="H525" s="87" t="s">
        <v>1450</v>
      </c>
      <c r="I525" s="87"/>
      <c r="J525" s="87" t="s">
        <v>1238</v>
      </c>
      <c r="K525" s="88" t="str">
        <f t="shared" si="24"/>
        <v>Д</v>
      </c>
      <c r="L525" s="88" t="str">
        <f t="shared" si="25"/>
        <v>О</v>
      </c>
      <c r="M525" s="89" t="str">
        <f t="shared" si="26"/>
        <v>Анестезиология-реаниматология</v>
      </c>
      <c r="N525" s="89" t="s">
        <v>301</v>
      </c>
    </row>
    <row r="526" spans="1:14" ht="30" hidden="1" customHeight="1" x14ac:dyDescent="0.25">
      <c r="A526" s="62" t="s">
        <v>1451</v>
      </c>
      <c r="B526" s="84" t="s">
        <v>1452</v>
      </c>
      <c r="C526" s="85" t="s">
        <v>295</v>
      </c>
      <c r="D526" s="85" t="s">
        <v>296</v>
      </c>
      <c r="E526" s="84" t="s">
        <v>330</v>
      </c>
      <c r="F526" s="86" t="s">
        <v>1444</v>
      </c>
      <c r="G526" s="87" t="s">
        <v>1453</v>
      </c>
      <c r="H526" s="87" t="s">
        <v>1453</v>
      </c>
      <c r="I526" s="87"/>
      <c r="J526" s="87" t="s">
        <v>1238</v>
      </c>
      <c r="K526" s="88" t="str">
        <f t="shared" si="24"/>
        <v>Д</v>
      </c>
      <c r="L526" s="88" t="str">
        <f t="shared" si="25"/>
        <v>О</v>
      </c>
      <c r="M526" s="89" t="str">
        <f t="shared" si="26"/>
        <v>Клиническая лабораторная диагностика</v>
      </c>
      <c r="N526" s="89" t="s">
        <v>301</v>
      </c>
    </row>
    <row r="527" spans="1:14" ht="30" hidden="1" customHeight="1" x14ac:dyDescent="0.25">
      <c r="A527" s="62" t="s">
        <v>1454</v>
      </c>
      <c r="B527" s="84" t="s">
        <v>1455</v>
      </c>
      <c r="C527" s="85" t="s">
        <v>295</v>
      </c>
      <c r="D527" s="85" t="s">
        <v>296</v>
      </c>
      <c r="E527" s="84" t="s">
        <v>330</v>
      </c>
      <c r="F527" s="86" t="s">
        <v>1444</v>
      </c>
      <c r="G527" s="87" t="s">
        <v>1456</v>
      </c>
      <c r="H527" s="87" t="s">
        <v>1457</v>
      </c>
      <c r="I527" s="87"/>
      <c r="J527" s="87" t="s">
        <v>1238</v>
      </c>
      <c r="K527" s="88" t="str">
        <f t="shared" si="24"/>
        <v>Д</v>
      </c>
      <c r="L527" s="88" t="str">
        <f t="shared" si="25"/>
        <v>О</v>
      </c>
      <c r="M527" s="89" t="str">
        <f t="shared" si="26"/>
        <v>Лабораторная генетика</v>
      </c>
      <c r="N527" s="89" t="s">
        <v>301</v>
      </c>
    </row>
    <row r="528" spans="1:14" ht="30" hidden="1" customHeight="1" x14ac:dyDescent="0.25">
      <c r="A528" s="62" t="s">
        <v>1458</v>
      </c>
      <c r="B528" s="84" t="s">
        <v>1459</v>
      </c>
      <c r="C528" s="85" t="s">
        <v>295</v>
      </c>
      <c r="D528" s="85" t="s">
        <v>296</v>
      </c>
      <c r="E528" s="84" t="s">
        <v>330</v>
      </c>
      <c r="F528" s="86" t="s">
        <v>1444</v>
      </c>
      <c r="G528" s="87" t="s">
        <v>1403</v>
      </c>
      <c r="H528" s="87" t="s">
        <v>1403</v>
      </c>
      <c r="I528" s="87"/>
      <c r="J528" s="87" t="s">
        <v>1238</v>
      </c>
      <c r="K528" s="88" t="str">
        <f t="shared" si="24"/>
        <v>Д</v>
      </c>
      <c r="L528" s="88" t="str">
        <f t="shared" si="25"/>
        <v>О</v>
      </c>
      <c r="M528" s="89" t="str">
        <f t="shared" si="26"/>
        <v>Патологическая анатомия</v>
      </c>
      <c r="N528" s="89" t="s">
        <v>301</v>
      </c>
    </row>
    <row r="529" spans="1:14" ht="30" hidden="1" customHeight="1" x14ac:dyDescent="0.25">
      <c r="A529" s="62" t="s">
        <v>1460</v>
      </c>
      <c r="B529" s="84" t="s">
        <v>1461</v>
      </c>
      <c r="C529" s="85" t="s">
        <v>295</v>
      </c>
      <c r="D529" s="85" t="s">
        <v>296</v>
      </c>
      <c r="E529" s="84" t="s">
        <v>330</v>
      </c>
      <c r="F529" s="86" t="s">
        <v>1444</v>
      </c>
      <c r="G529" s="87" t="s">
        <v>1462</v>
      </c>
      <c r="H529" s="87" t="s">
        <v>1462</v>
      </c>
      <c r="I529" s="87"/>
      <c r="J529" s="87" t="s">
        <v>1238</v>
      </c>
      <c r="K529" s="88" t="str">
        <f t="shared" si="24"/>
        <v>Д</v>
      </c>
      <c r="L529" s="88" t="str">
        <f t="shared" si="25"/>
        <v>О</v>
      </c>
      <c r="M529" s="89" t="str">
        <f t="shared" si="26"/>
        <v>Радиология</v>
      </c>
      <c r="N529" s="89" t="s">
        <v>301</v>
      </c>
    </row>
    <row r="530" spans="1:14" ht="30" hidden="1" customHeight="1" x14ac:dyDescent="0.25">
      <c r="A530" s="62" t="s">
        <v>1463</v>
      </c>
      <c r="B530" s="84" t="s">
        <v>1464</v>
      </c>
      <c r="C530" s="85" t="s">
        <v>295</v>
      </c>
      <c r="D530" s="85" t="s">
        <v>296</v>
      </c>
      <c r="E530" s="84" t="s">
        <v>330</v>
      </c>
      <c r="F530" s="86" t="s">
        <v>1444</v>
      </c>
      <c r="G530" s="87" t="s">
        <v>1465</v>
      </c>
      <c r="H530" s="87" t="s">
        <v>1465</v>
      </c>
      <c r="I530" s="87"/>
      <c r="J530" s="87" t="s">
        <v>1238</v>
      </c>
      <c r="K530" s="88" t="str">
        <f t="shared" si="24"/>
        <v>Д</v>
      </c>
      <c r="L530" s="88" t="str">
        <f t="shared" si="25"/>
        <v>О</v>
      </c>
      <c r="M530" s="89" t="str">
        <f t="shared" si="26"/>
        <v>Рентгенология</v>
      </c>
      <c r="N530" s="89" t="s">
        <v>301</v>
      </c>
    </row>
    <row r="531" spans="1:14" ht="30" hidden="1" customHeight="1" x14ac:dyDescent="0.25">
      <c r="A531" s="62" t="s">
        <v>1466</v>
      </c>
      <c r="B531" s="84" t="s">
        <v>1467</v>
      </c>
      <c r="C531" s="85" t="s">
        <v>295</v>
      </c>
      <c r="D531" s="85" t="s">
        <v>296</v>
      </c>
      <c r="E531" s="84" t="s">
        <v>330</v>
      </c>
      <c r="F531" s="86" t="s">
        <v>1444</v>
      </c>
      <c r="G531" s="87" t="s">
        <v>1468</v>
      </c>
      <c r="H531" s="87" t="s">
        <v>1468</v>
      </c>
      <c r="I531" s="87"/>
      <c r="J531" s="87" t="s">
        <v>1238</v>
      </c>
      <c r="K531" s="88" t="str">
        <f t="shared" si="24"/>
        <v>Д</v>
      </c>
      <c r="L531" s="88" t="str">
        <f t="shared" si="25"/>
        <v>О</v>
      </c>
      <c r="M531" s="89" t="str">
        <f t="shared" si="26"/>
        <v>Судебно-медицинская экспертиза</v>
      </c>
      <c r="N531" s="89" t="s">
        <v>301</v>
      </c>
    </row>
    <row r="532" spans="1:14" ht="30" hidden="1" customHeight="1" x14ac:dyDescent="0.25">
      <c r="A532" s="62" t="s">
        <v>1469</v>
      </c>
      <c r="B532" s="84" t="s">
        <v>1470</v>
      </c>
      <c r="C532" s="85" t="s">
        <v>295</v>
      </c>
      <c r="D532" s="85" t="s">
        <v>296</v>
      </c>
      <c r="E532" s="84" t="s">
        <v>330</v>
      </c>
      <c r="F532" s="86" t="s">
        <v>1444</v>
      </c>
      <c r="G532" s="87" t="s">
        <v>1471</v>
      </c>
      <c r="H532" s="87" t="s">
        <v>1471</v>
      </c>
      <c r="I532" s="87"/>
      <c r="J532" s="87" t="s">
        <v>1238</v>
      </c>
      <c r="K532" s="88" t="str">
        <f t="shared" si="24"/>
        <v>Д</v>
      </c>
      <c r="L532" s="88" t="str">
        <f t="shared" si="25"/>
        <v>О</v>
      </c>
      <c r="M532" s="89" t="str">
        <f t="shared" si="26"/>
        <v>Функциональная диагностика</v>
      </c>
      <c r="N532" s="89" t="s">
        <v>301</v>
      </c>
    </row>
    <row r="533" spans="1:14" ht="30" hidden="1" customHeight="1" x14ac:dyDescent="0.25">
      <c r="A533" s="62" t="s">
        <v>1472</v>
      </c>
      <c r="B533" s="84" t="s">
        <v>1473</v>
      </c>
      <c r="C533" s="85" t="s">
        <v>295</v>
      </c>
      <c r="D533" s="85" t="s">
        <v>296</v>
      </c>
      <c r="E533" s="84" t="s">
        <v>330</v>
      </c>
      <c r="F533" s="86" t="s">
        <v>1444</v>
      </c>
      <c r="G533" s="87" t="s">
        <v>1474</v>
      </c>
      <c r="H533" s="87" t="s">
        <v>1474</v>
      </c>
      <c r="I533" s="87"/>
      <c r="J533" s="87" t="s">
        <v>1238</v>
      </c>
      <c r="K533" s="88" t="str">
        <f t="shared" si="24"/>
        <v>Д</v>
      </c>
      <c r="L533" s="88" t="str">
        <f t="shared" si="25"/>
        <v>О</v>
      </c>
      <c r="M533" s="89" t="str">
        <f t="shared" si="26"/>
        <v>Детская хирургия</v>
      </c>
      <c r="N533" s="89" t="s">
        <v>301</v>
      </c>
    </row>
    <row r="534" spans="1:14" ht="30" hidden="1" customHeight="1" x14ac:dyDescent="0.25">
      <c r="A534" s="62" t="s">
        <v>1475</v>
      </c>
      <c r="B534" s="84" t="s">
        <v>1476</v>
      </c>
      <c r="C534" s="85" t="s">
        <v>295</v>
      </c>
      <c r="D534" s="85" t="s">
        <v>296</v>
      </c>
      <c r="E534" s="84" t="s">
        <v>330</v>
      </c>
      <c r="F534" s="86" t="s">
        <v>1444</v>
      </c>
      <c r="G534" s="87" t="s">
        <v>1345</v>
      </c>
      <c r="H534" s="87" t="s">
        <v>1345</v>
      </c>
      <c r="I534" s="87"/>
      <c r="J534" s="87" t="s">
        <v>1238</v>
      </c>
      <c r="K534" s="88" t="str">
        <f t="shared" si="24"/>
        <v>Д</v>
      </c>
      <c r="L534" s="88" t="str">
        <f t="shared" si="25"/>
        <v>О</v>
      </c>
      <c r="M534" s="89" t="str">
        <f t="shared" si="26"/>
        <v>Педиатрия</v>
      </c>
      <c r="N534" s="89" t="s">
        <v>301</v>
      </c>
    </row>
    <row r="535" spans="1:14" ht="30" hidden="1" customHeight="1" x14ac:dyDescent="0.25">
      <c r="A535" s="62" t="s">
        <v>1477</v>
      </c>
      <c r="B535" s="84" t="s">
        <v>1478</v>
      </c>
      <c r="C535" s="85" t="s">
        <v>295</v>
      </c>
      <c r="D535" s="85" t="s">
        <v>296</v>
      </c>
      <c r="E535" s="84" t="s">
        <v>330</v>
      </c>
      <c r="F535" s="86" t="s">
        <v>1444</v>
      </c>
      <c r="G535" s="87" t="s">
        <v>1328</v>
      </c>
      <c r="H535" s="87" t="s">
        <v>1328</v>
      </c>
      <c r="I535" s="87"/>
      <c r="J535" s="87" t="s">
        <v>1238</v>
      </c>
      <c r="K535" s="88" t="str">
        <f t="shared" si="24"/>
        <v>Д</v>
      </c>
      <c r="L535" s="88" t="str">
        <f t="shared" si="25"/>
        <v>О</v>
      </c>
      <c r="M535" s="89" t="str">
        <f t="shared" si="26"/>
        <v>Психиатрия</v>
      </c>
      <c r="N535" s="89" t="s">
        <v>301</v>
      </c>
    </row>
    <row r="536" spans="1:14" ht="30" hidden="1" customHeight="1" x14ac:dyDescent="0.25">
      <c r="A536" s="62" t="s">
        <v>1479</v>
      </c>
      <c r="B536" s="84" t="s">
        <v>1480</v>
      </c>
      <c r="C536" s="85" t="s">
        <v>295</v>
      </c>
      <c r="D536" s="85" t="s">
        <v>296</v>
      </c>
      <c r="E536" s="84" t="s">
        <v>330</v>
      </c>
      <c r="F536" s="86" t="s">
        <v>1444</v>
      </c>
      <c r="G536" s="87" t="s">
        <v>1481</v>
      </c>
      <c r="H536" s="87" t="s">
        <v>1481</v>
      </c>
      <c r="I536" s="87"/>
      <c r="J536" s="87" t="s">
        <v>1238</v>
      </c>
      <c r="K536" s="88" t="str">
        <f t="shared" si="24"/>
        <v>Д</v>
      </c>
      <c r="L536" s="88" t="str">
        <f t="shared" si="25"/>
        <v>О</v>
      </c>
      <c r="M536" s="89" t="str">
        <f t="shared" si="26"/>
        <v>Аллергология и иммунология</v>
      </c>
      <c r="N536" s="89" t="s">
        <v>301</v>
      </c>
    </row>
    <row r="537" spans="1:14" customFormat="1" ht="30" hidden="1" customHeight="1" x14ac:dyDescent="0.25">
      <c r="A537" s="62" t="s">
        <v>1482</v>
      </c>
      <c r="B537" s="84" t="s">
        <v>1483</v>
      </c>
      <c r="C537" s="85" t="s">
        <v>295</v>
      </c>
      <c r="D537" s="85" t="s">
        <v>296</v>
      </c>
      <c r="E537" s="84" t="s">
        <v>330</v>
      </c>
      <c r="F537" s="86" t="s">
        <v>1444</v>
      </c>
      <c r="G537" s="87" t="s">
        <v>1484</v>
      </c>
      <c r="H537" s="87" t="s">
        <v>1484</v>
      </c>
      <c r="I537" s="87"/>
      <c r="J537" s="87" t="s">
        <v>1238</v>
      </c>
      <c r="K537" s="88" t="str">
        <f t="shared" si="24"/>
        <v>Д</v>
      </c>
      <c r="L537" s="88" t="str">
        <f t="shared" si="25"/>
        <v>О</v>
      </c>
      <c r="M537" s="89" t="str">
        <f t="shared" si="26"/>
        <v>Гастроэнтерология</v>
      </c>
      <c r="N537" s="89" t="s">
        <v>301</v>
      </c>
    </row>
    <row r="538" spans="1:14" customFormat="1" ht="30" hidden="1" customHeight="1" x14ac:dyDescent="0.25">
      <c r="A538" s="62" t="s">
        <v>1485</v>
      </c>
      <c r="B538" s="84" t="s">
        <v>1486</v>
      </c>
      <c r="C538" s="85" t="s">
        <v>295</v>
      </c>
      <c r="D538" s="85" t="s">
        <v>296</v>
      </c>
      <c r="E538" s="84" t="s">
        <v>330</v>
      </c>
      <c r="F538" s="86" t="s">
        <v>1444</v>
      </c>
      <c r="G538" s="87" t="s">
        <v>1487</v>
      </c>
      <c r="H538" s="87" t="s">
        <v>1487</v>
      </c>
      <c r="I538" s="87"/>
      <c r="J538" s="87" t="s">
        <v>1238</v>
      </c>
      <c r="K538" s="88" t="str">
        <f t="shared" si="24"/>
        <v>Д</v>
      </c>
      <c r="L538" s="88" t="str">
        <f t="shared" si="25"/>
        <v>О</v>
      </c>
      <c r="M538" s="89" t="str">
        <f t="shared" si="26"/>
        <v>Гематология</v>
      </c>
      <c r="N538" s="89" t="s">
        <v>301</v>
      </c>
    </row>
    <row r="539" spans="1:14" customFormat="1" ht="30" hidden="1" customHeight="1" x14ac:dyDescent="0.25">
      <c r="A539" s="62" t="s">
        <v>1488</v>
      </c>
      <c r="B539" s="84" t="s">
        <v>1489</v>
      </c>
      <c r="C539" s="85" t="s">
        <v>295</v>
      </c>
      <c r="D539" s="85" t="s">
        <v>296</v>
      </c>
      <c r="E539" s="84" t="s">
        <v>330</v>
      </c>
      <c r="F539" s="86" t="s">
        <v>1444</v>
      </c>
      <c r="G539" s="87" t="s">
        <v>1353</v>
      </c>
      <c r="H539" s="87" t="s">
        <v>1353</v>
      </c>
      <c r="I539" s="87"/>
      <c r="J539" s="87" t="s">
        <v>1238</v>
      </c>
      <c r="K539" s="88" t="str">
        <f t="shared" si="24"/>
        <v>Д</v>
      </c>
      <c r="L539" s="88" t="str">
        <f t="shared" si="25"/>
        <v>О</v>
      </c>
      <c r="M539" s="89" t="str">
        <f t="shared" si="26"/>
        <v>Дерматовенерология</v>
      </c>
      <c r="N539" s="89" t="s">
        <v>301</v>
      </c>
    </row>
    <row r="540" spans="1:14" customFormat="1" ht="30" hidden="1" customHeight="1" x14ac:dyDescent="0.25">
      <c r="A540" s="62" t="s">
        <v>1490</v>
      </c>
      <c r="B540" s="84" t="s">
        <v>1491</v>
      </c>
      <c r="C540" s="85" t="s">
        <v>295</v>
      </c>
      <c r="D540" s="85" t="s">
        <v>296</v>
      </c>
      <c r="E540" s="84" t="s">
        <v>330</v>
      </c>
      <c r="F540" s="86" t="s">
        <v>1444</v>
      </c>
      <c r="G540" s="87" t="s">
        <v>1348</v>
      </c>
      <c r="H540" s="87" t="s">
        <v>1348</v>
      </c>
      <c r="I540" s="87"/>
      <c r="J540" s="87" t="s">
        <v>1238</v>
      </c>
      <c r="K540" s="88" t="str">
        <f t="shared" si="24"/>
        <v>Д</v>
      </c>
      <c r="L540" s="88" t="str">
        <f t="shared" si="25"/>
        <v>О</v>
      </c>
      <c r="M540" s="89" t="str">
        <f t="shared" si="26"/>
        <v>Инфекционные болезни</v>
      </c>
      <c r="N540" s="89" t="s">
        <v>301</v>
      </c>
    </row>
    <row r="541" spans="1:14" customFormat="1" ht="30" hidden="1" customHeight="1" x14ac:dyDescent="0.25">
      <c r="A541" s="62" t="s">
        <v>1492</v>
      </c>
      <c r="B541" s="84" t="s">
        <v>1493</v>
      </c>
      <c r="C541" s="85" t="s">
        <v>295</v>
      </c>
      <c r="D541" s="85" t="s">
        <v>296</v>
      </c>
      <c r="E541" s="84" t="s">
        <v>330</v>
      </c>
      <c r="F541" s="86" t="s">
        <v>1444</v>
      </c>
      <c r="G541" s="87" t="s">
        <v>1342</v>
      </c>
      <c r="H541" s="87" t="s">
        <v>1342</v>
      </c>
      <c r="I541" s="87"/>
      <c r="J541" s="87" t="s">
        <v>1238</v>
      </c>
      <c r="K541" s="88" t="str">
        <f t="shared" si="24"/>
        <v>Д</v>
      </c>
      <c r="L541" s="88" t="str">
        <f t="shared" si="25"/>
        <v>О</v>
      </c>
      <c r="M541" s="89" t="str">
        <f t="shared" si="26"/>
        <v>Кардиология</v>
      </c>
      <c r="N541" s="89" t="s">
        <v>301</v>
      </c>
    </row>
    <row r="542" spans="1:14" customFormat="1" ht="30" hidden="1" customHeight="1" x14ac:dyDescent="0.25">
      <c r="A542" s="62" t="s">
        <v>1494</v>
      </c>
      <c r="B542" s="84" t="s">
        <v>1495</v>
      </c>
      <c r="C542" s="85" t="s">
        <v>295</v>
      </c>
      <c r="D542" s="85" t="s">
        <v>296</v>
      </c>
      <c r="E542" s="84" t="s">
        <v>330</v>
      </c>
      <c r="F542" s="86" t="s">
        <v>1444</v>
      </c>
      <c r="G542" s="87" t="s">
        <v>1496</v>
      </c>
      <c r="H542" s="87" t="s">
        <v>1497</v>
      </c>
      <c r="I542" s="87"/>
      <c r="J542" s="87" t="s">
        <v>1238</v>
      </c>
      <c r="K542" s="88" t="str">
        <f t="shared" si="24"/>
        <v>Д</v>
      </c>
      <c r="L542" s="88" t="str">
        <f t="shared" si="25"/>
        <v>О</v>
      </c>
      <c r="M542" s="89" t="str">
        <f t="shared" si="26"/>
        <v>Клиническая фармакология</v>
      </c>
      <c r="N542" s="89" t="s">
        <v>301</v>
      </c>
    </row>
    <row r="543" spans="1:14" customFormat="1" ht="30" hidden="1" customHeight="1" x14ac:dyDescent="0.25">
      <c r="A543" s="62" t="s">
        <v>1498</v>
      </c>
      <c r="B543" s="84" t="s">
        <v>1499</v>
      </c>
      <c r="C543" s="85" t="s">
        <v>295</v>
      </c>
      <c r="D543" s="85" t="s">
        <v>296</v>
      </c>
      <c r="E543" s="84" t="s">
        <v>330</v>
      </c>
      <c r="F543" s="86" t="s">
        <v>1444</v>
      </c>
      <c r="G543" s="87" t="s">
        <v>1500</v>
      </c>
      <c r="H543" s="87" t="s">
        <v>1500</v>
      </c>
      <c r="I543" s="87"/>
      <c r="J543" s="87" t="s">
        <v>1238</v>
      </c>
      <c r="K543" s="88" t="str">
        <f t="shared" si="24"/>
        <v>Д</v>
      </c>
      <c r="L543" s="88" t="str">
        <f t="shared" si="25"/>
        <v>О</v>
      </c>
      <c r="M543" s="89" t="str">
        <f t="shared" si="26"/>
        <v>Лечебная физкультура и спортивная медицина</v>
      </c>
      <c r="N543" s="89" t="s">
        <v>301</v>
      </c>
    </row>
    <row r="544" spans="1:14" customFormat="1" ht="30" hidden="1" customHeight="1" x14ac:dyDescent="0.25">
      <c r="A544" s="62" t="s">
        <v>1501</v>
      </c>
      <c r="B544" s="84" t="s">
        <v>1502</v>
      </c>
      <c r="C544" s="85" t="s">
        <v>295</v>
      </c>
      <c r="D544" s="85" t="s">
        <v>296</v>
      </c>
      <c r="E544" s="84" t="s">
        <v>330</v>
      </c>
      <c r="F544" s="86" t="s">
        <v>1444</v>
      </c>
      <c r="G544" s="87" t="s">
        <v>1358</v>
      </c>
      <c r="H544" s="87" t="s">
        <v>1358</v>
      </c>
      <c r="I544" s="87"/>
      <c r="J544" s="87" t="s">
        <v>1238</v>
      </c>
      <c r="K544" s="88" t="str">
        <f t="shared" si="24"/>
        <v>Д</v>
      </c>
      <c r="L544" s="88" t="str">
        <f t="shared" si="25"/>
        <v>О</v>
      </c>
      <c r="M544" s="89" t="str">
        <f t="shared" si="26"/>
        <v>Неврология</v>
      </c>
      <c r="N544" s="89" t="s">
        <v>301</v>
      </c>
    </row>
    <row r="545" spans="1:14" customFormat="1" ht="30" hidden="1" customHeight="1" x14ac:dyDescent="0.25">
      <c r="A545" s="62" t="s">
        <v>1503</v>
      </c>
      <c r="B545" s="84" t="s">
        <v>1504</v>
      </c>
      <c r="C545" s="85" t="s">
        <v>295</v>
      </c>
      <c r="D545" s="85" t="s">
        <v>296</v>
      </c>
      <c r="E545" s="84" t="s">
        <v>330</v>
      </c>
      <c r="F545" s="86" t="s">
        <v>1444</v>
      </c>
      <c r="G545" s="87" t="s">
        <v>1367</v>
      </c>
      <c r="H545" s="87" t="s">
        <v>1367</v>
      </c>
      <c r="I545" s="87"/>
      <c r="J545" s="87" t="s">
        <v>1238</v>
      </c>
      <c r="K545" s="88" t="str">
        <f t="shared" si="24"/>
        <v>Д</v>
      </c>
      <c r="L545" s="88" t="str">
        <f t="shared" si="25"/>
        <v>О</v>
      </c>
      <c r="M545" s="89" t="str">
        <f t="shared" si="26"/>
        <v>Нефрология</v>
      </c>
      <c r="N545" s="89" t="s">
        <v>301</v>
      </c>
    </row>
    <row r="546" spans="1:14" customFormat="1" ht="30" hidden="1" customHeight="1" x14ac:dyDescent="0.25">
      <c r="A546" s="62" t="s">
        <v>1505</v>
      </c>
      <c r="B546" s="84" t="s">
        <v>1506</v>
      </c>
      <c r="C546" s="85" t="s">
        <v>295</v>
      </c>
      <c r="D546" s="85" t="s">
        <v>296</v>
      </c>
      <c r="E546" s="84" t="s">
        <v>330</v>
      </c>
      <c r="F546" s="86" t="s">
        <v>1444</v>
      </c>
      <c r="G546" s="87" t="s">
        <v>1507</v>
      </c>
      <c r="H546" s="87" t="s">
        <v>1507</v>
      </c>
      <c r="I546" s="87"/>
      <c r="J546" s="87" t="s">
        <v>1238</v>
      </c>
      <c r="K546" s="88" t="str">
        <f t="shared" si="24"/>
        <v>Д</v>
      </c>
      <c r="L546" s="88" t="str">
        <f t="shared" si="25"/>
        <v>О</v>
      </c>
      <c r="M546" s="89" t="str">
        <f t="shared" si="26"/>
        <v>Пульмонология</v>
      </c>
      <c r="N546" s="89" t="s">
        <v>301</v>
      </c>
    </row>
    <row r="547" spans="1:14" customFormat="1" ht="30" hidden="1" customHeight="1" x14ac:dyDescent="0.25">
      <c r="A547" s="62" t="s">
        <v>1508</v>
      </c>
      <c r="B547" s="84" t="s">
        <v>1509</v>
      </c>
      <c r="C547" s="85" t="s">
        <v>295</v>
      </c>
      <c r="D547" s="85" t="s">
        <v>296</v>
      </c>
      <c r="E547" s="84" t="s">
        <v>330</v>
      </c>
      <c r="F547" s="86" t="s">
        <v>1444</v>
      </c>
      <c r="G547" s="87" t="s">
        <v>1510</v>
      </c>
      <c r="H547" s="87" t="s">
        <v>1510</v>
      </c>
      <c r="I547" s="87"/>
      <c r="J547" s="87" t="s">
        <v>1238</v>
      </c>
      <c r="K547" s="88" t="str">
        <f t="shared" si="24"/>
        <v>Д</v>
      </c>
      <c r="L547" s="88" t="str">
        <f t="shared" si="25"/>
        <v>О</v>
      </c>
      <c r="M547" s="89" t="str">
        <f t="shared" si="26"/>
        <v>Ревматология</v>
      </c>
      <c r="N547" s="89" t="s">
        <v>301</v>
      </c>
    </row>
    <row r="548" spans="1:14" ht="30" hidden="1" customHeight="1" x14ac:dyDescent="0.25">
      <c r="A548" s="62" t="s">
        <v>1511</v>
      </c>
      <c r="B548" s="84" t="s">
        <v>1512</v>
      </c>
      <c r="C548" s="85" t="s">
        <v>295</v>
      </c>
      <c r="D548" s="85" t="s">
        <v>296</v>
      </c>
      <c r="E548" s="84" t="s">
        <v>330</v>
      </c>
      <c r="F548" s="86" t="s">
        <v>1444</v>
      </c>
      <c r="G548" s="87" t="s">
        <v>1513</v>
      </c>
      <c r="H548" s="87" t="s">
        <v>1513</v>
      </c>
      <c r="I548" s="87"/>
      <c r="J548" s="87" t="s">
        <v>1238</v>
      </c>
      <c r="K548" s="88" t="str">
        <f t="shared" si="24"/>
        <v>Д</v>
      </c>
      <c r="L548" s="88" t="str">
        <f t="shared" si="25"/>
        <v>О</v>
      </c>
      <c r="M548" s="89" t="str">
        <f t="shared" si="26"/>
        <v>Рефлексотерапия</v>
      </c>
      <c r="N548" s="89" t="s">
        <v>301</v>
      </c>
    </row>
    <row r="549" spans="1:14" ht="30" hidden="1" customHeight="1" x14ac:dyDescent="0.25">
      <c r="A549" s="62" t="s">
        <v>1514</v>
      </c>
      <c r="B549" s="84" t="s">
        <v>1515</v>
      </c>
      <c r="C549" s="85" t="s">
        <v>295</v>
      </c>
      <c r="D549" s="85" t="s">
        <v>296</v>
      </c>
      <c r="E549" s="84" t="s">
        <v>330</v>
      </c>
      <c r="F549" s="86" t="s">
        <v>1444</v>
      </c>
      <c r="G549" s="87" t="s">
        <v>1516</v>
      </c>
      <c r="H549" s="87" t="s">
        <v>1516</v>
      </c>
      <c r="I549" s="87"/>
      <c r="J549" s="87" t="s">
        <v>1238</v>
      </c>
      <c r="K549" s="88" t="str">
        <f t="shared" si="24"/>
        <v>Д</v>
      </c>
      <c r="L549" s="88" t="str">
        <f t="shared" si="25"/>
        <v>О</v>
      </c>
      <c r="M549" s="89" t="str">
        <f t="shared" si="26"/>
        <v>Терапия</v>
      </c>
      <c r="N549" s="89" t="s">
        <v>301</v>
      </c>
    </row>
    <row r="550" spans="1:14" ht="30" hidden="1" customHeight="1" x14ac:dyDescent="0.25">
      <c r="A550" s="62" t="s">
        <v>1517</v>
      </c>
      <c r="B550" s="84" t="s">
        <v>1518</v>
      </c>
      <c r="C550" s="85" t="s">
        <v>295</v>
      </c>
      <c r="D550" s="85" t="s">
        <v>296</v>
      </c>
      <c r="E550" s="84" t="s">
        <v>330</v>
      </c>
      <c r="F550" s="86" t="s">
        <v>1444</v>
      </c>
      <c r="G550" s="87" t="s">
        <v>1519</v>
      </c>
      <c r="H550" s="87" t="s">
        <v>1519</v>
      </c>
      <c r="I550" s="87"/>
      <c r="J550" s="87" t="s">
        <v>1238</v>
      </c>
      <c r="K550" s="88" t="str">
        <f t="shared" si="24"/>
        <v>Д</v>
      </c>
      <c r="L550" s="88" t="str">
        <f t="shared" si="25"/>
        <v>О</v>
      </c>
      <c r="M550" s="89" t="str">
        <f t="shared" si="26"/>
        <v>Физиотерапия</v>
      </c>
      <c r="N550" s="89" t="s">
        <v>301</v>
      </c>
    </row>
    <row r="551" spans="1:14" ht="30" hidden="1" customHeight="1" x14ac:dyDescent="0.25">
      <c r="A551" s="62" t="s">
        <v>1520</v>
      </c>
      <c r="B551" s="84" t="s">
        <v>1521</v>
      </c>
      <c r="C551" s="85" t="s">
        <v>295</v>
      </c>
      <c r="D551" s="85" t="s">
        <v>296</v>
      </c>
      <c r="E551" s="84" t="s">
        <v>330</v>
      </c>
      <c r="F551" s="86" t="s">
        <v>1444</v>
      </c>
      <c r="G551" s="87" t="s">
        <v>1522</v>
      </c>
      <c r="H551" s="87" t="s">
        <v>1522</v>
      </c>
      <c r="I551" s="87"/>
      <c r="J551" s="87" t="s">
        <v>1238</v>
      </c>
      <c r="K551" s="88" t="str">
        <f t="shared" si="24"/>
        <v>Д</v>
      </c>
      <c r="L551" s="88" t="str">
        <f t="shared" si="25"/>
        <v>О</v>
      </c>
      <c r="M551" s="89" t="str">
        <f t="shared" si="26"/>
        <v>Фтизиатрия</v>
      </c>
      <c r="N551" s="89" t="s">
        <v>301</v>
      </c>
    </row>
    <row r="552" spans="1:14" customFormat="1" ht="30" hidden="1" customHeight="1" x14ac:dyDescent="0.25">
      <c r="A552" s="62" t="s">
        <v>1523</v>
      </c>
      <c r="B552" s="84" t="s">
        <v>1524</v>
      </c>
      <c r="C552" s="85" t="s">
        <v>295</v>
      </c>
      <c r="D552" s="85" t="s">
        <v>296</v>
      </c>
      <c r="E552" s="84" t="s">
        <v>330</v>
      </c>
      <c r="F552" s="86" t="s">
        <v>1444</v>
      </c>
      <c r="G552" s="87" t="s">
        <v>1525</v>
      </c>
      <c r="H552" s="87" t="s">
        <v>1525</v>
      </c>
      <c r="I552" s="87"/>
      <c r="J552" s="87" t="s">
        <v>1238</v>
      </c>
      <c r="K552" s="88" t="str">
        <f t="shared" si="24"/>
        <v>Д</v>
      </c>
      <c r="L552" s="88" t="str">
        <f t="shared" si="25"/>
        <v>О</v>
      </c>
      <c r="M552" s="89" t="str">
        <f t="shared" si="26"/>
        <v>Эндокринология</v>
      </c>
      <c r="N552" s="89" t="s">
        <v>301</v>
      </c>
    </row>
    <row r="553" spans="1:14" ht="30" hidden="1" customHeight="1" x14ac:dyDescent="0.25">
      <c r="A553" s="62" t="s">
        <v>1526</v>
      </c>
      <c r="B553" s="84" t="s">
        <v>1527</v>
      </c>
      <c r="C553" s="85" t="s">
        <v>295</v>
      </c>
      <c r="D553" s="85" t="s">
        <v>296</v>
      </c>
      <c r="E553" s="84" t="s">
        <v>330</v>
      </c>
      <c r="F553" s="86" t="s">
        <v>1444</v>
      </c>
      <c r="G553" s="87" t="s">
        <v>1528</v>
      </c>
      <c r="H553" s="87" t="s">
        <v>1528</v>
      </c>
      <c r="I553" s="87"/>
      <c r="J553" s="87" t="s">
        <v>1238</v>
      </c>
      <c r="K553" s="88" t="str">
        <f t="shared" si="24"/>
        <v>Д</v>
      </c>
      <c r="L553" s="88" t="str">
        <f t="shared" si="25"/>
        <v>О</v>
      </c>
      <c r="M553" s="89" t="str">
        <f t="shared" si="26"/>
        <v>Общая врачебная практика (семейная медицина)</v>
      </c>
      <c r="N553" s="89" t="s">
        <v>301</v>
      </c>
    </row>
    <row r="554" spans="1:14" ht="30" hidden="1" customHeight="1" x14ac:dyDescent="0.25">
      <c r="A554" s="62" t="s">
        <v>1529</v>
      </c>
      <c r="B554" s="84" t="s">
        <v>1530</v>
      </c>
      <c r="C554" s="85" t="s">
        <v>295</v>
      </c>
      <c r="D554" s="85" t="s">
        <v>296</v>
      </c>
      <c r="E554" s="84" t="s">
        <v>330</v>
      </c>
      <c r="F554" s="86" t="s">
        <v>1444</v>
      </c>
      <c r="G554" s="87" t="s">
        <v>1308</v>
      </c>
      <c r="H554" s="87" t="s">
        <v>1308</v>
      </c>
      <c r="I554" s="87"/>
      <c r="J554" s="87" t="s">
        <v>1238</v>
      </c>
      <c r="K554" s="88" t="str">
        <f t="shared" si="24"/>
        <v>Д</v>
      </c>
      <c r="L554" s="88" t="str">
        <f t="shared" si="25"/>
        <v>О</v>
      </c>
      <c r="M554" s="89" t="str">
        <f t="shared" si="26"/>
        <v>Нейрохирургия</v>
      </c>
      <c r="N554" s="89" t="s">
        <v>301</v>
      </c>
    </row>
    <row r="555" spans="1:14" customFormat="1" ht="30" hidden="1" customHeight="1" x14ac:dyDescent="0.25">
      <c r="A555" s="62" t="s">
        <v>1531</v>
      </c>
      <c r="B555" s="84" t="s">
        <v>1532</v>
      </c>
      <c r="C555" s="85" t="s">
        <v>295</v>
      </c>
      <c r="D555" s="85" t="s">
        <v>296</v>
      </c>
      <c r="E555" s="84" t="s">
        <v>330</v>
      </c>
      <c r="F555" s="86" t="s">
        <v>1444</v>
      </c>
      <c r="G555" s="87" t="s">
        <v>1382</v>
      </c>
      <c r="H555" s="87" t="s">
        <v>1382</v>
      </c>
      <c r="I555" s="87"/>
      <c r="J555" s="87" t="s">
        <v>1238</v>
      </c>
      <c r="K555" s="88" t="str">
        <f t="shared" si="24"/>
        <v>Д</v>
      </c>
      <c r="L555" s="88" t="str">
        <f t="shared" si="25"/>
        <v>О</v>
      </c>
      <c r="M555" s="89" t="str">
        <f t="shared" si="26"/>
        <v>Онкология</v>
      </c>
      <c r="N555" s="89" t="s">
        <v>301</v>
      </c>
    </row>
    <row r="556" spans="1:14" customFormat="1" ht="30" hidden="1" customHeight="1" x14ac:dyDescent="0.25">
      <c r="A556" s="62" t="s">
        <v>1533</v>
      </c>
      <c r="B556" s="84" t="s">
        <v>1534</v>
      </c>
      <c r="C556" s="85" t="s">
        <v>295</v>
      </c>
      <c r="D556" s="85" t="s">
        <v>296</v>
      </c>
      <c r="E556" s="84" t="s">
        <v>330</v>
      </c>
      <c r="F556" s="86" t="s">
        <v>1444</v>
      </c>
      <c r="G556" s="87" t="s">
        <v>1363</v>
      </c>
      <c r="H556" s="87" t="s">
        <v>1363</v>
      </c>
      <c r="I556" s="87"/>
      <c r="J556" s="87" t="s">
        <v>1238</v>
      </c>
      <c r="K556" s="88" t="str">
        <f t="shared" si="24"/>
        <v>Д</v>
      </c>
      <c r="L556" s="88" t="str">
        <f t="shared" si="25"/>
        <v>О</v>
      </c>
      <c r="M556" s="89" t="str">
        <f t="shared" si="26"/>
        <v>Оториноларингология</v>
      </c>
      <c r="N556" s="89" t="s">
        <v>301</v>
      </c>
    </row>
    <row r="557" spans="1:14" ht="30" hidden="1" customHeight="1" x14ac:dyDescent="0.25">
      <c r="A557" s="62" t="s">
        <v>1535</v>
      </c>
      <c r="B557" s="84" t="s">
        <v>1536</v>
      </c>
      <c r="C557" s="85" t="s">
        <v>295</v>
      </c>
      <c r="D557" s="85" t="s">
        <v>296</v>
      </c>
      <c r="E557" s="84" t="s">
        <v>330</v>
      </c>
      <c r="F557" s="86" t="s">
        <v>1444</v>
      </c>
      <c r="G557" s="87" t="s">
        <v>1376</v>
      </c>
      <c r="H557" s="87" t="s">
        <v>1376</v>
      </c>
      <c r="I557" s="87"/>
      <c r="J557" s="87" t="s">
        <v>1238</v>
      </c>
      <c r="K557" s="88" t="str">
        <f t="shared" si="24"/>
        <v>Д</v>
      </c>
      <c r="L557" s="88" t="str">
        <f t="shared" si="25"/>
        <v>О</v>
      </c>
      <c r="M557" s="89" t="str">
        <f t="shared" si="26"/>
        <v>Офтальмология</v>
      </c>
      <c r="N557" s="89" t="s">
        <v>301</v>
      </c>
    </row>
    <row r="558" spans="1:14" customFormat="1" ht="30" hidden="1" customHeight="1" x14ac:dyDescent="0.25">
      <c r="A558" s="62" t="s">
        <v>1537</v>
      </c>
      <c r="B558" s="84" t="s">
        <v>1538</v>
      </c>
      <c r="C558" s="85" t="s">
        <v>295</v>
      </c>
      <c r="D558" s="85" t="s">
        <v>296</v>
      </c>
      <c r="E558" s="84" t="s">
        <v>330</v>
      </c>
      <c r="F558" s="86" t="s">
        <v>1444</v>
      </c>
      <c r="G558" s="87" t="s">
        <v>1539</v>
      </c>
      <c r="H558" s="87" t="s">
        <v>1539</v>
      </c>
      <c r="I558" s="87"/>
      <c r="J558" s="87" t="s">
        <v>1238</v>
      </c>
      <c r="K558" s="88" t="str">
        <f t="shared" si="24"/>
        <v>Д</v>
      </c>
      <c r="L558" s="88" t="str">
        <f t="shared" si="25"/>
        <v>О</v>
      </c>
      <c r="M558" s="89" t="str">
        <f t="shared" si="26"/>
        <v>Радиотерапия</v>
      </c>
      <c r="N558" s="89" t="s">
        <v>301</v>
      </c>
    </row>
    <row r="559" spans="1:14" customFormat="1" ht="30" hidden="1" customHeight="1" x14ac:dyDescent="0.25">
      <c r="A559" s="62" t="s">
        <v>1540</v>
      </c>
      <c r="B559" s="84" t="s">
        <v>1541</v>
      </c>
      <c r="C559" s="85" t="s">
        <v>295</v>
      </c>
      <c r="D559" s="85" t="s">
        <v>296</v>
      </c>
      <c r="E559" s="84" t="s">
        <v>330</v>
      </c>
      <c r="F559" s="86" t="s">
        <v>1444</v>
      </c>
      <c r="G559" s="87" t="s">
        <v>1542</v>
      </c>
      <c r="H559" s="87" t="s">
        <v>1542</v>
      </c>
      <c r="I559" s="87"/>
      <c r="J559" s="87" t="s">
        <v>1238</v>
      </c>
      <c r="K559" s="88" t="str">
        <f t="shared" si="24"/>
        <v>Д</v>
      </c>
      <c r="L559" s="88" t="str">
        <f t="shared" si="25"/>
        <v>О</v>
      </c>
      <c r="M559" s="89" t="str">
        <f t="shared" si="26"/>
        <v>Рентгенэндоваскулярные диагностика и лечение</v>
      </c>
      <c r="N559" s="89" t="s">
        <v>301</v>
      </c>
    </row>
    <row r="560" spans="1:14" customFormat="1" ht="30" hidden="1" customHeight="1" x14ac:dyDescent="0.25">
      <c r="A560" s="62" t="s">
        <v>1543</v>
      </c>
      <c r="B560" s="84" t="s">
        <v>1544</v>
      </c>
      <c r="C560" s="85" t="s">
        <v>295</v>
      </c>
      <c r="D560" s="85" t="s">
        <v>296</v>
      </c>
      <c r="E560" s="84" t="s">
        <v>393</v>
      </c>
      <c r="F560" s="86" t="s">
        <v>1444</v>
      </c>
      <c r="G560" s="87" t="s">
        <v>1321</v>
      </c>
      <c r="H560" s="87" t="s">
        <v>1321</v>
      </c>
      <c r="I560" s="87"/>
      <c r="J560" s="87" t="s">
        <v>1238</v>
      </c>
      <c r="K560" s="88" t="str">
        <f t="shared" si="24"/>
        <v>Д</v>
      </c>
      <c r="L560" s="88" t="str">
        <f t="shared" si="25"/>
        <v>О</v>
      </c>
      <c r="M560" s="89" t="str">
        <f t="shared" si="26"/>
        <v>Сердечно-сосудистая хирургия</v>
      </c>
      <c r="N560" s="89" t="s">
        <v>301</v>
      </c>
    </row>
    <row r="561" spans="1:14" customFormat="1" ht="30" hidden="1" customHeight="1" x14ac:dyDescent="0.25">
      <c r="A561" s="62" t="s">
        <v>1545</v>
      </c>
      <c r="B561" s="84" t="s">
        <v>1546</v>
      </c>
      <c r="C561" s="85" t="s">
        <v>295</v>
      </c>
      <c r="D561" s="85" t="s">
        <v>296</v>
      </c>
      <c r="E561" s="84" t="s">
        <v>330</v>
      </c>
      <c r="F561" s="86" t="s">
        <v>1444</v>
      </c>
      <c r="G561" s="87" t="s">
        <v>1388</v>
      </c>
      <c r="H561" s="87" t="s">
        <v>1388</v>
      </c>
      <c r="I561" s="87"/>
      <c r="J561" s="87" t="s">
        <v>1238</v>
      </c>
      <c r="K561" s="88" t="str">
        <f t="shared" si="24"/>
        <v>Д</v>
      </c>
      <c r="L561" s="88" t="str">
        <f t="shared" si="25"/>
        <v>О</v>
      </c>
      <c r="M561" s="89" t="str">
        <f t="shared" si="26"/>
        <v>Травматология и ортопедия</v>
      </c>
      <c r="N561" s="89" t="s">
        <v>301</v>
      </c>
    </row>
    <row r="562" spans="1:14" customFormat="1" ht="30" hidden="1" customHeight="1" x14ac:dyDescent="0.25">
      <c r="A562" s="62" t="s">
        <v>1547</v>
      </c>
      <c r="B562" s="84" t="s">
        <v>1548</v>
      </c>
      <c r="C562" s="85" t="s">
        <v>295</v>
      </c>
      <c r="D562" s="85" t="s">
        <v>296</v>
      </c>
      <c r="E562" s="84" t="s">
        <v>330</v>
      </c>
      <c r="F562" s="86" t="s">
        <v>1444</v>
      </c>
      <c r="G562" s="87" t="s">
        <v>1391</v>
      </c>
      <c r="H562" s="87" t="s">
        <v>1391</v>
      </c>
      <c r="I562" s="87"/>
      <c r="J562" s="87" t="s">
        <v>1238</v>
      </c>
      <c r="K562" s="88" t="str">
        <f t="shared" si="24"/>
        <v>Д</v>
      </c>
      <c r="L562" s="88" t="str">
        <f t="shared" si="25"/>
        <v>О</v>
      </c>
      <c r="M562" s="89" t="str">
        <f t="shared" si="26"/>
        <v>Хирургия</v>
      </c>
      <c r="N562" s="89" t="s">
        <v>301</v>
      </c>
    </row>
    <row r="563" spans="1:14" customFormat="1" ht="30" hidden="1" customHeight="1" x14ac:dyDescent="0.25">
      <c r="A563" s="62" t="s">
        <v>1549</v>
      </c>
      <c r="B563" s="84" t="s">
        <v>1550</v>
      </c>
      <c r="C563" s="85" t="s">
        <v>295</v>
      </c>
      <c r="D563" s="85" t="s">
        <v>296</v>
      </c>
      <c r="E563" s="84" t="s">
        <v>330</v>
      </c>
      <c r="F563" s="86" t="s">
        <v>1444</v>
      </c>
      <c r="G563" s="87" t="s">
        <v>1315</v>
      </c>
      <c r="H563" s="87" t="s">
        <v>1315</v>
      </c>
      <c r="I563" s="87"/>
      <c r="J563" s="87" t="s">
        <v>1238</v>
      </c>
      <c r="K563" s="88" t="str">
        <f t="shared" si="24"/>
        <v>Д</v>
      </c>
      <c r="L563" s="88" t="str">
        <f t="shared" si="25"/>
        <v>О</v>
      </c>
      <c r="M563" s="89" t="str">
        <f t="shared" si="26"/>
        <v>Урология</v>
      </c>
      <c r="N563" s="89" t="s">
        <v>301</v>
      </c>
    </row>
    <row r="564" spans="1:14" customFormat="1" ht="30" hidden="1" customHeight="1" x14ac:dyDescent="0.25">
      <c r="A564" s="62" t="s">
        <v>1551</v>
      </c>
      <c r="B564" s="84" t="s">
        <v>1552</v>
      </c>
      <c r="C564" s="85" t="s">
        <v>295</v>
      </c>
      <c r="D564" s="85" t="s">
        <v>296</v>
      </c>
      <c r="E564" s="84" t="s">
        <v>330</v>
      </c>
      <c r="F564" s="86" t="s">
        <v>1444</v>
      </c>
      <c r="G564" s="87" t="s">
        <v>1339</v>
      </c>
      <c r="H564" s="87" t="s">
        <v>1339</v>
      </c>
      <c r="I564" s="87"/>
      <c r="J564" s="87" t="s">
        <v>1238</v>
      </c>
      <c r="K564" s="88" t="str">
        <f t="shared" si="24"/>
        <v>Д</v>
      </c>
      <c r="L564" s="88" t="str">
        <f t="shared" si="25"/>
        <v>О</v>
      </c>
      <c r="M564" s="89" t="str">
        <f t="shared" si="26"/>
        <v>Челюстно-лицевая хирургия</v>
      </c>
      <c r="N564" s="89" t="s">
        <v>301</v>
      </c>
    </row>
    <row r="565" spans="1:14" customFormat="1" ht="30" hidden="1" customHeight="1" x14ac:dyDescent="0.25">
      <c r="A565" s="62" t="s">
        <v>1553</v>
      </c>
      <c r="B565" s="84" t="s">
        <v>1554</v>
      </c>
      <c r="C565" s="85" t="s">
        <v>295</v>
      </c>
      <c r="D565" s="85" t="s">
        <v>296</v>
      </c>
      <c r="E565" s="84" t="s">
        <v>330</v>
      </c>
      <c r="F565" s="86" t="s">
        <v>1444</v>
      </c>
      <c r="G565" s="87" t="s">
        <v>1555</v>
      </c>
      <c r="H565" s="87" t="s">
        <v>1555</v>
      </c>
      <c r="I565" s="87"/>
      <c r="J565" s="87" t="s">
        <v>1238</v>
      </c>
      <c r="K565" s="88" t="str">
        <f t="shared" si="24"/>
        <v>Д</v>
      </c>
      <c r="L565" s="88" t="str">
        <f t="shared" si="25"/>
        <v>О</v>
      </c>
      <c r="M565" s="89" t="str">
        <f t="shared" si="26"/>
        <v>Организация здравоохранения и общественное здоровье</v>
      </c>
      <c r="N565" s="89" t="s">
        <v>301</v>
      </c>
    </row>
    <row r="566" spans="1:14" ht="30" hidden="1" customHeight="1" x14ac:dyDescent="0.25">
      <c r="A566" s="62" t="s">
        <v>1556</v>
      </c>
      <c r="B566" s="84" t="s">
        <v>1557</v>
      </c>
      <c r="C566" s="85" t="s">
        <v>295</v>
      </c>
      <c r="D566" s="85" t="s">
        <v>296</v>
      </c>
      <c r="E566" s="84" t="s">
        <v>330</v>
      </c>
      <c r="F566" s="86" t="s">
        <v>1444</v>
      </c>
      <c r="G566" s="87" t="s">
        <v>1558</v>
      </c>
      <c r="H566" s="87" t="s">
        <v>1558</v>
      </c>
      <c r="I566" s="87"/>
      <c r="J566" s="87" t="s">
        <v>1238</v>
      </c>
      <c r="K566" s="88" t="str">
        <f t="shared" si="24"/>
        <v>Д</v>
      </c>
      <c r="L566" s="88" t="str">
        <f t="shared" si="25"/>
        <v>О</v>
      </c>
      <c r="M566" s="89" t="str">
        <f t="shared" si="26"/>
        <v>Стоматология общей практики</v>
      </c>
      <c r="N566" s="89" t="s">
        <v>301</v>
      </c>
    </row>
    <row r="567" spans="1:14" ht="30" hidden="1" customHeight="1" x14ac:dyDescent="0.25">
      <c r="A567" s="62" t="s">
        <v>1559</v>
      </c>
      <c r="B567" s="84" t="s">
        <v>1560</v>
      </c>
      <c r="C567" s="85" t="s">
        <v>295</v>
      </c>
      <c r="D567" s="85" t="s">
        <v>296</v>
      </c>
      <c r="E567" s="84" t="s">
        <v>330</v>
      </c>
      <c r="F567" s="86" t="s">
        <v>1444</v>
      </c>
      <c r="G567" s="87" t="s">
        <v>1561</v>
      </c>
      <c r="H567" s="87" t="s">
        <v>1561</v>
      </c>
      <c r="I567" s="87"/>
      <c r="J567" s="87" t="s">
        <v>1238</v>
      </c>
      <c r="K567" s="88" t="str">
        <f t="shared" si="24"/>
        <v>Д</v>
      </c>
      <c r="L567" s="88" t="str">
        <f t="shared" si="25"/>
        <v>О</v>
      </c>
      <c r="M567" s="89" t="str">
        <f t="shared" si="26"/>
        <v>Стоматология терапевтическая</v>
      </c>
      <c r="N567" s="89" t="s">
        <v>301</v>
      </c>
    </row>
    <row r="568" spans="1:14" customFormat="1" ht="37.5" hidden="1" customHeight="1" x14ac:dyDescent="0.25">
      <c r="A568" s="62" t="s">
        <v>1562</v>
      </c>
      <c r="B568" s="84" t="s">
        <v>1563</v>
      </c>
      <c r="C568" s="85" t="s">
        <v>295</v>
      </c>
      <c r="D568" s="85" t="s">
        <v>296</v>
      </c>
      <c r="E568" s="84" t="s">
        <v>330</v>
      </c>
      <c r="F568" s="86" t="s">
        <v>1444</v>
      </c>
      <c r="G568" s="87" t="s">
        <v>1564</v>
      </c>
      <c r="H568" s="87" t="s">
        <v>1564</v>
      </c>
      <c r="I568" s="87"/>
      <c r="J568" s="87" t="s">
        <v>1238</v>
      </c>
      <c r="K568" s="88" t="str">
        <f t="shared" si="24"/>
        <v>Д</v>
      </c>
      <c r="L568" s="88" t="str">
        <f t="shared" si="25"/>
        <v>О</v>
      </c>
      <c r="M568" s="89" t="str">
        <f t="shared" si="26"/>
        <v>Стоматология хирургическая</v>
      </c>
      <c r="N568" s="89" t="s">
        <v>301</v>
      </c>
    </row>
    <row r="569" spans="1:14" customFormat="1" ht="37.5" hidden="1" customHeight="1" x14ac:dyDescent="0.25">
      <c r="A569" s="62" t="s">
        <v>1565</v>
      </c>
      <c r="B569" s="84" t="s">
        <v>1566</v>
      </c>
      <c r="C569" s="85" t="s">
        <v>295</v>
      </c>
      <c r="D569" s="85" t="s">
        <v>296</v>
      </c>
      <c r="E569" s="84" t="s">
        <v>330</v>
      </c>
      <c r="F569" s="86" t="s">
        <v>1444</v>
      </c>
      <c r="G569" s="87" t="s">
        <v>1567</v>
      </c>
      <c r="H569" s="87" t="s">
        <v>1567</v>
      </c>
      <c r="I569" s="87"/>
      <c r="J569" s="87" t="s">
        <v>1238</v>
      </c>
      <c r="K569" s="88" t="str">
        <f t="shared" si="24"/>
        <v>Д</v>
      </c>
      <c r="L569" s="88" t="str">
        <f t="shared" si="25"/>
        <v>О</v>
      </c>
      <c r="M569" s="89" t="str">
        <f t="shared" si="26"/>
        <v>Стоматология ортопедическая</v>
      </c>
      <c r="N569" s="89" t="s">
        <v>301</v>
      </c>
    </row>
    <row r="570" spans="1:14" customFormat="1" ht="30" hidden="1" customHeight="1" x14ac:dyDescent="0.25">
      <c r="A570" s="62" t="s">
        <v>1568</v>
      </c>
      <c r="B570" s="84" t="s">
        <v>1569</v>
      </c>
      <c r="C570" s="85" t="s">
        <v>295</v>
      </c>
      <c r="D570" s="85" t="s">
        <v>296</v>
      </c>
      <c r="E570" s="84" t="s">
        <v>330</v>
      </c>
      <c r="F570" s="86" t="s">
        <v>1444</v>
      </c>
      <c r="G570" s="87" t="s">
        <v>1570</v>
      </c>
      <c r="H570" s="87" t="s">
        <v>1570</v>
      </c>
      <c r="I570" s="87"/>
      <c r="J570" s="87" t="s">
        <v>1238</v>
      </c>
      <c r="K570" s="88" t="str">
        <f t="shared" si="24"/>
        <v>Д</v>
      </c>
      <c r="L570" s="88" t="str">
        <f t="shared" si="25"/>
        <v>О</v>
      </c>
      <c r="M570" s="89" t="str">
        <f t="shared" si="26"/>
        <v>Стоматология детская</v>
      </c>
      <c r="N570" s="89" t="s">
        <v>301</v>
      </c>
    </row>
    <row r="571" spans="1:14" ht="30" hidden="1" customHeight="1" x14ac:dyDescent="0.25">
      <c r="A571" s="62" t="s">
        <v>1571</v>
      </c>
      <c r="B571" s="84" t="s">
        <v>1572</v>
      </c>
      <c r="C571" s="85" t="s">
        <v>295</v>
      </c>
      <c r="D571" s="85" t="s">
        <v>296</v>
      </c>
      <c r="E571" s="84" t="s">
        <v>330</v>
      </c>
      <c r="F571" s="86" t="s">
        <v>1444</v>
      </c>
      <c r="G571" s="87" t="s">
        <v>1573</v>
      </c>
      <c r="H571" s="87" t="s">
        <v>1573</v>
      </c>
      <c r="I571" s="87"/>
      <c r="J571" s="87" t="s">
        <v>1238</v>
      </c>
      <c r="K571" s="88" t="str">
        <f t="shared" si="24"/>
        <v>Д</v>
      </c>
      <c r="L571" s="88" t="str">
        <f t="shared" si="25"/>
        <v>О</v>
      </c>
      <c r="M571" s="89" t="str">
        <f t="shared" si="26"/>
        <v>Ортодонтия</v>
      </c>
      <c r="N571" s="89" t="s">
        <v>301</v>
      </c>
    </row>
    <row r="572" spans="1:14" ht="30" hidden="1" customHeight="1" x14ac:dyDescent="0.25">
      <c r="A572" s="62" t="s">
        <v>1574</v>
      </c>
      <c r="B572" s="84" t="s">
        <v>1575</v>
      </c>
      <c r="C572" s="85" t="s">
        <v>295</v>
      </c>
      <c r="D572" s="85" t="s">
        <v>296</v>
      </c>
      <c r="E572" s="84" t="s">
        <v>330</v>
      </c>
      <c r="F572" s="86" t="s">
        <v>1444</v>
      </c>
      <c r="G572" s="87" t="s">
        <v>1576</v>
      </c>
      <c r="H572" s="87" t="s">
        <v>1576</v>
      </c>
      <c r="I572" s="87"/>
      <c r="J572" s="87" t="s">
        <v>1238</v>
      </c>
      <c r="K572" s="88" t="str">
        <f t="shared" si="24"/>
        <v>Д</v>
      </c>
      <c r="L572" s="88" t="str">
        <f t="shared" si="25"/>
        <v>О</v>
      </c>
      <c r="M572" s="89" t="str">
        <f t="shared" si="26"/>
        <v>Эпидемиология</v>
      </c>
      <c r="N572" s="89" t="s">
        <v>301</v>
      </c>
    </row>
    <row r="573" spans="1:14" ht="30" hidden="1" customHeight="1" x14ac:dyDescent="0.25">
      <c r="A573" s="62" t="s">
        <v>1577</v>
      </c>
      <c r="B573" s="84" t="s">
        <v>1262</v>
      </c>
      <c r="C573" s="85" t="s">
        <v>403</v>
      </c>
      <c r="D573" s="85" t="s">
        <v>296</v>
      </c>
      <c r="E573" s="84" t="s">
        <v>297</v>
      </c>
      <c r="F573" s="86" t="s">
        <v>312</v>
      </c>
      <c r="G573" s="87" t="s">
        <v>1263</v>
      </c>
      <c r="H573" s="87" t="s">
        <v>1263</v>
      </c>
      <c r="I573" s="87"/>
      <c r="J573" s="87" t="s">
        <v>1238</v>
      </c>
      <c r="K573" s="88" t="str">
        <f t="shared" si="24"/>
        <v>В</v>
      </c>
      <c r="L573" s="88" t="str">
        <f t="shared" si="25"/>
        <v>Б</v>
      </c>
      <c r="M573" s="89" t="str">
        <f t="shared" si="26"/>
        <v>Сестринское дело</v>
      </c>
      <c r="N573" s="89" t="s">
        <v>301</v>
      </c>
    </row>
    <row r="574" spans="1:14" customFormat="1" ht="30" hidden="1" customHeight="1" x14ac:dyDescent="0.25">
      <c r="A574" s="62" t="s">
        <v>1578</v>
      </c>
      <c r="B574" s="84" t="s">
        <v>1274</v>
      </c>
      <c r="C574" s="85" t="s">
        <v>403</v>
      </c>
      <c r="D574" s="85" t="s">
        <v>296</v>
      </c>
      <c r="E574" s="84" t="s">
        <v>413</v>
      </c>
      <c r="F574" s="86" t="s">
        <v>331</v>
      </c>
      <c r="G574" s="87" t="s">
        <v>1275</v>
      </c>
      <c r="H574" s="87" t="s">
        <v>1275</v>
      </c>
      <c r="I574" s="87"/>
      <c r="J574" s="87" t="s">
        <v>1238</v>
      </c>
      <c r="K574" s="88" t="str">
        <f t="shared" si="24"/>
        <v>В</v>
      </c>
      <c r="L574" s="88" t="str">
        <f t="shared" si="25"/>
        <v>М</v>
      </c>
      <c r="M574" s="89" t="str">
        <f t="shared" si="26"/>
        <v>Управление сестринской деятельностью</v>
      </c>
      <c r="N574" s="89" t="s">
        <v>301</v>
      </c>
    </row>
    <row r="575" spans="1:14" ht="30" hidden="1" customHeight="1" x14ac:dyDescent="0.25">
      <c r="A575" s="62" t="s">
        <v>1579</v>
      </c>
      <c r="B575" s="84" t="s">
        <v>488</v>
      </c>
      <c r="C575" s="85" t="s">
        <v>419</v>
      </c>
      <c r="D575" s="85" t="s">
        <v>296</v>
      </c>
      <c r="E575" s="84" t="s">
        <v>1580</v>
      </c>
      <c r="F575" s="86" t="s">
        <v>331</v>
      </c>
      <c r="G575" s="87" t="s">
        <v>449</v>
      </c>
      <c r="H575" s="87" t="s">
        <v>1581</v>
      </c>
      <c r="I575" s="87"/>
      <c r="J575" s="87" t="s">
        <v>1238</v>
      </c>
      <c r="K575" s="88" t="str">
        <f t="shared" si="24"/>
        <v>З</v>
      </c>
      <c r="L575" s="88" t="str">
        <f t="shared" si="25"/>
        <v>М</v>
      </c>
      <c r="M575" s="89" t="str">
        <f t="shared" si="26"/>
        <v>Менеджмент в здравоохранении</v>
      </c>
      <c r="N575" s="89" t="s">
        <v>301</v>
      </c>
    </row>
    <row r="576" spans="1:14" ht="30" hidden="1" customHeight="1" x14ac:dyDescent="0.25">
      <c r="A576" s="62" t="s">
        <v>1582</v>
      </c>
      <c r="B576" s="84" t="s">
        <v>1583</v>
      </c>
      <c r="C576" s="85" t="s">
        <v>419</v>
      </c>
      <c r="D576" s="85" t="s">
        <v>296</v>
      </c>
      <c r="E576" s="84" t="s">
        <v>297</v>
      </c>
      <c r="F576" s="86" t="s">
        <v>368</v>
      </c>
      <c r="G576" s="87" t="s">
        <v>1584</v>
      </c>
      <c r="H576" s="87" t="s">
        <v>377</v>
      </c>
      <c r="I576" s="87"/>
      <c r="J576" s="87" t="s">
        <v>1238</v>
      </c>
      <c r="K576" s="88" t="str">
        <f t="shared" si="24"/>
        <v>З</v>
      </c>
      <c r="L576" s="88" t="str">
        <f t="shared" si="25"/>
        <v>А</v>
      </c>
      <c r="M576" s="89" t="str">
        <f t="shared" si="26"/>
        <v>Генетика</v>
      </c>
      <c r="N576" s="89" t="s">
        <v>301</v>
      </c>
    </row>
    <row r="577" spans="1:14" ht="30" hidden="1" customHeight="1" x14ac:dyDescent="0.25">
      <c r="A577" s="62" t="s">
        <v>1585</v>
      </c>
      <c r="B577" s="84" t="s">
        <v>1583</v>
      </c>
      <c r="C577" s="85" t="s">
        <v>419</v>
      </c>
      <c r="D577" s="85" t="s">
        <v>296</v>
      </c>
      <c r="E577" s="84" t="s">
        <v>297</v>
      </c>
      <c r="F577" s="86" t="s">
        <v>368</v>
      </c>
      <c r="G577" s="87" t="s">
        <v>1584</v>
      </c>
      <c r="H577" s="87" t="s">
        <v>1282</v>
      </c>
      <c r="I577" s="87"/>
      <c r="J577" s="87" t="s">
        <v>1238</v>
      </c>
      <c r="K577" s="88" t="str">
        <f t="shared" si="24"/>
        <v>З</v>
      </c>
      <c r="L577" s="88" t="str">
        <f t="shared" si="25"/>
        <v>А</v>
      </c>
      <c r="M577" s="89" t="str">
        <f t="shared" si="26"/>
        <v>Клеточная биология, цитология, гистология</v>
      </c>
      <c r="N577" s="89" t="s">
        <v>301</v>
      </c>
    </row>
    <row r="578" spans="1:14" ht="30" hidden="1" customHeight="1" x14ac:dyDescent="0.25">
      <c r="A578" s="62" t="s">
        <v>1586</v>
      </c>
      <c r="B578" s="84" t="s">
        <v>1583</v>
      </c>
      <c r="C578" s="85" t="s">
        <v>419</v>
      </c>
      <c r="D578" s="85" t="s">
        <v>296</v>
      </c>
      <c r="E578" s="84" t="s">
        <v>297</v>
      </c>
      <c r="F578" s="86" t="s">
        <v>368</v>
      </c>
      <c r="G578" s="87" t="s">
        <v>1584</v>
      </c>
      <c r="H578" s="87" t="s">
        <v>1302</v>
      </c>
      <c r="I578" s="87"/>
      <c r="J578" s="87" t="s">
        <v>1238</v>
      </c>
      <c r="K578" s="88" t="str">
        <f t="shared" si="24"/>
        <v>З</v>
      </c>
      <c r="L578" s="88" t="str">
        <f t="shared" si="25"/>
        <v>А</v>
      </c>
      <c r="M578" s="89" t="str">
        <f t="shared" si="26"/>
        <v>Математическая биология, биоинформатика</v>
      </c>
      <c r="N578" s="89" t="s">
        <v>301</v>
      </c>
    </row>
    <row r="579" spans="1:14" ht="30" hidden="1" customHeight="1" x14ac:dyDescent="0.25">
      <c r="A579" s="62" t="s">
        <v>1587</v>
      </c>
      <c r="B579" s="84" t="s">
        <v>1583</v>
      </c>
      <c r="C579" s="85" t="s">
        <v>419</v>
      </c>
      <c r="D579" s="85" t="s">
        <v>296</v>
      </c>
      <c r="E579" s="84" t="s">
        <v>297</v>
      </c>
      <c r="F579" s="86" t="s">
        <v>368</v>
      </c>
      <c r="G579" s="87" t="s">
        <v>1584</v>
      </c>
      <c r="H579" s="87" t="s">
        <v>1278</v>
      </c>
      <c r="I579" s="87"/>
      <c r="J579" s="87" t="s">
        <v>1238</v>
      </c>
      <c r="K579" s="88" t="str">
        <f t="shared" ref="K579:K642" si="27">IF(C579="очная","Д",IF(C579="Очно-заочная","В",IF(C579="Заочная","З","-")))</f>
        <v>З</v>
      </c>
      <c r="L579" s="88" t="str">
        <f t="shared" ref="L579:L642" si="28">IF(N579="да","ЦМ",LEFT(F579,1))</f>
        <v>А</v>
      </c>
      <c r="M579" s="89" t="str">
        <f t="shared" ref="M579:M642" si="29">CONCATENATE(H579,IF(I579&gt;0,CONCATENATE(" (Вуз-партнёр – ",I579,")"),IF(D579=$D$3,"",CONCATENATE(" [язык реализации –",D579,"]"))))</f>
        <v>Микробиология</v>
      </c>
      <c r="N579" s="89" t="s">
        <v>301</v>
      </c>
    </row>
    <row r="580" spans="1:14" ht="30" hidden="1" customHeight="1" x14ac:dyDescent="0.25">
      <c r="A580" s="62" t="s">
        <v>1588</v>
      </c>
      <c r="B580" s="84" t="s">
        <v>1583</v>
      </c>
      <c r="C580" s="85" t="s">
        <v>419</v>
      </c>
      <c r="D580" s="85" t="s">
        <v>296</v>
      </c>
      <c r="E580" s="84" t="s">
        <v>297</v>
      </c>
      <c r="F580" s="86" t="s">
        <v>368</v>
      </c>
      <c r="G580" s="87" t="s">
        <v>1584</v>
      </c>
      <c r="H580" s="87" t="s">
        <v>1292</v>
      </c>
      <c r="I580" s="87"/>
      <c r="J580" s="87" t="s">
        <v>1238</v>
      </c>
      <c r="K580" s="88" t="str">
        <f t="shared" si="27"/>
        <v>З</v>
      </c>
      <c r="L580" s="88" t="str">
        <f t="shared" si="28"/>
        <v>А</v>
      </c>
      <c r="M580" s="89" t="str">
        <f t="shared" si="29"/>
        <v>Физиология</v>
      </c>
      <c r="N580" s="89" t="s">
        <v>301</v>
      </c>
    </row>
    <row r="581" spans="1:14" customFormat="1" ht="30" hidden="1" customHeight="1" x14ac:dyDescent="0.25">
      <c r="A581" s="62" t="s">
        <v>1589</v>
      </c>
      <c r="B581" s="84" t="s">
        <v>1583</v>
      </c>
      <c r="C581" s="85" t="s">
        <v>419</v>
      </c>
      <c r="D581" s="85" t="s">
        <v>296</v>
      </c>
      <c r="E581" s="84" t="s">
        <v>297</v>
      </c>
      <c r="F581" s="86" t="s">
        <v>368</v>
      </c>
      <c r="G581" s="87" t="s">
        <v>1584</v>
      </c>
      <c r="H581" s="87" t="s">
        <v>1286</v>
      </c>
      <c r="I581" s="87"/>
      <c r="J581" s="87" t="s">
        <v>1238</v>
      </c>
      <c r="K581" s="88" t="str">
        <f t="shared" si="27"/>
        <v>З</v>
      </c>
      <c r="L581" s="88" t="str">
        <f t="shared" si="28"/>
        <v>А</v>
      </c>
      <c r="M581" s="89" t="str">
        <f t="shared" si="29"/>
        <v>Биохимия</v>
      </c>
      <c r="N581" s="89" t="s">
        <v>301</v>
      </c>
    </row>
    <row r="582" spans="1:14" customFormat="1" ht="30" hidden="1" customHeight="1" x14ac:dyDescent="0.25">
      <c r="A582" s="62" t="s">
        <v>1590</v>
      </c>
      <c r="B582" s="84" t="s">
        <v>1591</v>
      </c>
      <c r="C582" s="85" t="s">
        <v>295</v>
      </c>
      <c r="D582" s="85" t="s">
        <v>296</v>
      </c>
      <c r="E582" s="84" t="s">
        <v>393</v>
      </c>
      <c r="F582" s="86" t="s">
        <v>368</v>
      </c>
      <c r="G582" s="87" t="s">
        <v>1592</v>
      </c>
      <c r="H582" s="87" t="s">
        <v>1592</v>
      </c>
      <c r="I582" s="87"/>
      <c r="J582" s="87" t="s">
        <v>1593</v>
      </c>
      <c r="K582" s="88" t="str">
        <f t="shared" si="27"/>
        <v>Д</v>
      </c>
      <c r="L582" s="88" t="str">
        <f t="shared" si="28"/>
        <v>А</v>
      </c>
      <c r="M582" s="89" t="str">
        <f t="shared" si="29"/>
        <v>Биология развития, эмбриология</v>
      </c>
      <c r="N582" s="89" t="s">
        <v>301</v>
      </c>
    </row>
    <row r="583" spans="1:14" customFormat="1" ht="30" hidden="1" customHeight="1" x14ac:dyDescent="0.25">
      <c r="A583" s="62" t="s">
        <v>1594</v>
      </c>
      <c r="B583" s="84" t="s">
        <v>1595</v>
      </c>
      <c r="C583" s="85" t="s">
        <v>295</v>
      </c>
      <c r="D583" s="85" t="s">
        <v>296</v>
      </c>
      <c r="E583" s="84" t="s">
        <v>393</v>
      </c>
      <c r="F583" s="86" t="s">
        <v>368</v>
      </c>
      <c r="G583" s="87" t="s">
        <v>1596</v>
      </c>
      <c r="H583" s="87" t="s">
        <v>1596</v>
      </c>
      <c r="I583" s="87"/>
      <c r="J583" s="87" t="s">
        <v>1593</v>
      </c>
      <c r="K583" s="88" t="str">
        <f t="shared" si="27"/>
        <v>Д</v>
      </c>
      <c r="L583" s="88" t="str">
        <f t="shared" si="28"/>
        <v>А</v>
      </c>
      <c r="M583" s="89" t="str">
        <f t="shared" si="29"/>
        <v>Нейробиология</v>
      </c>
      <c r="N583" s="89" t="s">
        <v>301</v>
      </c>
    </row>
    <row r="584" spans="1:14" ht="30" hidden="1" customHeight="1" x14ac:dyDescent="0.25">
      <c r="A584" s="62" t="s">
        <v>1597</v>
      </c>
      <c r="B584" s="84" t="s">
        <v>1598</v>
      </c>
      <c r="C584" s="85" t="s">
        <v>295</v>
      </c>
      <c r="D584" s="85" t="s">
        <v>304</v>
      </c>
      <c r="E584" s="84" t="s">
        <v>330</v>
      </c>
      <c r="F584" s="86" t="s">
        <v>331</v>
      </c>
      <c r="G584" s="87" t="s">
        <v>1599</v>
      </c>
      <c r="H584" s="87" t="s">
        <v>1600</v>
      </c>
      <c r="I584" s="87"/>
      <c r="J584" s="87" t="s">
        <v>1601</v>
      </c>
      <c r="K584" s="88" t="str">
        <f t="shared" si="27"/>
        <v>Д</v>
      </c>
      <c r="L584" s="88" t="str">
        <f t="shared" si="28"/>
        <v>М</v>
      </c>
      <c r="M584" s="89" t="str">
        <f t="shared" si="29"/>
        <v>Гравитация, космология и релятивистская астрофизика [язык реализации –Английский]</v>
      </c>
      <c r="N584" s="89" t="s">
        <v>301</v>
      </c>
    </row>
    <row r="585" spans="1:14" ht="30" hidden="1" customHeight="1" x14ac:dyDescent="0.25">
      <c r="A585" s="62" t="s">
        <v>1602</v>
      </c>
      <c r="B585" s="84" t="s">
        <v>1598</v>
      </c>
      <c r="C585" s="85" t="s">
        <v>295</v>
      </c>
      <c r="D585" s="85" t="s">
        <v>304</v>
      </c>
      <c r="E585" s="84" t="s">
        <v>330</v>
      </c>
      <c r="F585" s="86" t="s">
        <v>331</v>
      </c>
      <c r="G585" s="87" t="s">
        <v>1599</v>
      </c>
      <c r="H585" s="87" t="s">
        <v>1600</v>
      </c>
      <c r="I585" s="87" t="s">
        <v>516</v>
      </c>
      <c r="J585" s="87" t="s">
        <v>1601</v>
      </c>
      <c r="K585" s="88" t="str">
        <f t="shared" si="27"/>
        <v>Д</v>
      </c>
      <c r="L585" s="88" t="str">
        <f t="shared" si="28"/>
        <v>М</v>
      </c>
      <c r="M585" s="89" t="str">
        <f t="shared" si="29"/>
        <v>Гравитация, космология и релятивистская астрофизика (Вуз-партнёр – Казахский национальный университет им. Аль-Фараби)</v>
      </c>
      <c r="N585" s="89" t="s">
        <v>301</v>
      </c>
    </row>
    <row r="586" spans="1:14" ht="30" hidden="1" customHeight="1" x14ac:dyDescent="0.25">
      <c r="A586" s="62" t="s">
        <v>1603</v>
      </c>
      <c r="B586" s="84" t="s">
        <v>755</v>
      </c>
      <c r="C586" s="85" t="s">
        <v>295</v>
      </c>
      <c r="D586" s="85" t="s">
        <v>296</v>
      </c>
      <c r="E586" s="84" t="s">
        <v>330</v>
      </c>
      <c r="F586" s="86" t="s">
        <v>331</v>
      </c>
      <c r="G586" s="87" t="s">
        <v>756</v>
      </c>
      <c r="H586" s="87" t="s">
        <v>1604</v>
      </c>
      <c r="I586" s="87"/>
      <c r="J586" s="87" t="s">
        <v>1605</v>
      </c>
      <c r="K586" s="88" t="str">
        <f t="shared" si="27"/>
        <v>Д</v>
      </c>
      <c r="L586" s="88" t="str">
        <f t="shared" si="28"/>
        <v>ЦМ</v>
      </c>
      <c r="M586" s="89" t="str">
        <f t="shared" si="29"/>
        <v>Организация инклюзивного образования</v>
      </c>
      <c r="N586" s="89" t="s">
        <v>484</v>
      </c>
    </row>
    <row r="587" spans="1:14" ht="30" hidden="1" customHeight="1" x14ac:dyDescent="0.25">
      <c r="A587" s="62" t="s">
        <v>1606</v>
      </c>
      <c r="B587" s="84" t="s">
        <v>991</v>
      </c>
      <c r="C587" s="85" t="s">
        <v>295</v>
      </c>
      <c r="D587" s="85" t="s">
        <v>296</v>
      </c>
      <c r="E587" s="84" t="s">
        <v>393</v>
      </c>
      <c r="F587" s="86" t="s">
        <v>368</v>
      </c>
      <c r="G587" s="87" t="s">
        <v>992</v>
      </c>
      <c r="H587" s="87" t="s">
        <v>992</v>
      </c>
      <c r="I587" s="87"/>
      <c r="J587" s="87" t="s">
        <v>1605</v>
      </c>
      <c r="K587" s="88" t="str">
        <f t="shared" si="27"/>
        <v>Д</v>
      </c>
      <c r="L587" s="88" t="str">
        <f t="shared" si="28"/>
        <v>А</v>
      </c>
      <c r="M587" s="89" t="str">
        <f t="shared" si="29"/>
        <v>Общая педагогика, история педагогики и образования</v>
      </c>
      <c r="N587" s="89" t="s">
        <v>301</v>
      </c>
    </row>
    <row r="588" spans="1:14" ht="30" hidden="1" customHeight="1" x14ac:dyDescent="0.25">
      <c r="A588" s="62" t="s">
        <v>1607</v>
      </c>
      <c r="B588" s="84" t="s">
        <v>995</v>
      </c>
      <c r="C588" s="85" t="s">
        <v>295</v>
      </c>
      <c r="D588" s="85" t="s">
        <v>296</v>
      </c>
      <c r="E588" s="84" t="s">
        <v>393</v>
      </c>
      <c r="F588" s="86" t="s">
        <v>368</v>
      </c>
      <c r="G588" s="87" t="s">
        <v>996</v>
      </c>
      <c r="H588" s="87" t="s">
        <v>1608</v>
      </c>
      <c r="I588" s="87"/>
      <c r="J588" s="87" t="s">
        <v>1605</v>
      </c>
      <c r="K588" s="88" t="str">
        <f t="shared" si="27"/>
        <v>Д</v>
      </c>
      <c r="L588" s="88" t="str">
        <f t="shared" si="28"/>
        <v>А</v>
      </c>
      <c r="M588" s="89" t="str">
        <f t="shared" si="29"/>
        <v>Теория и методика обучения и воспитания (информатизация образования)</v>
      </c>
      <c r="N588" s="89" t="s">
        <v>301</v>
      </c>
    </row>
    <row r="589" spans="1:14" ht="30" hidden="1" customHeight="1" x14ac:dyDescent="0.25">
      <c r="A589" s="62" t="s">
        <v>1609</v>
      </c>
      <c r="B589" s="84" t="s">
        <v>1095</v>
      </c>
      <c r="C589" s="85" t="s">
        <v>295</v>
      </c>
      <c r="D589" s="85" t="s">
        <v>296</v>
      </c>
      <c r="E589" s="84" t="s">
        <v>393</v>
      </c>
      <c r="F589" s="86" t="s">
        <v>368</v>
      </c>
      <c r="G589" s="87" t="s">
        <v>1096</v>
      </c>
      <c r="H589" s="87" t="s">
        <v>1610</v>
      </c>
      <c r="I589" s="87"/>
      <c r="J589" s="87" t="s">
        <v>1605</v>
      </c>
      <c r="K589" s="88" t="str">
        <f t="shared" si="27"/>
        <v>Д</v>
      </c>
      <c r="L589" s="88" t="str">
        <f t="shared" si="28"/>
        <v>А</v>
      </c>
      <c r="M589" s="89" t="str">
        <f t="shared" si="29"/>
        <v>Теория и методика профессионального образования</v>
      </c>
      <c r="N589" s="89" t="s">
        <v>301</v>
      </c>
    </row>
    <row r="590" spans="1:14" ht="30" hidden="1" customHeight="1" x14ac:dyDescent="0.25">
      <c r="A590" s="62" t="s">
        <v>1611</v>
      </c>
      <c r="B590" s="84" t="s">
        <v>488</v>
      </c>
      <c r="C590" s="85" t="s">
        <v>419</v>
      </c>
      <c r="D590" s="85" t="s">
        <v>296</v>
      </c>
      <c r="E590" s="84" t="s">
        <v>413</v>
      </c>
      <c r="F590" s="86" t="s">
        <v>331</v>
      </c>
      <c r="G590" s="87" t="s">
        <v>449</v>
      </c>
      <c r="H590" s="87" t="s">
        <v>1612</v>
      </c>
      <c r="I590" s="87"/>
      <c r="J590" s="87" t="s">
        <v>1605</v>
      </c>
      <c r="K590" s="88" t="str">
        <f t="shared" si="27"/>
        <v>З</v>
      </c>
      <c r="L590" s="88" t="str">
        <f t="shared" si="28"/>
        <v>М</v>
      </c>
      <c r="M590" s="89" t="str">
        <f t="shared" si="29"/>
        <v>Организация деятельности специалистов психолого-медико-педагогической комиссии</v>
      </c>
      <c r="N590" s="89" t="s">
        <v>301</v>
      </c>
    </row>
    <row r="591" spans="1:14" customFormat="1" ht="30" hidden="1" customHeight="1" x14ac:dyDescent="0.25">
      <c r="A591" s="62" t="s">
        <v>1613</v>
      </c>
      <c r="B591" s="84" t="s">
        <v>488</v>
      </c>
      <c r="C591" s="85" t="s">
        <v>419</v>
      </c>
      <c r="D591" s="85" t="s">
        <v>296</v>
      </c>
      <c r="E591" s="84" t="s">
        <v>413</v>
      </c>
      <c r="F591" s="86" t="s">
        <v>331</v>
      </c>
      <c r="G591" s="87" t="s">
        <v>449</v>
      </c>
      <c r="H591" s="87" t="s">
        <v>1614</v>
      </c>
      <c r="I591" s="87"/>
      <c r="J591" s="87" t="s">
        <v>1605</v>
      </c>
      <c r="K591" s="88" t="str">
        <f t="shared" si="27"/>
        <v>З</v>
      </c>
      <c r="L591" s="88" t="str">
        <f t="shared" si="28"/>
        <v>М</v>
      </c>
      <c r="M591" s="89" t="str">
        <f t="shared" si="29"/>
        <v>Менеджмент международного образования</v>
      </c>
      <c r="N591" s="89" t="s">
        <v>301</v>
      </c>
    </row>
    <row r="592" spans="1:14" customFormat="1" ht="30" hidden="1" customHeight="1" x14ac:dyDescent="0.25">
      <c r="A592" s="62" t="s">
        <v>1615</v>
      </c>
      <c r="B592" s="84" t="s">
        <v>1616</v>
      </c>
      <c r="C592" s="85" t="s">
        <v>295</v>
      </c>
      <c r="D592" s="85" t="s">
        <v>296</v>
      </c>
      <c r="E592" s="84" t="s">
        <v>311</v>
      </c>
      <c r="F592" s="86" t="s">
        <v>312</v>
      </c>
      <c r="G592" s="87" t="s">
        <v>1617</v>
      </c>
      <c r="H592" s="87" t="s">
        <v>1617</v>
      </c>
      <c r="I592" s="87"/>
      <c r="J592" s="87" t="s">
        <v>1618</v>
      </c>
      <c r="K592" s="88" t="str">
        <f t="shared" si="27"/>
        <v>Д</v>
      </c>
      <c r="L592" s="88" t="str">
        <f t="shared" si="28"/>
        <v>Б</v>
      </c>
      <c r="M592" s="89" t="str">
        <f t="shared" si="29"/>
        <v>Государственное и муниципальное управление</v>
      </c>
      <c r="N592" s="89" t="s">
        <v>301</v>
      </c>
    </row>
    <row r="593" spans="1:14" customFormat="1" ht="30" hidden="1" customHeight="1" x14ac:dyDescent="0.25">
      <c r="A593" s="62" t="s">
        <v>1619</v>
      </c>
      <c r="B593" s="84" t="s">
        <v>1620</v>
      </c>
      <c r="C593" s="85" t="s">
        <v>295</v>
      </c>
      <c r="D593" s="85" t="s">
        <v>296</v>
      </c>
      <c r="E593" s="84" t="s">
        <v>311</v>
      </c>
      <c r="F593" s="86" t="s">
        <v>312</v>
      </c>
      <c r="G593" s="87" t="s">
        <v>1621</v>
      </c>
      <c r="H593" s="87" t="s">
        <v>1621</v>
      </c>
      <c r="I593" s="87"/>
      <c r="J593" s="87" t="s">
        <v>1618</v>
      </c>
      <c r="K593" s="88" t="str">
        <f t="shared" si="27"/>
        <v>Д</v>
      </c>
      <c r="L593" s="88" t="str">
        <f t="shared" si="28"/>
        <v>Б</v>
      </c>
      <c r="M593" s="89" t="str">
        <f t="shared" si="29"/>
        <v>Социология</v>
      </c>
      <c r="N593" s="89" t="s">
        <v>301</v>
      </c>
    </row>
    <row r="594" spans="1:14" ht="30" hidden="1" customHeight="1" x14ac:dyDescent="0.25">
      <c r="A594" s="62" t="s">
        <v>1622</v>
      </c>
      <c r="B594" s="84" t="s">
        <v>1623</v>
      </c>
      <c r="C594" s="85" t="s">
        <v>295</v>
      </c>
      <c r="D594" s="85" t="s">
        <v>296</v>
      </c>
      <c r="E594" s="84" t="s">
        <v>311</v>
      </c>
      <c r="F594" s="86" t="s">
        <v>312</v>
      </c>
      <c r="G594" s="87" t="s">
        <v>1624</v>
      </c>
      <c r="H594" s="87" t="s">
        <v>1625</v>
      </c>
      <c r="I594" s="87"/>
      <c r="J594" s="87" t="s">
        <v>1618</v>
      </c>
      <c r="K594" s="88" t="str">
        <f t="shared" si="27"/>
        <v>Д</v>
      </c>
      <c r="L594" s="88" t="str">
        <f t="shared" si="28"/>
        <v>Б</v>
      </c>
      <c r="M594" s="89" t="str">
        <f t="shared" si="29"/>
        <v>Политические науки и регионоведение (УГСН)</v>
      </c>
      <c r="N594" s="89" t="s">
        <v>301</v>
      </c>
    </row>
    <row r="595" spans="1:14" ht="30" hidden="1" customHeight="1" x14ac:dyDescent="0.25">
      <c r="A595" s="62" t="s">
        <v>1626</v>
      </c>
      <c r="B595" s="84" t="s">
        <v>959</v>
      </c>
      <c r="C595" s="85" t="s">
        <v>295</v>
      </c>
      <c r="D595" s="85" t="s">
        <v>296</v>
      </c>
      <c r="E595" s="84" t="s">
        <v>311</v>
      </c>
      <c r="F595" s="86" t="s">
        <v>312</v>
      </c>
      <c r="G595" s="87" t="s">
        <v>960</v>
      </c>
      <c r="H595" s="87" t="s">
        <v>1627</v>
      </c>
      <c r="I595" s="87"/>
      <c r="J595" s="87" t="s">
        <v>1618</v>
      </c>
      <c r="K595" s="88" t="str">
        <f t="shared" si="27"/>
        <v>Д</v>
      </c>
      <c r="L595" s="88" t="str">
        <f t="shared" si="28"/>
        <v>Б</v>
      </c>
      <c r="M595" s="89" t="str">
        <f t="shared" si="29"/>
        <v>Зарубежное регионоведение: Китай, Арабский Восток</v>
      </c>
      <c r="N595" s="89" t="s">
        <v>301</v>
      </c>
    </row>
    <row r="596" spans="1:14" ht="30" hidden="1" customHeight="1" x14ac:dyDescent="0.25">
      <c r="A596" s="62" t="s">
        <v>1628</v>
      </c>
      <c r="B596" s="84" t="s">
        <v>1629</v>
      </c>
      <c r="C596" s="85" t="s">
        <v>295</v>
      </c>
      <c r="D596" s="85" t="s">
        <v>296</v>
      </c>
      <c r="E596" s="84" t="s">
        <v>311</v>
      </c>
      <c r="F596" s="86" t="s">
        <v>312</v>
      </c>
      <c r="G596" s="87" t="s">
        <v>1630</v>
      </c>
      <c r="H596" s="87" t="s">
        <v>1630</v>
      </c>
      <c r="I596" s="87"/>
      <c r="J596" s="87" t="s">
        <v>1618</v>
      </c>
      <c r="K596" s="88" t="str">
        <f t="shared" si="27"/>
        <v>Д</v>
      </c>
      <c r="L596" s="88" t="str">
        <f t="shared" si="28"/>
        <v>Б</v>
      </c>
      <c r="M596" s="89" t="str">
        <f t="shared" si="29"/>
        <v>Политология</v>
      </c>
      <c r="N596" s="89" t="s">
        <v>301</v>
      </c>
    </row>
    <row r="597" spans="1:14" ht="30" hidden="1" customHeight="1" x14ac:dyDescent="0.25">
      <c r="A597" s="62" t="s">
        <v>1631</v>
      </c>
      <c r="B597" s="84" t="s">
        <v>1632</v>
      </c>
      <c r="C597" s="85" t="s">
        <v>295</v>
      </c>
      <c r="D597" s="85" t="s">
        <v>296</v>
      </c>
      <c r="E597" s="84" t="s">
        <v>311</v>
      </c>
      <c r="F597" s="86" t="s">
        <v>312</v>
      </c>
      <c r="G597" s="87" t="s">
        <v>1633</v>
      </c>
      <c r="H597" s="87" t="s">
        <v>1633</v>
      </c>
      <c r="I597" s="87"/>
      <c r="J597" s="87" t="s">
        <v>1618</v>
      </c>
      <c r="K597" s="88" t="str">
        <f t="shared" si="27"/>
        <v>Д</v>
      </c>
      <c r="L597" s="88" t="str">
        <f t="shared" si="28"/>
        <v>Б</v>
      </c>
      <c r="M597" s="89" t="str">
        <f t="shared" si="29"/>
        <v>Международные отношения</v>
      </c>
      <c r="N597" s="89" t="s">
        <v>301</v>
      </c>
    </row>
    <row r="598" spans="1:14" ht="30" hidden="1" customHeight="1" x14ac:dyDescent="0.25">
      <c r="A598" s="62" t="s">
        <v>1634</v>
      </c>
      <c r="B598" s="84" t="s">
        <v>1635</v>
      </c>
      <c r="C598" s="85" t="s">
        <v>295</v>
      </c>
      <c r="D598" s="85" t="s">
        <v>296</v>
      </c>
      <c r="E598" s="84" t="s">
        <v>311</v>
      </c>
      <c r="F598" s="86" t="s">
        <v>312</v>
      </c>
      <c r="G598" s="87" t="s">
        <v>1636</v>
      </c>
      <c r="H598" s="87" t="s">
        <v>1636</v>
      </c>
      <c r="I598" s="87"/>
      <c r="J598" s="87" t="s">
        <v>1618</v>
      </c>
      <c r="K598" s="88" t="str">
        <f t="shared" si="27"/>
        <v>Д</v>
      </c>
      <c r="L598" s="88" t="str">
        <f t="shared" si="28"/>
        <v>Б</v>
      </c>
      <c r="M598" s="89" t="str">
        <f t="shared" si="29"/>
        <v>История</v>
      </c>
      <c r="N598" s="89" t="s">
        <v>301</v>
      </c>
    </row>
    <row r="599" spans="1:14" ht="30" hidden="1" customHeight="1" x14ac:dyDescent="0.25">
      <c r="A599" s="62" t="s">
        <v>1637</v>
      </c>
      <c r="B599" s="84" t="s">
        <v>1638</v>
      </c>
      <c r="C599" s="85" t="s">
        <v>295</v>
      </c>
      <c r="D599" s="85" t="s">
        <v>296</v>
      </c>
      <c r="E599" s="84" t="s">
        <v>311</v>
      </c>
      <c r="F599" s="86" t="s">
        <v>312</v>
      </c>
      <c r="G599" s="87" t="s">
        <v>1639</v>
      </c>
      <c r="H599" s="87" t="s">
        <v>1639</v>
      </c>
      <c r="I599" s="87"/>
      <c r="J599" s="87" t="s">
        <v>1618</v>
      </c>
      <c r="K599" s="88" t="str">
        <f t="shared" si="27"/>
        <v>Д</v>
      </c>
      <c r="L599" s="88" t="str">
        <f t="shared" si="28"/>
        <v>Б</v>
      </c>
      <c r="M599" s="89" t="str">
        <f t="shared" si="29"/>
        <v>Философия</v>
      </c>
      <c r="N599" s="89" t="s">
        <v>301</v>
      </c>
    </row>
    <row r="600" spans="1:14" customFormat="1" ht="30" hidden="1" customHeight="1" x14ac:dyDescent="0.25">
      <c r="A600" s="62" t="s">
        <v>1640</v>
      </c>
      <c r="B600" s="84" t="s">
        <v>1641</v>
      </c>
      <c r="C600" s="85" t="s">
        <v>295</v>
      </c>
      <c r="D600" s="85" t="s">
        <v>296</v>
      </c>
      <c r="E600" s="84" t="s">
        <v>311</v>
      </c>
      <c r="F600" s="86" t="s">
        <v>312</v>
      </c>
      <c r="G600" s="87" t="s">
        <v>1642</v>
      </c>
      <c r="H600" s="87" t="s">
        <v>1642</v>
      </c>
      <c r="I600" s="87"/>
      <c r="J600" s="87" t="s">
        <v>1618</v>
      </c>
      <c r="K600" s="88" t="str">
        <f t="shared" si="27"/>
        <v>Д</v>
      </c>
      <c r="L600" s="88" t="str">
        <f t="shared" si="28"/>
        <v>Б</v>
      </c>
      <c r="M600" s="89" t="str">
        <f t="shared" si="29"/>
        <v>Религиоведение</v>
      </c>
      <c r="N600" s="89" t="s">
        <v>301</v>
      </c>
    </row>
    <row r="601" spans="1:14" customFormat="1" ht="30" hidden="1" customHeight="1" x14ac:dyDescent="0.25">
      <c r="A601" s="62" t="s">
        <v>1643</v>
      </c>
      <c r="B601" s="84" t="s">
        <v>1644</v>
      </c>
      <c r="C601" s="85" t="s">
        <v>295</v>
      </c>
      <c r="D601" s="85" t="s">
        <v>296</v>
      </c>
      <c r="E601" s="84" t="s">
        <v>311</v>
      </c>
      <c r="F601" s="86" t="s">
        <v>312</v>
      </c>
      <c r="G601" s="87" t="s">
        <v>1645</v>
      </c>
      <c r="H601" s="87" t="s">
        <v>1645</v>
      </c>
      <c r="I601" s="87"/>
      <c r="J601" s="87" t="s">
        <v>1618</v>
      </c>
      <c r="K601" s="88" t="str">
        <f t="shared" si="27"/>
        <v>Д</v>
      </c>
      <c r="L601" s="88" t="str">
        <f t="shared" si="28"/>
        <v>Б</v>
      </c>
      <c r="M601" s="89" t="str">
        <f t="shared" si="29"/>
        <v>Искусства и гуманитарные науки</v>
      </c>
      <c r="N601" s="89" t="s">
        <v>301</v>
      </c>
    </row>
    <row r="602" spans="1:14" customFormat="1" ht="30" hidden="1" customHeight="1" x14ac:dyDescent="0.25">
      <c r="A602" s="62" t="s">
        <v>1646</v>
      </c>
      <c r="B602" s="84" t="s">
        <v>1647</v>
      </c>
      <c r="C602" s="85" t="s">
        <v>295</v>
      </c>
      <c r="D602" s="85" t="s">
        <v>296</v>
      </c>
      <c r="E602" s="84" t="s">
        <v>311</v>
      </c>
      <c r="F602" s="86" t="s">
        <v>312</v>
      </c>
      <c r="G602" s="87" t="s">
        <v>1648</v>
      </c>
      <c r="H602" s="87" t="s">
        <v>1649</v>
      </c>
      <c r="I602" s="87"/>
      <c r="J602" s="87" t="s">
        <v>1618</v>
      </c>
      <c r="K602" s="88" t="str">
        <f t="shared" si="27"/>
        <v>Д</v>
      </c>
      <c r="L602" s="88" t="str">
        <f t="shared" si="28"/>
        <v>Б</v>
      </c>
      <c r="M602" s="89" t="str">
        <f t="shared" si="29"/>
        <v>История и философия Востока</v>
      </c>
      <c r="N602" s="89" t="s">
        <v>301</v>
      </c>
    </row>
    <row r="603" spans="1:14" customFormat="1" ht="30" hidden="1" customHeight="1" x14ac:dyDescent="0.25">
      <c r="A603" s="62" t="s">
        <v>1650</v>
      </c>
      <c r="B603" s="84" t="s">
        <v>1651</v>
      </c>
      <c r="C603" s="85" t="s">
        <v>295</v>
      </c>
      <c r="D603" s="85" t="s">
        <v>296</v>
      </c>
      <c r="E603" s="84" t="s">
        <v>330</v>
      </c>
      <c r="F603" s="86" t="s">
        <v>331</v>
      </c>
      <c r="G603" s="87" t="s">
        <v>1617</v>
      </c>
      <c r="H603" s="87" t="s">
        <v>1617</v>
      </c>
      <c r="I603" s="87"/>
      <c r="J603" s="87" t="s">
        <v>1618</v>
      </c>
      <c r="K603" s="88" t="str">
        <f t="shared" si="27"/>
        <v>Д</v>
      </c>
      <c r="L603" s="88" t="str">
        <f t="shared" si="28"/>
        <v>М</v>
      </c>
      <c r="M603" s="89" t="str">
        <f t="shared" si="29"/>
        <v>Государственное и муниципальное управление</v>
      </c>
      <c r="N603" s="89" t="s">
        <v>301</v>
      </c>
    </row>
    <row r="604" spans="1:14" customFormat="1" ht="30" hidden="1" customHeight="1" x14ac:dyDescent="0.25">
      <c r="A604" s="62" t="s">
        <v>1652</v>
      </c>
      <c r="B604" s="84" t="s">
        <v>1651</v>
      </c>
      <c r="C604" s="85" t="s">
        <v>295</v>
      </c>
      <c r="D604" s="85" t="s">
        <v>296</v>
      </c>
      <c r="E604" s="84" t="s">
        <v>330</v>
      </c>
      <c r="F604" s="86" t="s">
        <v>331</v>
      </c>
      <c r="G604" s="87" t="s">
        <v>1617</v>
      </c>
      <c r="H604" s="87" t="s">
        <v>1653</v>
      </c>
      <c r="I604" s="87"/>
      <c r="J604" s="87" t="s">
        <v>1618</v>
      </c>
      <c r="K604" s="88" t="str">
        <f t="shared" si="27"/>
        <v>Д</v>
      </c>
      <c r="L604" s="88" t="str">
        <f t="shared" si="28"/>
        <v>ЦМ</v>
      </c>
      <c r="M604" s="89" t="str">
        <f t="shared" si="29"/>
        <v>Государственное управление социально-экономическим развитием</v>
      </c>
      <c r="N604" s="89" t="s">
        <v>484</v>
      </c>
    </row>
    <row r="605" spans="1:14" customFormat="1" ht="30" hidden="1" customHeight="1" x14ac:dyDescent="0.25">
      <c r="A605" s="62" t="s">
        <v>1654</v>
      </c>
      <c r="B605" s="84" t="s">
        <v>1655</v>
      </c>
      <c r="C605" s="85" t="s">
        <v>295</v>
      </c>
      <c r="D605" s="85" t="s">
        <v>296</v>
      </c>
      <c r="E605" s="84" t="s">
        <v>330</v>
      </c>
      <c r="F605" s="86" t="s">
        <v>331</v>
      </c>
      <c r="G605" s="87" t="s">
        <v>1621</v>
      </c>
      <c r="H605" s="87" t="s">
        <v>1656</v>
      </c>
      <c r="I605" s="87" t="s">
        <v>1172</v>
      </c>
      <c r="J605" s="87" t="s">
        <v>1618</v>
      </c>
      <c r="K605" s="88" t="str">
        <f t="shared" si="27"/>
        <v>Д</v>
      </c>
      <c r="L605" s="88" t="str">
        <f t="shared" si="28"/>
        <v>М</v>
      </c>
      <c r="M605" s="89" t="str">
        <f t="shared" si="29"/>
        <v>Социология управления и социальный менеджмент (Вуз-партнёр – Шаньдунский университет)</v>
      </c>
      <c r="N605" s="89" t="s">
        <v>301</v>
      </c>
    </row>
    <row r="606" spans="1:14" customFormat="1" ht="30" hidden="1" customHeight="1" x14ac:dyDescent="0.25">
      <c r="A606" s="62" t="s">
        <v>1657</v>
      </c>
      <c r="B606" s="84" t="s">
        <v>1655</v>
      </c>
      <c r="C606" s="85" t="s">
        <v>295</v>
      </c>
      <c r="D606" s="85" t="s">
        <v>296</v>
      </c>
      <c r="E606" s="84" t="s">
        <v>330</v>
      </c>
      <c r="F606" s="86" t="s">
        <v>331</v>
      </c>
      <c r="G606" s="87" t="s">
        <v>1621</v>
      </c>
      <c r="H606" s="87" t="s">
        <v>1658</v>
      </c>
      <c r="I606" s="87"/>
      <c r="J606" s="87" t="s">
        <v>1618</v>
      </c>
      <c r="K606" s="88" t="str">
        <f t="shared" si="27"/>
        <v>Д</v>
      </c>
      <c r="L606" s="88" t="str">
        <f t="shared" si="28"/>
        <v>М</v>
      </c>
      <c r="M606" s="89" t="str">
        <f t="shared" si="29"/>
        <v>Методология, методы социологических исследований и социальная аналитика</v>
      </c>
      <c r="N606" s="89" t="s">
        <v>301</v>
      </c>
    </row>
    <row r="607" spans="1:14" customFormat="1" ht="30" hidden="1" customHeight="1" x14ac:dyDescent="0.25">
      <c r="A607" s="62" t="s">
        <v>1659</v>
      </c>
      <c r="B607" s="84" t="s">
        <v>1655</v>
      </c>
      <c r="C607" s="85" t="s">
        <v>295</v>
      </c>
      <c r="D607" s="85" t="s">
        <v>296</v>
      </c>
      <c r="E607" s="84" t="s">
        <v>330</v>
      </c>
      <c r="F607" s="86" t="s">
        <v>331</v>
      </c>
      <c r="G607" s="87" t="s">
        <v>1621</v>
      </c>
      <c r="H607" s="87" t="s">
        <v>1660</v>
      </c>
      <c r="I607" s="87"/>
      <c r="J607" s="87" t="s">
        <v>1618</v>
      </c>
      <c r="K607" s="88" t="str">
        <f t="shared" si="27"/>
        <v>Д</v>
      </c>
      <c r="L607" s="88" t="str">
        <f t="shared" si="28"/>
        <v>М</v>
      </c>
      <c r="M607" s="89" t="str">
        <f t="shared" si="29"/>
        <v>Социология управления и организационный консалтинг</v>
      </c>
      <c r="N607" s="89" t="s">
        <v>301</v>
      </c>
    </row>
    <row r="608" spans="1:14" ht="30" hidden="1" customHeight="1" x14ac:dyDescent="0.25">
      <c r="A608" s="62" t="s">
        <v>1661</v>
      </c>
      <c r="B608" s="84" t="s">
        <v>975</v>
      </c>
      <c r="C608" s="85" t="s">
        <v>295</v>
      </c>
      <c r="D608" s="85" t="s">
        <v>296</v>
      </c>
      <c r="E608" s="84" t="s">
        <v>330</v>
      </c>
      <c r="F608" s="86" t="s">
        <v>331</v>
      </c>
      <c r="G608" s="87" t="s">
        <v>960</v>
      </c>
      <c r="H608" s="87" t="s">
        <v>1662</v>
      </c>
      <c r="I608" s="87"/>
      <c r="J608" s="87" t="s">
        <v>1618</v>
      </c>
      <c r="K608" s="88" t="str">
        <f t="shared" si="27"/>
        <v>Д</v>
      </c>
      <c r="L608" s="88" t="str">
        <f t="shared" si="28"/>
        <v>М</v>
      </c>
      <c r="M608" s="89" t="str">
        <f t="shared" si="29"/>
        <v>Зарубежное регионоведение: Ближний Восток</v>
      </c>
      <c r="N608" s="89" t="s">
        <v>301</v>
      </c>
    </row>
    <row r="609" spans="1:14" ht="30" hidden="1" customHeight="1" x14ac:dyDescent="0.25">
      <c r="A609" s="62" t="s">
        <v>1663</v>
      </c>
      <c r="B609" s="84" t="s">
        <v>975</v>
      </c>
      <c r="C609" s="85" t="s">
        <v>295</v>
      </c>
      <c r="D609" s="85" t="s">
        <v>296</v>
      </c>
      <c r="E609" s="84" t="s">
        <v>330</v>
      </c>
      <c r="F609" s="86" t="s">
        <v>331</v>
      </c>
      <c r="G609" s="87" t="s">
        <v>960</v>
      </c>
      <c r="H609" s="87" t="s">
        <v>1664</v>
      </c>
      <c r="I609" s="87"/>
      <c r="J609" s="87" t="s">
        <v>1618</v>
      </c>
      <c r="K609" s="88" t="str">
        <f t="shared" si="27"/>
        <v>Д</v>
      </c>
      <c r="L609" s="88" t="str">
        <f t="shared" si="28"/>
        <v>М</v>
      </c>
      <c r="M609" s="89" t="str">
        <f t="shared" si="29"/>
        <v>Зарубежное регионоведение: Китай</v>
      </c>
      <c r="N609" s="89" t="s">
        <v>301</v>
      </c>
    </row>
    <row r="610" spans="1:14" customFormat="1" ht="30" hidden="1" customHeight="1" x14ac:dyDescent="0.25">
      <c r="A610" s="62" t="s">
        <v>1665</v>
      </c>
      <c r="B610" s="84" t="s">
        <v>975</v>
      </c>
      <c r="C610" s="85" t="s">
        <v>295</v>
      </c>
      <c r="D610" s="85" t="s">
        <v>296</v>
      </c>
      <c r="E610" s="84" t="s">
        <v>330</v>
      </c>
      <c r="F610" s="86" t="s">
        <v>331</v>
      </c>
      <c r="G610" s="87" t="s">
        <v>960</v>
      </c>
      <c r="H610" s="87" t="s">
        <v>1666</v>
      </c>
      <c r="I610" s="87" t="s">
        <v>1172</v>
      </c>
      <c r="J610" s="87" t="s">
        <v>1618</v>
      </c>
      <c r="K610" s="88" t="str">
        <f t="shared" si="27"/>
        <v>Д</v>
      </c>
      <c r="L610" s="88" t="str">
        <f t="shared" si="28"/>
        <v>М</v>
      </c>
      <c r="M610" s="89" t="str">
        <f t="shared" si="29"/>
        <v>Россия и сопредельные регионы (Вуз-партнёр – Шаньдунский университет)</v>
      </c>
      <c r="N610" s="89" t="s">
        <v>301</v>
      </c>
    </row>
    <row r="611" spans="1:14" customFormat="1" ht="30" hidden="1" customHeight="1" x14ac:dyDescent="0.25">
      <c r="A611" s="62" t="s">
        <v>1667</v>
      </c>
      <c r="B611" s="84" t="s">
        <v>975</v>
      </c>
      <c r="C611" s="85" t="s">
        <v>295</v>
      </c>
      <c r="D611" s="85" t="s">
        <v>296</v>
      </c>
      <c r="E611" s="84" t="s">
        <v>330</v>
      </c>
      <c r="F611" s="86" t="s">
        <v>331</v>
      </c>
      <c r="G611" s="87" t="s">
        <v>960</v>
      </c>
      <c r="H611" s="87" t="s">
        <v>1666</v>
      </c>
      <c r="I611" s="87" t="s">
        <v>1175</v>
      </c>
      <c r="J611" s="87" t="s">
        <v>1618</v>
      </c>
      <c r="K611" s="88" t="str">
        <f t="shared" si="27"/>
        <v>Д</v>
      </c>
      <c r="L611" s="88" t="str">
        <f t="shared" si="28"/>
        <v>М</v>
      </c>
      <c r="M611" s="89" t="str">
        <f t="shared" si="29"/>
        <v>Россия и сопредельные регионы (Вуз-партнёр – Ланьчжоуский университет)</v>
      </c>
      <c r="N611" s="89" t="s">
        <v>301</v>
      </c>
    </row>
    <row r="612" spans="1:14" ht="30" hidden="1" customHeight="1" x14ac:dyDescent="0.25">
      <c r="A612" s="62" t="s">
        <v>1668</v>
      </c>
      <c r="B612" s="84" t="s">
        <v>975</v>
      </c>
      <c r="C612" s="85" t="s">
        <v>295</v>
      </c>
      <c r="D612" s="85" t="s">
        <v>296</v>
      </c>
      <c r="E612" s="84" t="s">
        <v>330</v>
      </c>
      <c r="F612" s="86" t="s">
        <v>331</v>
      </c>
      <c r="G612" s="87" t="s">
        <v>960</v>
      </c>
      <c r="H612" s="87" t="s">
        <v>1666</v>
      </c>
      <c r="I612" s="87" t="s">
        <v>1669</v>
      </c>
      <c r="J612" s="87" t="s">
        <v>1618</v>
      </c>
      <c r="K612" s="88" t="str">
        <f t="shared" si="27"/>
        <v>Д</v>
      </c>
      <c r="L612" s="88" t="str">
        <f t="shared" si="28"/>
        <v>М</v>
      </c>
      <c r="M612" s="89" t="str">
        <f t="shared" si="29"/>
        <v>Россия и сопредельные регионы (Вуз-партнёр – Государственный институт международных отношений Молдовы)</v>
      </c>
      <c r="N612" s="89" t="s">
        <v>301</v>
      </c>
    </row>
    <row r="613" spans="1:14" ht="30" hidden="1" customHeight="1" x14ac:dyDescent="0.25">
      <c r="A613" s="62" t="s">
        <v>1670</v>
      </c>
      <c r="B613" s="84" t="s">
        <v>975</v>
      </c>
      <c r="C613" s="85" t="s">
        <v>295</v>
      </c>
      <c r="D613" s="85" t="s">
        <v>296</v>
      </c>
      <c r="E613" s="84" t="s">
        <v>330</v>
      </c>
      <c r="F613" s="86" t="s">
        <v>331</v>
      </c>
      <c r="G613" s="87" t="s">
        <v>960</v>
      </c>
      <c r="H613" s="87" t="s">
        <v>1666</v>
      </c>
      <c r="I613" s="87"/>
      <c r="J613" s="87" t="s">
        <v>1618</v>
      </c>
      <c r="K613" s="88" t="str">
        <f t="shared" si="27"/>
        <v>Д</v>
      </c>
      <c r="L613" s="88" t="str">
        <f t="shared" si="28"/>
        <v>М</v>
      </c>
      <c r="M613" s="89" t="str">
        <f t="shared" si="29"/>
        <v>Россия и сопредельные регионы</v>
      </c>
      <c r="N613" s="89" t="s">
        <v>301</v>
      </c>
    </row>
    <row r="614" spans="1:14" ht="30" hidden="1" customHeight="1" x14ac:dyDescent="0.25">
      <c r="A614" s="62" t="s">
        <v>1671</v>
      </c>
      <c r="B614" s="84" t="s">
        <v>975</v>
      </c>
      <c r="C614" s="85" t="s">
        <v>295</v>
      </c>
      <c r="D614" s="85" t="s">
        <v>296</v>
      </c>
      <c r="E614" s="84" t="s">
        <v>330</v>
      </c>
      <c r="F614" s="86" t="s">
        <v>331</v>
      </c>
      <c r="G614" s="87" t="s">
        <v>960</v>
      </c>
      <c r="H614" s="87" t="s">
        <v>1666</v>
      </c>
      <c r="I614" s="87" t="s">
        <v>514</v>
      </c>
      <c r="J614" s="87" t="s">
        <v>1618</v>
      </c>
      <c r="K614" s="88" t="str">
        <f t="shared" si="27"/>
        <v>Д</v>
      </c>
      <c r="L614" s="88" t="str">
        <f t="shared" si="28"/>
        <v>М</v>
      </c>
      <c r="M614" s="89" t="str">
        <f t="shared" si="29"/>
        <v>Россия и сопредельные регионы (Вуз-партнёр – Евразийский национальный университет имени Л. Н. Гумилёва)</v>
      </c>
      <c r="N614" s="89" t="s">
        <v>301</v>
      </c>
    </row>
    <row r="615" spans="1:14" ht="30" hidden="1" customHeight="1" x14ac:dyDescent="0.25">
      <c r="A615" s="62" t="s">
        <v>1672</v>
      </c>
      <c r="B615" s="84" t="s">
        <v>975</v>
      </c>
      <c r="C615" s="85" t="s">
        <v>295</v>
      </c>
      <c r="D615" s="85" t="s">
        <v>296</v>
      </c>
      <c r="E615" s="84" t="s">
        <v>330</v>
      </c>
      <c r="F615" s="86" t="s">
        <v>331</v>
      </c>
      <c r="G615" s="87" t="s">
        <v>960</v>
      </c>
      <c r="H615" s="87" t="s">
        <v>1673</v>
      </c>
      <c r="I615" s="87" t="s">
        <v>1674</v>
      </c>
      <c r="J615" s="87" t="s">
        <v>1618</v>
      </c>
      <c r="K615" s="88" t="str">
        <f t="shared" si="27"/>
        <v>Д</v>
      </c>
      <c r="L615" s="88" t="str">
        <f t="shared" si="28"/>
        <v>М</v>
      </c>
      <c r="M615" s="89" t="str">
        <f t="shared" si="29"/>
        <v>Регионоведение (Вуз-партнёр – Даляньский университет иностранных языков)</v>
      </c>
      <c r="N615" s="89" t="s">
        <v>301</v>
      </c>
    </row>
    <row r="616" spans="1:14" ht="30" hidden="1" customHeight="1" x14ac:dyDescent="0.25">
      <c r="A616" s="62" t="s">
        <v>1675</v>
      </c>
      <c r="B616" s="84" t="s">
        <v>975</v>
      </c>
      <c r="C616" s="85" t="s">
        <v>295</v>
      </c>
      <c r="D616" s="85" t="s">
        <v>296</v>
      </c>
      <c r="E616" s="84" t="s">
        <v>330</v>
      </c>
      <c r="F616" s="86" t="s">
        <v>331</v>
      </c>
      <c r="G616" s="87" t="s">
        <v>960</v>
      </c>
      <c r="H616" s="87" t="s">
        <v>1673</v>
      </c>
      <c r="I616" s="87" t="s">
        <v>1079</v>
      </c>
      <c r="J616" s="87" t="s">
        <v>1618</v>
      </c>
      <c r="K616" s="88" t="str">
        <f t="shared" si="27"/>
        <v>Д</v>
      </c>
      <c r="L616" s="88" t="str">
        <f t="shared" si="28"/>
        <v>М</v>
      </c>
      <c r="M616" s="89" t="str">
        <f t="shared" si="29"/>
        <v>Регионоведение (Вуз-партнёр – Российско-Таджикский (Славянский) университет)</v>
      </c>
      <c r="N616" s="89" t="s">
        <v>301</v>
      </c>
    </row>
    <row r="617" spans="1:14" ht="30" hidden="1" customHeight="1" x14ac:dyDescent="0.25">
      <c r="A617" s="62" t="s">
        <v>1676</v>
      </c>
      <c r="B617" s="84" t="s">
        <v>975</v>
      </c>
      <c r="C617" s="85" t="s">
        <v>295</v>
      </c>
      <c r="D617" s="85" t="s">
        <v>296</v>
      </c>
      <c r="E617" s="84" t="s">
        <v>330</v>
      </c>
      <c r="F617" s="86" t="s">
        <v>331</v>
      </c>
      <c r="G617" s="87" t="s">
        <v>960</v>
      </c>
      <c r="H617" s="87" t="s">
        <v>1673</v>
      </c>
      <c r="I617" s="87" t="s">
        <v>1172</v>
      </c>
      <c r="J617" s="87" t="s">
        <v>1618</v>
      </c>
      <c r="K617" s="88" t="str">
        <f t="shared" si="27"/>
        <v>Д</v>
      </c>
      <c r="L617" s="88" t="str">
        <f t="shared" si="28"/>
        <v>М</v>
      </c>
      <c r="M617" s="89" t="str">
        <f t="shared" si="29"/>
        <v>Регионоведение (Вуз-партнёр – Шаньдунский университет)</v>
      </c>
      <c r="N617" s="89" t="s">
        <v>301</v>
      </c>
    </row>
    <row r="618" spans="1:14" customFormat="1" ht="30" hidden="1" customHeight="1" x14ac:dyDescent="0.25">
      <c r="A618" s="62" t="s">
        <v>1677</v>
      </c>
      <c r="B618" s="84" t="s">
        <v>1678</v>
      </c>
      <c r="C618" s="85" t="s">
        <v>295</v>
      </c>
      <c r="D618" s="85" t="s">
        <v>296</v>
      </c>
      <c r="E618" s="84" t="s">
        <v>330</v>
      </c>
      <c r="F618" s="86" t="s">
        <v>331</v>
      </c>
      <c r="G618" s="87" t="s">
        <v>1630</v>
      </c>
      <c r="H618" s="87" t="s">
        <v>1679</v>
      </c>
      <c r="I618" s="87"/>
      <c r="J618" s="87" t="s">
        <v>1618</v>
      </c>
      <c r="K618" s="88" t="str">
        <f t="shared" si="27"/>
        <v>Д</v>
      </c>
      <c r="L618" s="88" t="str">
        <f t="shared" si="28"/>
        <v>М</v>
      </c>
      <c r="M618" s="89" t="str">
        <f t="shared" si="29"/>
        <v>Политические проблемы глобализирующегося мира</v>
      </c>
      <c r="N618" s="89" t="s">
        <v>301</v>
      </c>
    </row>
    <row r="619" spans="1:14" ht="30" hidden="1" customHeight="1" x14ac:dyDescent="0.25">
      <c r="A619" s="62" t="s">
        <v>1680</v>
      </c>
      <c r="B619" s="84" t="s">
        <v>1678</v>
      </c>
      <c r="C619" s="85" t="s">
        <v>295</v>
      </c>
      <c r="D619" s="85" t="s">
        <v>296</v>
      </c>
      <c r="E619" s="84" t="s">
        <v>330</v>
      </c>
      <c r="F619" s="86" t="s">
        <v>331</v>
      </c>
      <c r="G619" s="87" t="s">
        <v>1630</v>
      </c>
      <c r="H619" s="87" t="s">
        <v>1679</v>
      </c>
      <c r="I619" s="87" t="s">
        <v>1172</v>
      </c>
      <c r="J619" s="87" t="s">
        <v>1618</v>
      </c>
      <c r="K619" s="88" t="str">
        <f t="shared" si="27"/>
        <v>Д</v>
      </c>
      <c r="L619" s="88" t="str">
        <f t="shared" si="28"/>
        <v>М</v>
      </c>
      <c r="M619" s="89" t="str">
        <f t="shared" si="29"/>
        <v>Политические проблемы глобализирующегося мира (Вуз-партнёр – Шаньдунский университет)</v>
      </c>
      <c r="N619" s="89" t="s">
        <v>301</v>
      </c>
    </row>
    <row r="620" spans="1:14" ht="30" hidden="1" customHeight="1" x14ac:dyDescent="0.25">
      <c r="A620" s="62" t="s">
        <v>1681</v>
      </c>
      <c r="B620" s="84" t="s">
        <v>1678</v>
      </c>
      <c r="C620" s="85" t="s">
        <v>295</v>
      </c>
      <c r="D620" s="85" t="s">
        <v>296</v>
      </c>
      <c r="E620" s="84" t="s">
        <v>330</v>
      </c>
      <c r="F620" s="86" t="s">
        <v>331</v>
      </c>
      <c r="G620" s="87" t="s">
        <v>1630</v>
      </c>
      <c r="H620" s="87" t="s">
        <v>1682</v>
      </c>
      <c r="I620" s="87"/>
      <c r="J620" s="87" t="s">
        <v>1618</v>
      </c>
      <c r="K620" s="88" t="str">
        <f t="shared" si="27"/>
        <v>Д</v>
      </c>
      <c r="L620" s="88" t="str">
        <f t="shared" si="28"/>
        <v>М</v>
      </c>
      <c r="M620" s="89" t="str">
        <f t="shared" si="29"/>
        <v>Политические институты, процессы и технологии</v>
      </c>
      <c r="N620" s="89" t="s">
        <v>301</v>
      </c>
    </row>
    <row r="621" spans="1:14" ht="30" hidden="1" customHeight="1" x14ac:dyDescent="0.25">
      <c r="A621" s="62" t="s">
        <v>1683</v>
      </c>
      <c r="B621" s="84" t="s">
        <v>1678</v>
      </c>
      <c r="C621" s="85" t="s">
        <v>295</v>
      </c>
      <c r="D621" s="85" t="s">
        <v>304</v>
      </c>
      <c r="E621" s="84" t="s">
        <v>330</v>
      </c>
      <c r="F621" s="86" t="s">
        <v>331</v>
      </c>
      <c r="G621" s="87" t="s">
        <v>1630</v>
      </c>
      <c r="H621" s="87" t="s">
        <v>1684</v>
      </c>
      <c r="I621" s="87"/>
      <c r="J621" s="87" t="s">
        <v>1618</v>
      </c>
      <c r="K621" s="88" t="str">
        <f t="shared" si="27"/>
        <v>Д</v>
      </c>
      <c r="L621" s="88" t="str">
        <f t="shared" si="28"/>
        <v>М</v>
      </c>
      <c r="M621" s="89" t="str">
        <f t="shared" si="29"/>
        <v>Политические институты и ценности [язык реализации –Английский]</v>
      </c>
      <c r="N621" s="89" t="s">
        <v>301</v>
      </c>
    </row>
    <row r="622" spans="1:14" customFormat="1" ht="30" hidden="1" customHeight="1" x14ac:dyDescent="0.25">
      <c r="A622" s="62" t="s">
        <v>1685</v>
      </c>
      <c r="B622" s="84" t="s">
        <v>1678</v>
      </c>
      <c r="C622" s="85" t="s">
        <v>295</v>
      </c>
      <c r="D622" s="85" t="s">
        <v>296</v>
      </c>
      <c r="E622" s="84" t="s">
        <v>330</v>
      </c>
      <c r="F622" s="86" t="s">
        <v>331</v>
      </c>
      <c r="G622" s="87" t="s">
        <v>1630</v>
      </c>
      <c r="H622" s="87" t="s">
        <v>1686</v>
      </c>
      <c r="I622" s="87"/>
      <c r="J622" s="87" t="s">
        <v>1618</v>
      </c>
      <c r="K622" s="88" t="str">
        <f t="shared" si="27"/>
        <v>Д</v>
      </c>
      <c r="L622" s="88" t="str">
        <f t="shared" si="28"/>
        <v>М</v>
      </c>
      <c r="M622" s="89" t="str">
        <f t="shared" si="29"/>
        <v>Стратегический анализ, моделирование и планирование социально-политических действий</v>
      </c>
      <c r="N622" s="89" t="s">
        <v>301</v>
      </c>
    </row>
    <row r="623" spans="1:14" customFormat="1" ht="30" hidden="1" customHeight="1" x14ac:dyDescent="0.25">
      <c r="A623" s="62" t="s">
        <v>1687</v>
      </c>
      <c r="B623" s="84" t="s">
        <v>1678</v>
      </c>
      <c r="C623" s="85" t="s">
        <v>295</v>
      </c>
      <c r="D623" s="85" t="s">
        <v>296</v>
      </c>
      <c r="E623" s="84" t="s">
        <v>330</v>
      </c>
      <c r="F623" s="86" t="s">
        <v>331</v>
      </c>
      <c r="G623" s="87" t="s">
        <v>1630</v>
      </c>
      <c r="H623" s="87" t="s">
        <v>1688</v>
      </c>
      <c r="I623" s="87"/>
      <c r="J623" s="87" t="s">
        <v>1618</v>
      </c>
      <c r="K623" s="88" t="str">
        <f t="shared" si="27"/>
        <v>Д</v>
      </c>
      <c r="L623" s="88" t="str">
        <f t="shared" si="28"/>
        <v>М</v>
      </c>
      <c r="M623" s="89" t="str">
        <f t="shared" si="29"/>
        <v>Международный GR-менеджмент и публичная политика</v>
      </c>
      <c r="N623" s="89" t="s">
        <v>301</v>
      </c>
    </row>
    <row r="624" spans="1:14" customFormat="1" ht="30" hidden="1" customHeight="1" x14ac:dyDescent="0.25">
      <c r="A624" s="62" t="s">
        <v>1689</v>
      </c>
      <c r="B624" s="84" t="s">
        <v>1690</v>
      </c>
      <c r="C624" s="85" t="s">
        <v>295</v>
      </c>
      <c r="D624" s="85" t="s">
        <v>296</v>
      </c>
      <c r="E624" s="84" t="s">
        <v>330</v>
      </c>
      <c r="F624" s="86" t="s">
        <v>331</v>
      </c>
      <c r="G624" s="87" t="s">
        <v>1633</v>
      </c>
      <c r="H624" s="87" t="s">
        <v>1691</v>
      </c>
      <c r="I624" s="87"/>
      <c r="J624" s="87" t="s">
        <v>1618</v>
      </c>
      <c r="K624" s="88" t="str">
        <f t="shared" si="27"/>
        <v>Д</v>
      </c>
      <c r="L624" s="88" t="str">
        <f t="shared" si="28"/>
        <v>М</v>
      </c>
      <c r="M624" s="89" t="str">
        <f t="shared" si="29"/>
        <v>Мировая политика: концептуальные основы и межкультурное взаимодействие</v>
      </c>
      <c r="N624" s="89" t="s">
        <v>301</v>
      </c>
    </row>
    <row r="625" spans="1:14" customFormat="1" ht="30" hidden="1" customHeight="1" x14ac:dyDescent="0.25">
      <c r="A625" s="62" t="s">
        <v>1692</v>
      </c>
      <c r="B625" s="84" t="s">
        <v>1690</v>
      </c>
      <c r="C625" s="85" t="s">
        <v>295</v>
      </c>
      <c r="D625" s="85" t="s">
        <v>296</v>
      </c>
      <c r="E625" s="84" t="s">
        <v>330</v>
      </c>
      <c r="F625" s="86" t="s">
        <v>331</v>
      </c>
      <c r="G625" s="87" t="s">
        <v>1633</v>
      </c>
      <c r="H625" s="87" t="s">
        <v>1693</v>
      </c>
      <c r="I625" s="87" t="s">
        <v>1694</v>
      </c>
      <c r="J625" s="87" t="s">
        <v>1618</v>
      </c>
      <c r="K625" s="88" t="str">
        <f t="shared" si="27"/>
        <v>Д</v>
      </c>
      <c r="L625" s="88" t="str">
        <f t="shared" si="28"/>
        <v>М</v>
      </c>
      <c r="M625" s="89" t="str">
        <f t="shared" si="29"/>
        <v>Мировая политика: глобализация и конфликты (Вуз-партнёр – Пекинский университет иностранных языков)</v>
      </c>
      <c r="N625" s="89" t="s">
        <v>301</v>
      </c>
    </row>
    <row r="626" spans="1:14" customFormat="1" ht="30" hidden="1" customHeight="1" x14ac:dyDescent="0.25">
      <c r="A626" s="62" t="s">
        <v>1695</v>
      </c>
      <c r="B626" s="84" t="s">
        <v>1690</v>
      </c>
      <c r="C626" s="85" t="s">
        <v>295</v>
      </c>
      <c r="D626" s="85" t="s">
        <v>296</v>
      </c>
      <c r="E626" s="84" t="s">
        <v>330</v>
      </c>
      <c r="F626" s="86" t="s">
        <v>331</v>
      </c>
      <c r="G626" s="87" t="s">
        <v>1633</v>
      </c>
      <c r="H626" s="87" t="s">
        <v>1696</v>
      </c>
      <c r="I626" s="87" t="s">
        <v>1697</v>
      </c>
      <c r="J626" s="87" t="s">
        <v>1618</v>
      </c>
      <c r="K626" s="88" t="str">
        <f t="shared" si="27"/>
        <v>Д</v>
      </c>
      <c r="L626" s="88" t="str">
        <f t="shared" si="28"/>
        <v>М</v>
      </c>
      <c r="M626" s="89" t="str">
        <f t="shared" si="29"/>
        <v>Мировая политика (Вуз-партнёр – СУ СНГ)</v>
      </c>
      <c r="N626" s="89" t="s">
        <v>301</v>
      </c>
    </row>
    <row r="627" spans="1:14" customFormat="1" ht="30" hidden="1" customHeight="1" x14ac:dyDescent="0.25">
      <c r="A627" s="62" t="s">
        <v>1698</v>
      </c>
      <c r="B627" s="84" t="s">
        <v>1690</v>
      </c>
      <c r="C627" s="85" t="s">
        <v>295</v>
      </c>
      <c r="D627" s="85" t="s">
        <v>304</v>
      </c>
      <c r="E627" s="84" t="s">
        <v>330</v>
      </c>
      <c r="F627" s="86" t="s">
        <v>331</v>
      </c>
      <c r="G627" s="87" t="s">
        <v>1633</v>
      </c>
      <c r="H627" s="87" t="s">
        <v>1699</v>
      </c>
      <c r="I627" s="87"/>
      <c r="J627" s="87" t="s">
        <v>1618</v>
      </c>
      <c r="K627" s="88" t="str">
        <f t="shared" si="27"/>
        <v>Д</v>
      </c>
      <c r="L627" s="88" t="str">
        <f t="shared" si="28"/>
        <v>М</v>
      </c>
      <c r="M627" s="89" t="str">
        <f t="shared" si="29"/>
        <v>Глобальная безопасность и сотрудничество в целях развития [язык реализации –Английский]</v>
      </c>
      <c r="N627" s="89" t="s">
        <v>301</v>
      </c>
    </row>
    <row r="628" spans="1:14" customFormat="1" ht="30" hidden="1" customHeight="1" x14ac:dyDescent="0.25">
      <c r="A628" s="62" t="s">
        <v>1700</v>
      </c>
      <c r="B628" s="84" t="s">
        <v>1690</v>
      </c>
      <c r="C628" s="85" t="s">
        <v>295</v>
      </c>
      <c r="D628" s="85" t="s">
        <v>296</v>
      </c>
      <c r="E628" s="84" t="s">
        <v>330</v>
      </c>
      <c r="F628" s="86" t="s">
        <v>331</v>
      </c>
      <c r="G628" s="87" t="s">
        <v>1633</v>
      </c>
      <c r="H628" s="87" t="s">
        <v>1701</v>
      </c>
      <c r="I628" s="87" t="s">
        <v>1702</v>
      </c>
      <c r="J628" s="87" t="s">
        <v>1618</v>
      </c>
      <c r="K628" s="88" t="str">
        <f t="shared" si="27"/>
        <v>Д</v>
      </c>
      <c r="L628" s="88" t="str">
        <f t="shared" si="28"/>
        <v>М</v>
      </c>
      <c r="M628" s="89" t="str">
        <f t="shared" si="29"/>
        <v>Россия и Ближний Восток: основные направления взаимодействия и сотрудничества (Вуз-партнёр – Ливанский университет)</v>
      </c>
      <c r="N628" s="89" t="s">
        <v>301</v>
      </c>
    </row>
    <row r="629" spans="1:14" customFormat="1" ht="30" hidden="1" customHeight="1" x14ac:dyDescent="0.25">
      <c r="A629" s="62" t="s">
        <v>1703</v>
      </c>
      <c r="B629" s="84" t="s">
        <v>1690</v>
      </c>
      <c r="C629" s="85" t="s">
        <v>295</v>
      </c>
      <c r="D629" s="85" t="s">
        <v>304</v>
      </c>
      <c r="E629" s="84" t="s">
        <v>330</v>
      </c>
      <c r="F629" s="86" t="s">
        <v>331</v>
      </c>
      <c r="G629" s="87" t="s">
        <v>1633</v>
      </c>
      <c r="H629" s="87" t="s">
        <v>1704</v>
      </c>
      <c r="I629" s="87"/>
      <c r="J629" s="87" t="s">
        <v>1618</v>
      </c>
      <c r="K629" s="88" t="str">
        <f t="shared" si="27"/>
        <v>Д</v>
      </c>
      <c r="L629" s="88" t="str">
        <f t="shared" si="28"/>
        <v>М</v>
      </c>
      <c r="M629" s="89" t="str">
        <f t="shared" si="29"/>
        <v>Миротворчество, миростроительство и разрешение конфликтов [язык реализации –Английский]</v>
      </c>
      <c r="N629" s="89" t="s">
        <v>301</v>
      </c>
    </row>
    <row r="630" spans="1:14" customFormat="1" ht="30" hidden="1" customHeight="1" x14ac:dyDescent="0.25">
      <c r="A630" s="62" t="s">
        <v>1705</v>
      </c>
      <c r="B630" s="84" t="s">
        <v>1706</v>
      </c>
      <c r="C630" s="85" t="s">
        <v>295</v>
      </c>
      <c r="D630" s="85" t="s">
        <v>296</v>
      </c>
      <c r="E630" s="84" t="s">
        <v>330</v>
      </c>
      <c r="F630" s="86" t="s">
        <v>331</v>
      </c>
      <c r="G630" s="87" t="s">
        <v>1636</v>
      </c>
      <c r="H630" s="87" t="s">
        <v>1707</v>
      </c>
      <c r="I630" s="87"/>
      <c r="J630" s="87" t="s">
        <v>1618</v>
      </c>
      <c r="K630" s="88" t="str">
        <f t="shared" si="27"/>
        <v>Д</v>
      </c>
      <c r="L630" s="88" t="str">
        <f t="shared" si="28"/>
        <v>М</v>
      </c>
      <c r="M630" s="89" t="str">
        <f t="shared" si="29"/>
        <v>Всемирная история и массовые коммуникации</v>
      </c>
      <c r="N630" s="89" t="s">
        <v>301</v>
      </c>
    </row>
    <row r="631" spans="1:14" customFormat="1" ht="30" hidden="1" customHeight="1" x14ac:dyDescent="0.25">
      <c r="A631" s="62" t="s">
        <v>1708</v>
      </c>
      <c r="B631" s="84" t="s">
        <v>1706</v>
      </c>
      <c r="C631" s="85" t="s">
        <v>295</v>
      </c>
      <c r="D631" s="85" t="s">
        <v>296</v>
      </c>
      <c r="E631" s="84" t="s">
        <v>330</v>
      </c>
      <c r="F631" s="86" t="s">
        <v>331</v>
      </c>
      <c r="G631" s="87" t="s">
        <v>1636</v>
      </c>
      <c r="H631" s="87" t="s">
        <v>1709</v>
      </c>
      <c r="I631" s="87" t="s">
        <v>1172</v>
      </c>
      <c r="J631" s="87" t="s">
        <v>1618</v>
      </c>
      <c r="K631" s="88" t="str">
        <f t="shared" si="27"/>
        <v>Д</v>
      </c>
      <c r="L631" s="88" t="str">
        <f t="shared" si="28"/>
        <v>М</v>
      </c>
      <c r="M631" s="89" t="str">
        <f t="shared" si="29"/>
        <v>Современные тенденции истории России и Китая: компаративистский подход (Вуз-партнёр – Шаньдунский университет)</v>
      </c>
      <c r="N631" s="89" t="s">
        <v>301</v>
      </c>
    </row>
    <row r="632" spans="1:14" customFormat="1" ht="30" hidden="1" customHeight="1" x14ac:dyDescent="0.25">
      <c r="A632" s="62" t="s">
        <v>1710</v>
      </c>
      <c r="B632" s="84" t="s">
        <v>1706</v>
      </c>
      <c r="C632" s="85" t="s">
        <v>295</v>
      </c>
      <c r="D632" s="85" t="s">
        <v>296</v>
      </c>
      <c r="E632" s="84" t="s">
        <v>330</v>
      </c>
      <c r="F632" s="86" t="s">
        <v>331</v>
      </c>
      <c r="G632" s="87" t="s">
        <v>1636</v>
      </c>
      <c r="H632" s="87" t="s">
        <v>1711</v>
      </c>
      <c r="I632" s="87"/>
      <c r="J632" s="87" t="s">
        <v>1618</v>
      </c>
      <c r="K632" s="88" t="str">
        <f t="shared" si="27"/>
        <v>Д</v>
      </c>
      <c r="L632" s="88" t="str">
        <f t="shared" si="28"/>
        <v>М</v>
      </c>
      <c r="M632" s="89" t="str">
        <f t="shared" si="29"/>
        <v>Россия в истории и в современном мире</v>
      </c>
      <c r="N632" s="89" t="s">
        <v>301</v>
      </c>
    </row>
    <row r="633" spans="1:14" customFormat="1" ht="30" hidden="1" customHeight="1" x14ac:dyDescent="0.25">
      <c r="A633" s="62" t="s">
        <v>1712</v>
      </c>
      <c r="B633" s="84" t="s">
        <v>1713</v>
      </c>
      <c r="C633" s="85" t="s">
        <v>295</v>
      </c>
      <c r="D633" s="85" t="s">
        <v>296</v>
      </c>
      <c r="E633" s="84" t="s">
        <v>330</v>
      </c>
      <c r="F633" s="86" t="s">
        <v>331</v>
      </c>
      <c r="G633" s="87" t="s">
        <v>1639</v>
      </c>
      <c r="H633" s="87" t="s">
        <v>1714</v>
      </c>
      <c r="I633" s="87"/>
      <c r="J633" s="87" t="s">
        <v>1618</v>
      </c>
      <c r="K633" s="88" t="str">
        <f t="shared" si="27"/>
        <v>Д</v>
      </c>
      <c r="L633" s="88" t="str">
        <f t="shared" si="28"/>
        <v>М</v>
      </c>
      <c r="M633" s="89" t="str">
        <f t="shared" si="29"/>
        <v>Знание и ценности: трансформации в изменяющемся мире</v>
      </c>
      <c r="N633" s="89" t="s">
        <v>301</v>
      </c>
    </row>
    <row r="634" spans="1:14" customFormat="1" ht="30" hidden="1" customHeight="1" x14ac:dyDescent="0.25">
      <c r="A634" s="62" t="s">
        <v>1715</v>
      </c>
      <c r="B634" s="84" t="s">
        <v>1713</v>
      </c>
      <c r="C634" s="85" t="s">
        <v>295</v>
      </c>
      <c r="D634" s="85" t="s">
        <v>296</v>
      </c>
      <c r="E634" s="84" t="s">
        <v>330</v>
      </c>
      <c r="F634" s="86" t="s">
        <v>331</v>
      </c>
      <c r="G634" s="87" t="s">
        <v>1639</v>
      </c>
      <c r="H634" s="87" t="s">
        <v>1714</v>
      </c>
      <c r="I634" s="87" t="s">
        <v>516</v>
      </c>
      <c r="J634" s="87" t="s">
        <v>1618</v>
      </c>
      <c r="K634" s="88" t="str">
        <f t="shared" si="27"/>
        <v>Д</v>
      </c>
      <c r="L634" s="88" t="str">
        <f t="shared" si="28"/>
        <v>М</v>
      </c>
      <c r="M634" s="89" t="str">
        <f t="shared" si="29"/>
        <v>Знание и ценности: трансформации в изменяющемся мире (Вуз-партнёр – Казахский национальный университет им. Аль-Фараби)</v>
      </c>
      <c r="N634" s="89" t="s">
        <v>301</v>
      </c>
    </row>
    <row r="635" spans="1:14" customFormat="1" ht="30" hidden="1" customHeight="1" x14ac:dyDescent="0.25">
      <c r="A635" s="62" t="s">
        <v>1716</v>
      </c>
      <c r="B635" s="84" t="s">
        <v>1713</v>
      </c>
      <c r="C635" s="85" t="s">
        <v>295</v>
      </c>
      <c r="D635" s="85" t="s">
        <v>296</v>
      </c>
      <c r="E635" s="84" t="s">
        <v>330</v>
      </c>
      <c r="F635" s="86" t="s">
        <v>331</v>
      </c>
      <c r="G635" s="87" t="s">
        <v>1639</v>
      </c>
      <c r="H635" s="87" t="s">
        <v>1717</v>
      </c>
      <c r="I635" s="87" t="s">
        <v>1172</v>
      </c>
      <c r="J635" s="87" t="s">
        <v>1618</v>
      </c>
      <c r="K635" s="88" t="str">
        <f t="shared" si="27"/>
        <v>Д</v>
      </c>
      <c r="L635" s="88" t="str">
        <f t="shared" si="28"/>
        <v>М</v>
      </c>
      <c r="M635" s="89" t="str">
        <f t="shared" si="29"/>
        <v>Философия: диалог культур (Вуз-партнёр – Шаньдунский университет)</v>
      </c>
      <c r="N635" s="89" t="s">
        <v>301</v>
      </c>
    </row>
    <row r="636" spans="1:14" customFormat="1" ht="30" hidden="1" customHeight="1" x14ac:dyDescent="0.25">
      <c r="A636" s="62" t="s">
        <v>1718</v>
      </c>
      <c r="B636" s="84" t="s">
        <v>1719</v>
      </c>
      <c r="C636" s="85" t="s">
        <v>295</v>
      </c>
      <c r="D636" s="85" t="s">
        <v>296</v>
      </c>
      <c r="E636" s="84" t="s">
        <v>330</v>
      </c>
      <c r="F636" s="86" t="s">
        <v>331</v>
      </c>
      <c r="G636" s="87" t="s">
        <v>1645</v>
      </c>
      <c r="H636" s="87" t="s">
        <v>1720</v>
      </c>
      <c r="I636" s="87"/>
      <c r="J636" s="87" t="s">
        <v>1618</v>
      </c>
      <c r="K636" s="88" t="str">
        <f t="shared" si="27"/>
        <v>Д</v>
      </c>
      <c r="L636" s="88" t="str">
        <f t="shared" si="28"/>
        <v>М</v>
      </c>
      <c r="M636" s="89" t="str">
        <f t="shared" si="29"/>
        <v>Креативные индустрии и менеджмент в сфере культуры</v>
      </c>
      <c r="N636" s="89" t="s">
        <v>301</v>
      </c>
    </row>
    <row r="637" spans="1:14" customFormat="1" ht="30" hidden="1" customHeight="1" x14ac:dyDescent="0.25">
      <c r="A637" s="62" t="s">
        <v>1721</v>
      </c>
      <c r="B637" s="84" t="s">
        <v>1722</v>
      </c>
      <c r="C637" s="85" t="s">
        <v>295</v>
      </c>
      <c r="D637" s="85" t="s">
        <v>296</v>
      </c>
      <c r="E637" s="84" t="s">
        <v>393</v>
      </c>
      <c r="F637" s="86" t="s">
        <v>368</v>
      </c>
      <c r="G637" s="87" t="s">
        <v>1723</v>
      </c>
      <c r="H637" s="87" t="s">
        <v>1723</v>
      </c>
      <c r="I637" s="87"/>
      <c r="J637" s="87" t="s">
        <v>1618</v>
      </c>
      <c r="K637" s="88" t="str">
        <f t="shared" si="27"/>
        <v>Д</v>
      </c>
      <c r="L637" s="88" t="str">
        <f t="shared" si="28"/>
        <v>А</v>
      </c>
      <c r="M637" s="89" t="str">
        <f t="shared" si="29"/>
        <v>Теория, методология и история социологии</v>
      </c>
      <c r="N637" s="89" t="s">
        <v>301</v>
      </c>
    </row>
    <row r="638" spans="1:14" customFormat="1" ht="30" hidden="1" customHeight="1" x14ac:dyDescent="0.25">
      <c r="A638" s="62" t="s">
        <v>1724</v>
      </c>
      <c r="B638" s="84" t="s">
        <v>1725</v>
      </c>
      <c r="C638" s="85" t="s">
        <v>295</v>
      </c>
      <c r="D638" s="85" t="s">
        <v>296</v>
      </c>
      <c r="E638" s="84" t="s">
        <v>393</v>
      </c>
      <c r="F638" s="86" t="s">
        <v>368</v>
      </c>
      <c r="G638" s="87" t="s">
        <v>1726</v>
      </c>
      <c r="H638" s="87" t="s">
        <v>1726</v>
      </c>
      <c r="I638" s="87"/>
      <c r="J638" s="87" t="s">
        <v>1618</v>
      </c>
      <c r="K638" s="88" t="str">
        <f t="shared" si="27"/>
        <v>Д</v>
      </c>
      <c r="L638" s="88" t="str">
        <f t="shared" si="28"/>
        <v>А</v>
      </c>
      <c r="M638" s="89" t="str">
        <f t="shared" si="29"/>
        <v>Социология управления</v>
      </c>
      <c r="N638" s="89" t="s">
        <v>301</v>
      </c>
    </row>
    <row r="639" spans="1:14" customFormat="1" ht="30" hidden="1" customHeight="1" x14ac:dyDescent="0.25">
      <c r="A639" s="62" t="s">
        <v>1727</v>
      </c>
      <c r="B639" s="84" t="s">
        <v>1728</v>
      </c>
      <c r="C639" s="85" t="s">
        <v>295</v>
      </c>
      <c r="D639" s="85" t="s">
        <v>296</v>
      </c>
      <c r="E639" s="84" t="s">
        <v>393</v>
      </c>
      <c r="F639" s="86" t="s">
        <v>368</v>
      </c>
      <c r="G639" s="87" t="s">
        <v>1729</v>
      </c>
      <c r="H639" s="87" t="s">
        <v>1729</v>
      </c>
      <c r="I639" s="87"/>
      <c r="J639" s="87" t="s">
        <v>1618</v>
      </c>
      <c r="K639" s="88" t="str">
        <f t="shared" si="27"/>
        <v>Д</v>
      </c>
      <c r="L639" s="88" t="str">
        <f t="shared" si="28"/>
        <v>А</v>
      </c>
      <c r="M639" s="89" t="str">
        <f t="shared" si="29"/>
        <v>История и теория политики</v>
      </c>
      <c r="N639" s="89" t="s">
        <v>301</v>
      </c>
    </row>
    <row r="640" spans="1:14" customFormat="1" ht="30" hidden="1" customHeight="1" x14ac:dyDescent="0.25">
      <c r="A640" s="62" t="s">
        <v>1730</v>
      </c>
      <c r="B640" s="84" t="s">
        <v>1731</v>
      </c>
      <c r="C640" s="85" t="s">
        <v>295</v>
      </c>
      <c r="D640" s="85" t="s">
        <v>304</v>
      </c>
      <c r="E640" s="84" t="s">
        <v>393</v>
      </c>
      <c r="F640" s="86" t="s">
        <v>368</v>
      </c>
      <c r="G640" s="87" t="s">
        <v>1732</v>
      </c>
      <c r="H640" s="87" t="s">
        <v>1732</v>
      </c>
      <c r="I640" s="87"/>
      <c r="J640" s="87" t="s">
        <v>1618</v>
      </c>
      <c r="K640" s="88" t="str">
        <f t="shared" si="27"/>
        <v>Д</v>
      </c>
      <c r="L640" s="88" t="str">
        <f t="shared" si="28"/>
        <v>А</v>
      </c>
      <c r="M640" s="89" t="str">
        <f t="shared" si="29"/>
        <v>Политические институты, процессы, технологии [язык реализации –Английский]</v>
      </c>
      <c r="N640" s="89" t="s">
        <v>301</v>
      </c>
    </row>
    <row r="641" spans="1:14" customFormat="1" ht="30" hidden="1" customHeight="1" x14ac:dyDescent="0.25">
      <c r="A641" s="62" t="s">
        <v>1733</v>
      </c>
      <c r="B641" s="84" t="s">
        <v>1731</v>
      </c>
      <c r="C641" s="85" t="s">
        <v>295</v>
      </c>
      <c r="D641" s="85" t="s">
        <v>296</v>
      </c>
      <c r="E641" s="84" t="s">
        <v>393</v>
      </c>
      <c r="F641" s="86" t="s">
        <v>368</v>
      </c>
      <c r="G641" s="87" t="s">
        <v>1732</v>
      </c>
      <c r="H641" s="87" t="s">
        <v>1732</v>
      </c>
      <c r="I641" s="87"/>
      <c r="J641" s="87" t="s">
        <v>1618</v>
      </c>
      <c r="K641" s="88" t="str">
        <f t="shared" si="27"/>
        <v>Д</v>
      </c>
      <c r="L641" s="88" t="str">
        <f t="shared" si="28"/>
        <v>А</v>
      </c>
      <c r="M641" s="89" t="str">
        <f t="shared" si="29"/>
        <v>Политические институты, процессы, технологии</v>
      </c>
      <c r="N641" s="89" t="s">
        <v>301</v>
      </c>
    </row>
    <row r="642" spans="1:14" customFormat="1" ht="30" hidden="1" customHeight="1" x14ac:dyDescent="0.25">
      <c r="A642" s="62" t="s">
        <v>1734</v>
      </c>
      <c r="B642" s="84" t="s">
        <v>1735</v>
      </c>
      <c r="C642" s="85" t="s">
        <v>295</v>
      </c>
      <c r="D642" s="85" t="s">
        <v>296</v>
      </c>
      <c r="E642" s="84" t="s">
        <v>393</v>
      </c>
      <c r="F642" s="86" t="s">
        <v>368</v>
      </c>
      <c r="G642" s="87" t="s">
        <v>1736</v>
      </c>
      <c r="H642" s="87" t="s">
        <v>1633</v>
      </c>
      <c r="I642" s="87"/>
      <c r="J642" s="87" t="s">
        <v>1618</v>
      </c>
      <c r="K642" s="88" t="str">
        <f t="shared" si="27"/>
        <v>Д</v>
      </c>
      <c r="L642" s="88" t="str">
        <f t="shared" si="28"/>
        <v>А</v>
      </c>
      <c r="M642" s="89" t="str">
        <f t="shared" si="29"/>
        <v>Международные отношения</v>
      </c>
      <c r="N642" s="89" t="s">
        <v>301</v>
      </c>
    </row>
    <row r="643" spans="1:14" customFormat="1" ht="30" hidden="1" customHeight="1" x14ac:dyDescent="0.25">
      <c r="A643" s="62" t="s">
        <v>1737</v>
      </c>
      <c r="B643" s="84" t="s">
        <v>1738</v>
      </c>
      <c r="C643" s="85" t="s">
        <v>295</v>
      </c>
      <c r="D643" s="85" t="s">
        <v>296</v>
      </c>
      <c r="E643" s="84" t="s">
        <v>393</v>
      </c>
      <c r="F643" s="86" t="s">
        <v>368</v>
      </c>
      <c r="G643" s="87" t="s">
        <v>1739</v>
      </c>
      <c r="H643" s="87" t="s">
        <v>1739</v>
      </c>
      <c r="I643" s="87"/>
      <c r="J643" s="87" t="s">
        <v>1618</v>
      </c>
      <c r="K643" s="88" t="str">
        <f t="shared" ref="K643:K706" si="30">IF(C643="очная","Д",IF(C643="Очно-заочная","В",IF(C643="Заочная","З","-")))</f>
        <v>Д</v>
      </c>
      <c r="L643" s="88" t="str">
        <f t="shared" ref="L643:L706" si="31">IF(N643="да","ЦМ",LEFT(F643,1))</f>
        <v>А</v>
      </c>
      <c r="M643" s="89" t="str">
        <f t="shared" ref="M643:M706" si="32">CONCATENATE(H643,IF(I643&gt;0,CONCATENATE(" (Вуз-партнёр – ",I643,")"),IF(D643=$D$3,"",CONCATENATE(" [язык реализации –",D643,"]"))))</f>
        <v>Отечественная история</v>
      </c>
      <c r="N643" s="89" t="s">
        <v>301</v>
      </c>
    </row>
    <row r="644" spans="1:14" customFormat="1" ht="30" hidden="1" customHeight="1" x14ac:dyDescent="0.25">
      <c r="A644" s="62" t="s">
        <v>1740</v>
      </c>
      <c r="B644" s="84" t="s">
        <v>1741</v>
      </c>
      <c r="C644" s="85" t="s">
        <v>295</v>
      </c>
      <c r="D644" s="85" t="s">
        <v>296</v>
      </c>
      <c r="E644" s="84" t="s">
        <v>393</v>
      </c>
      <c r="F644" s="86" t="s">
        <v>368</v>
      </c>
      <c r="G644" s="87" t="s">
        <v>1742</v>
      </c>
      <c r="H644" s="87" t="s">
        <v>1742</v>
      </c>
      <c r="I644" s="87"/>
      <c r="J644" s="87" t="s">
        <v>1618</v>
      </c>
      <c r="K644" s="88" t="str">
        <f t="shared" si="30"/>
        <v>Д</v>
      </c>
      <c r="L644" s="88" t="str">
        <f t="shared" si="31"/>
        <v>А</v>
      </c>
      <c r="M644" s="89" t="str">
        <f t="shared" si="32"/>
        <v>Всеобщая история</v>
      </c>
      <c r="N644" s="89" t="s">
        <v>301</v>
      </c>
    </row>
    <row r="645" spans="1:14" customFormat="1" ht="30" hidden="1" customHeight="1" x14ac:dyDescent="0.25">
      <c r="A645" s="62" t="s">
        <v>1743</v>
      </c>
      <c r="B645" s="84" t="s">
        <v>1744</v>
      </c>
      <c r="C645" s="85" t="s">
        <v>295</v>
      </c>
      <c r="D645" s="85" t="s">
        <v>296</v>
      </c>
      <c r="E645" s="84" t="s">
        <v>393</v>
      </c>
      <c r="F645" s="86" t="s">
        <v>368</v>
      </c>
      <c r="G645" s="87" t="s">
        <v>1745</v>
      </c>
      <c r="H645" s="87" t="s">
        <v>1745</v>
      </c>
      <c r="I645" s="87"/>
      <c r="J645" s="87" t="s">
        <v>1618</v>
      </c>
      <c r="K645" s="88" t="str">
        <f t="shared" si="30"/>
        <v>Д</v>
      </c>
      <c r="L645" s="88" t="str">
        <f t="shared" si="31"/>
        <v>А</v>
      </c>
      <c r="M645" s="89" t="str">
        <f t="shared" si="32"/>
        <v>Историография, источниковедение, методы исторического исследования</v>
      </c>
      <c r="N645" s="89" t="s">
        <v>301</v>
      </c>
    </row>
    <row r="646" spans="1:14" customFormat="1" ht="30" hidden="1" customHeight="1" x14ac:dyDescent="0.25">
      <c r="A646" s="62" t="s">
        <v>1746</v>
      </c>
      <c r="B646" s="84" t="s">
        <v>1747</v>
      </c>
      <c r="C646" s="85" t="s">
        <v>295</v>
      </c>
      <c r="D646" s="85" t="s">
        <v>296</v>
      </c>
      <c r="E646" s="84" t="s">
        <v>393</v>
      </c>
      <c r="F646" s="86" t="s">
        <v>368</v>
      </c>
      <c r="G646" s="87" t="s">
        <v>1748</v>
      </c>
      <c r="H646" s="87" t="s">
        <v>1748</v>
      </c>
      <c r="I646" s="87"/>
      <c r="J646" s="87" t="s">
        <v>1618</v>
      </c>
      <c r="K646" s="88" t="str">
        <f t="shared" si="30"/>
        <v>Д</v>
      </c>
      <c r="L646" s="88" t="str">
        <f t="shared" si="31"/>
        <v>А</v>
      </c>
      <c r="M646" s="89" t="str">
        <f t="shared" si="32"/>
        <v>История международных отношений и внешней политики</v>
      </c>
      <c r="N646" s="89" t="s">
        <v>301</v>
      </c>
    </row>
    <row r="647" spans="1:14" customFormat="1" ht="30" hidden="1" customHeight="1" x14ac:dyDescent="0.25">
      <c r="A647" s="62" t="s">
        <v>1749</v>
      </c>
      <c r="B647" s="84" t="s">
        <v>1747</v>
      </c>
      <c r="C647" s="85" t="s">
        <v>295</v>
      </c>
      <c r="D647" s="85" t="s">
        <v>304</v>
      </c>
      <c r="E647" s="84" t="s">
        <v>393</v>
      </c>
      <c r="F647" s="86" t="s">
        <v>368</v>
      </c>
      <c r="G647" s="87" t="s">
        <v>1748</v>
      </c>
      <c r="H647" s="87" t="s">
        <v>1750</v>
      </c>
      <c r="I647" s="87"/>
      <c r="J647" s="87" t="s">
        <v>1618</v>
      </c>
      <c r="K647" s="88" t="str">
        <f t="shared" si="30"/>
        <v>Д</v>
      </c>
      <c r="L647" s="88" t="str">
        <f t="shared" si="31"/>
        <v>А</v>
      </c>
      <c r="M647" s="89" t="str">
        <f t="shared" si="32"/>
        <v>История международных отношений и внешней политики: международные отношения [язык реализации –Английский]</v>
      </c>
      <c r="N647" s="89" t="s">
        <v>301</v>
      </c>
    </row>
    <row r="648" spans="1:14" customFormat="1" ht="30" hidden="1" customHeight="1" x14ac:dyDescent="0.25">
      <c r="A648" s="62" t="s">
        <v>1751</v>
      </c>
      <c r="B648" s="84" t="s">
        <v>1752</v>
      </c>
      <c r="C648" s="85" t="s">
        <v>295</v>
      </c>
      <c r="D648" s="85" t="s">
        <v>296</v>
      </c>
      <c r="E648" s="84" t="s">
        <v>393</v>
      </c>
      <c r="F648" s="86" t="s">
        <v>368</v>
      </c>
      <c r="G648" s="87" t="s">
        <v>1753</v>
      </c>
      <c r="H648" s="87" t="s">
        <v>1753</v>
      </c>
      <c r="I648" s="87"/>
      <c r="J648" s="87" t="s">
        <v>1618</v>
      </c>
      <c r="K648" s="88" t="str">
        <f t="shared" si="30"/>
        <v>Д</v>
      </c>
      <c r="L648" s="88" t="str">
        <f t="shared" si="31"/>
        <v>А</v>
      </c>
      <c r="M648" s="89" t="str">
        <f t="shared" si="32"/>
        <v>Онтология и теория познания</v>
      </c>
      <c r="N648" s="89" t="s">
        <v>301</v>
      </c>
    </row>
    <row r="649" spans="1:14" customFormat="1" ht="30" hidden="1" customHeight="1" x14ac:dyDescent="0.25">
      <c r="A649" s="62" t="s">
        <v>1754</v>
      </c>
      <c r="B649" s="84" t="s">
        <v>1755</v>
      </c>
      <c r="C649" s="85" t="s">
        <v>295</v>
      </c>
      <c r="D649" s="85" t="s">
        <v>296</v>
      </c>
      <c r="E649" s="84" t="s">
        <v>393</v>
      </c>
      <c r="F649" s="86" t="s">
        <v>368</v>
      </c>
      <c r="G649" s="87" t="s">
        <v>1756</v>
      </c>
      <c r="H649" s="87" t="s">
        <v>1756</v>
      </c>
      <c r="I649" s="87"/>
      <c r="J649" s="87" t="s">
        <v>1618</v>
      </c>
      <c r="K649" s="88" t="str">
        <f t="shared" si="30"/>
        <v>Д</v>
      </c>
      <c r="L649" s="88" t="str">
        <f t="shared" si="31"/>
        <v>А</v>
      </c>
      <c r="M649" s="89" t="str">
        <f t="shared" si="32"/>
        <v>История философии</v>
      </c>
      <c r="N649" s="89" t="s">
        <v>301</v>
      </c>
    </row>
    <row r="650" spans="1:14" customFormat="1" ht="30" hidden="1" customHeight="1" x14ac:dyDescent="0.25">
      <c r="A650" s="62" t="s">
        <v>1757</v>
      </c>
      <c r="B650" s="84" t="s">
        <v>1758</v>
      </c>
      <c r="C650" s="85" t="s">
        <v>295</v>
      </c>
      <c r="D650" s="85" t="s">
        <v>296</v>
      </c>
      <c r="E650" s="84" t="s">
        <v>393</v>
      </c>
      <c r="F650" s="86" t="s">
        <v>368</v>
      </c>
      <c r="G650" s="87" t="s">
        <v>1759</v>
      </c>
      <c r="H650" s="87" t="s">
        <v>1759</v>
      </c>
      <c r="I650" s="87"/>
      <c r="J650" s="87" t="s">
        <v>1618</v>
      </c>
      <c r="K650" s="88" t="str">
        <f t="shared" si="30"/>
        <v>Д</v>
      </c>
      <c r="L650" s="88" t="str">
        <f t="shared" si="31"/>
        <v>А</v>
      </c>
      <c r="M650" s="89" t="str">
        <f t="shared" si="32"/>
        <v>Социальная и политическая философия</v>
      </c>
      <c r="N650" s="89" t="s">
        <v>301</v>
      </c>
    </row>
    <row r="651" spans="1:14" customFormat="1" ht="30" hidden="1" customHeight="1" x14ac:dyDescent="0.25">
      <c r="A651" s="62" t="s">
        <v>1760</v>
      </c>
      <c r="B651" s="84" t="s">
        <v>1616</v>
      </c>
      <c r="C651" s="85" t="s">
        <v>403</v>
      </c>
      <c r="D651" s="85" t="s">
        <v>296</v>
      </c>
      <c r="E651" s="84" t="s">
        <v>297</v>
      </c>
      <c r="F651" s="86" t="s">
        <v>312</v>
      </c>
      <c r="G651" s="87" t="s">
        <v>1617</v>
      </c>
      <c r="H651" s="87" t="s">
        <v>1617</v>
      </c>
      <c r="I651" s="87"/>
      <c r="J651" s="87" t="s">
        <v>1618</v>
      </c>
      <c r="K651" s="88" t="str">
        <f t="shared" si="30"/>
        <v>В</v>
      </c>
      <c r="L651" s="88" t="str">
        <f t="shared" si="31"/>
        <v>Б</v>
      </c>
      <c r="M651" s="89" t="str">
        <f t="shared" si="32"/>
        <v>Государственное и муниципальное управление</v>
      </c>
      <c r="N651" s="89" t="s">
        <v>301</v>
      </c>
    </row>
    <row r="652" spans="1:14" customFormat="1" ht="30" hidden="1" customHeight="1" x14ac:dyDescent="0.25">
      <c r="A652" s="62" t="s">
        <v>1761</v>
      </c>
      <c r="B652" s="84" t="s">
        <v>1620</v>
      </c>
      <c r="C652" s="85" t="s">
        <v>403</v>
      </c>
      <c r="D652" s="85" t="s">
        <v>296</v>
      </c>
      <c r="E652" s="84" t="s">
        <v>297</v>
      </c>
      <c r="F652" s="86" t="s">
        <v>312</v>
      </c>
      <c r="G652" s="87" t="s">
        <v>1621</v>
      </c>
      <c r="H652" s="87" t="s">
        <v>1621</v>
      </c>
      <c r="I652" s="87"/>
      <c r="J652" s="87" t="s">
        <v>1618</v>
      </c>
      <c r="K652" s="88" t="str">
        <f t="shared" si="30"/>
        <v>В</v>
      </c>
      <c r="L652" s="88" t="str">
        <f t="shared" si="31"/>
        <v>Б</v>
      </c>
      <c r="M652" s="89" t="str">
        <f t="shared" si="32"/>
        <v>Социология</v>
      </c>
      <c r="N652" s="89" t="s">
        <v>301</v>
      </c>
    </row>
    <row r="653" spans="1:14" customFormat="1" ht="30" hidden="1" customHeight="1" x14ac:dyDescent="0.25">
      <c r="A653" s="62" t="s">
        <v>1762</v>
      </c>
      <c r="B653" s="84" t="s">
        <v>1629</v>
      </c>
      <c r="C653" s="85" t="s">
        <v>403</v>
      </c>
      <c r="D653" s="85" t="s">
        <v>296</v>
      </c>
      <c r="E653" s="84" t="s">
        <v>297</v>
      </c>
      <c r="F653" s="86" t="s">
        <v>312</v>
      </c>
      <c r="G653" s="87" t="s">
        <v>1630</v>
      </c>
      <c r="H653" s="87" t="s">
        <v>1630</v>
      </c>
      <c r="I653" s="87"/>
      <c r="J653" s="87" t="s">
        <v>1618</v>
      </c>
      <c r="K653" s="88" t="str">
        <f t="shared" si="30"/>
        <v>В</v>
      </c>
      <c r="L653" s="88" t="str">
        <f t="shared" si="31"/>
        <v>Б</v>
      </c>
      <c r="M653" s="89" t="str">
        <f t="shared" si="32"/>
        <v>Политология</v>
      </c>
      <c r="N653" s="89" t="s">
        <v>301</v>
      </c>
    </row>
    <row r="654" spans="1:14" customFormat="1" ht="30" hidden="1" customHeight="1" x14ac:dyDescent="0.25">
      <c r="A654" s="62" t="s">
        <v>1763</v>
      </c>
      <c r="B654" s="84" t="s">
        <v>1651</v>
      </c>
      <c r="C654" s="85" t="s">
        <v>403</v>
      </c>
      <c r="D654" s="85" t="s">
        <v>296</v>
      </c>
      <c r="E654" s="84" t="s">
        <v>413</v>
      </c>
      <c r="F654" s="86" t="s">
        <v>331</v>
      </c>
      <c r="G654" s="87" t="s">
        <v>1617</v>
      </c>
      <c r="H654" s="87" t="s">
        <v>1764</v>
      </c>
      <c r="I654" s="87"/>
      <c r="J654" s="87" t="s">
        <v>1618</v>
      </c>
      <c r="K654" s="88" t="str">
        <f t="shared" si="30"/>
        <v>В</v>
      </c>
      <c r="L654" s="88" t="str">
        <f t="shared" si="31"/>
        <v>М</v>
      </c>
      <c r="M654" s="89" t="str">
        <f t="shared" si="32"/>
        <v>Социальные процессы и социальный менеджмент</v>
      </c>
      <c r="N654" s="89" t="s">
        <v>301</v>
      </c>
    </row>
    <row r="655" spans="1:14" customFormat="1" ht="30" hidden="1" customHeight="1" x14ac:dyDescent="0.25">
      <c r="A655" s="62" t="s">
        <v>1765</v>
      </c>
      <c r="B655" s="84" t="s">
        <v>1690</v>
      </c>
      <c r="C655" s="85" t="s">
        <v>403</v>
      </c>
      <c r="D655" s="85" t="s">
        <v>296</v>
      </c>
      <c r="E655" s="84" t="s">
        <v>413</v>
      </c>
      <c r="F655" s="86" t="s">
        <v>331</v>
      </c>
      <c r="G655" s="87" t="s">
        <v>1633</v>
      </c>
      <c r="H655" s="87" t="s">
        <v>1766</v>
      </c>
      <c r="I655" s="87"/>
      <c r="J655" s="87" t="s">
        <v>1618</v>
      </c>
      <c r="K655" s="88" t="str">
        <f t="shared" si="30"/>
        <v>В</v>
      </c>
      <c r="L655" s="88" t="str">
        <f t="shared" si="31"/>
        <v>М</v>
      </c>
      <c r="M655" s="89" t="str">
        <f t="shared" si="32"/>
        <v>Международные институты и политические процессы</v>
      </c>
      <c r="N655" s="89" t="s">
        <v>301</v>
      </c>
    </row>
    <row r="656" spans="1:14" customFormat="1" ht="30" hidden="1" customHeight="1" x14ac:dyDescent="0.25">
      <c r="A656" s="62" t="s">
        <v>1767</v>
      </c>
      <c r="B656" s="84" t="s">
        <v>1713</v>
      </c>
      <c r="C656" s="85" t="s">
        <v>403</v>
      </c>
      <c r="D656" s="85" t="s">
        <v>296</v>
      </c>
      <c r="E656" s="84" t="s">
        <v>413</v>
      </c>
      <c r="F656" s="86" t="s">
        <v>331</v>
      </c>
      <c r="G656" s="87" t="s">
        <v>1639</v>
      </c>
      <c r="H656" s="87" t="s">
        <v>1768</v>
      </c>
      <c r="I656" s="87"/>
      <c r="J656" s="87" t="s">
        <v>1618</v>
      </c>
      <c r="K656" s="88" t="str">
        <f t="shared" si="30"/>
        <v>В</v>
      </c>
      <c r="L656" s="88" t="str">
        <f t="shared" si="31"/>
        <v>М</v>
      </c>
      <c r="M656" s="89" t="str">
        <f t="shared" si="32"/>
        <v>Философия Индии в контексте религии и культуры</v>
      </c>
      <c r="N656" s="89" t="s">
        <v>301</v>
      </c>
    </row>
    <row r="657" spans="1:14" customFormat="1" ht="30" hidden="1" customHeight="1" x14ac:dyDescent="0.25">
      <c r="A657" s="62" t="s">
        <v>1769</v>
      </c>
      <c r="B657" s="84" t="s">
        <v>1770</v>
      </c>
      <c r="C657" s="85" t="s">
        <v>295</v>
      </c>
      <c r="D657" s="85" t="s">
        <v>296</v>
      </c>
      <c r="E657" s="84" t="s">
        <v>311</v>
      </c>
      <c r="F657" s="86" t="s">
        <v>312</v>
      </c>
      <c r="G657" s="87" t="s">
        <v>642</v>
      </c>
      <c r="H657" s="87" t="s">
        <v>1771</v>
      </c>
      <c r="I657" s="87"/>
      <c r="J657" s="87" t="s">
        <v>1772</v>
      </c>
      <c r="K657" s="88" t="str">
        <f t="shared" si="30"/>
        <v>Д</v>
      </c>
      <c r="L657" s="88" t="str">
        <f t="shared" si="31"/>
        <v>Б</v>
      </c>
      <c r="M657" s="89" t="str">
        <f t="shared" si="32"/>
        <v>Искусственный интеллект: разработка и обучение интеллектуальных систем</v>
      </c>
      <c r="N657" s="89" t="s">
        <v>301</v>
      </c>
    </row>
    <row r="658" spans="1:14" customFormat="1" ht="30" hidden="1" customHeight="1" x14ac:dyDescent="0.25">
      <c r="A658" s="62" t="s">
        <v>1773</v>
      </c>
      <c r="B658" s="84" t="s">
        <v>1774</v>
      </c>
      <c r="C658" s="85" t="s">
        <v>295</v>
      </c>
      <c r="D658" s="85" t="s">
        <v>296</v>
      </c>
      <c r="E658" s="84" t="s">
        <v>311</v>
      </c>
      <c r="F658" s="86" t="s">
        <v>312</v>
      </c>
      <c r="G658" s="87" t="s">
        <v>1775</v>
      </c>
      <c r="H658" s="87" t="s">
        <v>1771</v>
      </c>
      <c r="I658" s="87"/>
      <c r="J658" s="87" t="s">
        <v>1772</v>
      </c>
      <c r="K658" s="88" t="str">
        <f t="shared" si="30"/>
        <v>Д</v>
      </c>
      <c r="L658" s="88" t="str">
        <f t="shared" si="31"/>
        <v>Б</v>
      </c>
      <c r="M658" s="89" t="str">
        <f t="shared" si="32"/>
        <v>Искусственный интеллект: разработка и обучение интеллектуальных систем</v>
      </c>
      <c r="N658" s="89" t="s">
        <v>301</v>
      </c>
    </row>
    <row r="659" spans="1:14" customFormat="1" ht="30" hidden="1" customHeight="1" x14ac:dyDescent="0.25">
      <c r="A659" s="62" t="s">
        <v>1776</v>
      </c>
      <c r="B659" s="84" t="s">
        <v>1777</v>
      </c>
      <c r="C659" s="85" t="s">
        <v>295</v>
      </c>
      <c r="D659" s="85" t="s">
        <v>296</v>
      </c>
      <c r="E659" s="84" t="s">
        <v>311</v>
      </c>
      <c r="F659" s="86" t="s">
        <v>312</v>
      </c>
      <c r="G659" s="87" t="s">
        <v>1778</v>
      </c>
      <c r="H659" s="87" t="s">
        <v>1779</v>
      </c>
      <c r="I659" s="87"/>
      <c r="J659" s="87" t="s">
        <v>1772</v>
      </c>
      <c r="K659" s="88" t="str">
        <f t="shared" si="30"/>
        <v>Д</v>
      </c>
      <c r="L659" s="88" t="str">
        <f t="shared" si="31"/>
        <v>Б</v>
      </c>
      <c r="M659" s="89" t="str">
        <f t="shared" si="32"/>
        <v>Организация и технологии защиты информации (по отрасли или в сфере профессиональной деятельности)</v>
      </c>
      <c r="N659" s="89" t="s">
        <v>301</v>
      </c>
    </row>
    <row r="660" spans="1:14" customFormat="1" ht="30" hidden="1" customHeight="1" x14ac:dyDescent="0.25">
      <c r="A660" s="62" t="s">
        <v>1780</v>
      </c>
      <c r="B660" s="84" t="s">
        <v>641</v>
      </c>
      <c r="C660" s="85" t="s">
        <v>295</v>
      </c>
      <c r="D660" s="85" t="s">
        <v>296</v>
      </c>
      <c r="E660" s="84" t="s">
        <v>330</v>
      </c>
      <c r="F660" s="86" t="s">
        <v>331</v>
      </c>
      <c r="G660" s="87" t="s">
        <v>642</v>
      </c>
      <c r="H660" s="87" t="s">
        <v>1781</v>
      </c>
      <c r="I660" s="87"/>
      <c r="J660" s="87" t="s">
        <v>1772</v>
      </c>
      <c r="K660" s="88" t="str">
        <f t="shared" si="30"/>
        <v>Д</v>
      </c>
      <c r="L660" s="88" t="str">
        <f t="shared" si="31"/>
        <v>М</v>
      </c>
      <c r="M660" s="89" t="str">
        <f t="shared" si="32"/>
        <v>Управление данными и искусственный интеллект</v>
      </c>
      <c r="N660" s="89" t="s">
        <v>301</v>
      </c>
    </row>
    <row r="661" spans="1:14" customFormat="1" ht="30" hidden="1" customHeight="1" x14ac:dyDescent="0.25">
      <c r="A661" s="62" t="s">
        <v>1782</v>
      </c>
      <c r="B661" s="84" t="s">
        <v>1783</v>
      </c>
      <c r="C661" s="85" t="s">
        <v>295</v>
      </c>
      <c r="D661" s="85" t="s">
        <v>296</v>
      </c>
      <c r="E661" s="84" t="s">
        <v>330</v>
      </c>
      <c r="F661" s="86" t="s">
        <v>331</v>
      </c>
      <c r="G661" s="87" t="s">
        <v>1778</v>
      </c>
      <c r="H661" s="87" t="s">
        <v>1784</v>
      </c>
      <c r="I661" s="87"/>
      <c r="J661" s="87" t="s">
        <v>1772</v>
      </c>
      <c r="K661" s="88" t="str">
        <f t="shared" si="30"/>
        <v>Д</v>
      </c>
      <c r="L661" s="88" t="str">
        <f t="shared" si="31"/>
        <v>М</v>
      </c>
      <c r="M661" s="89" t="str">
        <f t="shared" si="32"/>
        <v>Управление информационной безопасностью</v>
      </c>
      <c r="N661" s="89" t="s">
        <v>301</v>
      </c>
    </row>
    <row r="662" spans="1:14" customFormat="1" ht="30" hidden="1" customHeight="1" x14ac:dyDescent="0.25">
      <c r="A662" s="62" t="s">
        <v>1785</v>
      </c>
      <c r="B662" s="84" t="s">
        <v>1786</v>
      </c>
      <c r="C662" s="85" t="s">
        <v>295</v>
      </c>
      <c r="D662" s="85" t="s">
        <v>296</v>
      </c>
      <c r="E662" s="84" t="s">
        <v>330</v>
      </c>
      <c r="F662" s="86" t="s">
        <v>1444</v>
      </c>
      <c r="G662" s="87" t="s">
        <v>1787</v>
      </c>
      <c r="H662" s="87" t="s">
        <v>1787</v>
      </c>
      <c r="I662" s="87"/>
      <c r="J662" s="87" t="s">
        <v>1788</v>
      </c>
      <c r="K662" s="88" t="str">
        <f t="shared" si="30"/>
        <v>Д</v>
      </c>
      <c r="L662" s="88" t="str">
        <f t="shared" si="31"/>
        <v>О</v>
      </c>
      <c r="M662" s="89" t="str">
        <f t="shared" si="32"/>
        <v>Детская кардиология</v>
      </c>
      <c r="N662" s="89" t="s">
        <v>301</v>
      </c>
    </row>
    <row r="663" spans="1:14" customFormat="1" ht="30" hidden="1" customHeight="1" x14ac:dyDescent="0.25">
      <c r="A663" s="62" t="s">
        <v>1789</v>
      </c>
      <c r="B663" s="84" t="s">
        <v>1790</v>
      </c>
      <c r="C663" s="85" t="s">
        <v>295</v>
      </c>
      <c r="D663" s="85" t="s">
        <v>296</v>
      </c>
      <c r="E663" s="84" t="s">
        <v>330</v>
      </c>
      <c r="F663" s="86" t="s">
        <v>1444</v>
      </c>
      <c r="G663" s="87" t="s">
        <v>1791</v>
      </c>
      <c r="H663" s="87" t="s">
        <v>1791</v>
      </c>
      <c r="I663" s="87"/>
      <c r="J663" s="87" t="s">
        <v>1788</v>
      </c>
      <c r="K663" s="88" t="str">
        <f t="shared" si="30"/>
        <v>Д</v>
      </c>
      <c r="L663" s="88" t="str">
        <f t="shared" si="31"/>
        <v>О</v>
      </c>
      <c r="M663" s="89" t="str">
        <f t="shared" si="32"/>
        <v>Психотерапия</v>
      </c>
      <c r="N663" s="89" t="s">
        <v>301</v>
      </c>
    </row>
    <row r="664" spans="1:14" customFormat="1" ht="30" hidden="1" customHeight="1" x14ac:dyDescent="0.25">
      <c r="A664" s="62" t="s">
        <v>1792</v>
      </c>
      <c r="B664" s="84" t="s">
        <v>1793</v>
      </c>
      <c r="C664" s="85" t="s">
        <v>295</v>
      </c>
      <c r="D664" s="85" t="s">
        <v>296</v>
      </c>
      <c r="E664" s="84" t="s">
        <v>297</v>
      </c>
      <c r="F664" s="86" t="s">
        <v>1444</v>
      </c>
      <c r="G664" s="87" t="s">
        <v>1324</v>
      </c>
      <c r="H664" s="87" t="s">
        <v>1324</v>
      </c>
      <c r="I664" s="87"/>
      <c r="J664" s="87" t="s">
        <v>1788</v>
      </c>
      <c r="K664" s="88" t="str">
        <f t="shared" si="30"/>
        <v>Д</v>
      </c>
      <c r="L664" s="88" t="str">
        <f t="shared" si="31"/>
        <v>О</v>
      </c>
      <c r="M664" s="89" t="str">
        <f t="shared" si="32"/>
        <v>Пластическая хирургия</v>
      </c>
      <c r="N664" s="89" t="s">
        <v>301</v>
      </c>
    </row>
    <row r="665" spans="1:14" customFormat="1" ht="30" hidden="1" customHeight="1" x14ac:dyDescent="0.25">
      <c r="A665" s="62" t="s">
        <v>1794</v>
      </c>
      <c r="B665" s="84" t="s">
        <v>1795</v>
      </c>
      <c r="C665" s="85" t="s">
        <v>295</v>
      </c>
      <c r="D665" s="85" t="s">
        <v>296</v>
      </c>
      <c r="E665" s="84" t="s">
        <v>330</v>
      </c>
      <c r="F665" s="86" t="s">
        <v>1444</v>
      </c>
      <c r="G665" s="87" t="s">
        <v>1796</v>
      </c>
      <c r="H665" s="87" t="s">
        <v>1796</v>
      </c>
      <c r="I665" s="87"/>
      <c r="J665" s="87" t="s">
        <v>1788</v>
      </c>
      <c r="K665" s="88" t="str">
        <f t="shared" si="30"/>
        <v>Д</v>
      </c>
      <c r="L665" s="88" t="str">
        <f t="shared" si="31"/>
        <v>О</v>
      </c>
      <c r="M665" s="89" t="str">
        <f t="shared" si="32"/>
        <v>Эндоскопия</v>
      </c>
      <c r="N665" s="89" t="s">
        <v>301</v>
      </c>
    </row>
    <row r="666" spans="1:14" customFormat="1" ht="30" hidden="1" customHeight="1" x14ac:dyDescent="0.25">
      <c r="A666" s="62" t="s">
        <v>1797</v>
      </c>
      <c r="B666" s="84" t="s">
        <v>1798</v>
      </c>
      <c r="C666" s="85" t="s">
        <v>295</v>
      </c>
      <c r="D666" s="85" t="s">
        <v>296</v>
      </c>
      <c r="E666" s="84" t="s">
        <v>311</v>
      </c>
      <c r="F666" s="86" t="s">
        <v>312</v>
      </c>
      <c r="G666" s="87" t="s">
        <v>1799</v>
      </c>
      <c r="H666" s="87" t="s">
        <v>1800</v>
      </c>
      <c r="I666" s="87"/>
      <c r="J666" s="87" t="s">
        <v>1801</v>
      </c>
      <c r="K666" s="88" t="str">
        <f t="shared" si="30"/>
        <v>Д</v>
      </c>
      <c r="L666" s="88" t="str">
        <f t="shared" si="31"/>
        <v>Б</v>
      </c>
      <c r="M666" s="89" t="str">
        <f t="shared" si="32"/>
        <v>Математика и механика (УГСН)</v>
      </c>
      <c r="N666" s="89" t="s">
        <v>301</v>
      </c>
    </row>
    <row r="667" spans="1:14" customFormat="1" ht="30" hidden="1" customHeight="1" x14ac:dyDescent="0.25">
      <c r="A667" s="62" t="s">
        <v>1802</v>
      </c>
      <c r="B667" s="84" t="s">
        <v>1803</v>
      </c>
      <c r="C667" s="85" t="s">
        <v>295</v>
      </c>
      <c r="D667" s="85" t="s">
        <v>296</v>
      </c>
      <c r="E667" s="84" t="s">
        <v>311</v>
      </c>
      <c r="F667" s="86" t="s">
        <v>312</v>
      </c>
      <c r="G667" s="87" t="s">
        <v>1804</v>
      </c>
      <c r="H667" s="87" t="s">
        <v>1804</v>
      </c>
      <c r="I667" s="87"/>
      <c r="J667" s="87" t="s">
        <v>1801</v>
      </c>
      <c r="K667" s="88" t="str">
        <f t="shared" si="30"/>
        <v>Д</v>
      </c>
      <c r="L667" s="88" t="str">
        <f t="shared" si="31"/>
        <v>Б</v>
      </c>
      <c r="M667" s="89" t="str">
        <f t="shared" si="32"/>
        <v>Математика</v>
      </c>
      <c r="N667" s="89" t="s">
        <v>301</v>
      </c>
    </row>
    <row r="668" spans="1:14" customFormat="1" ht="30" hidden="1" customHeight="1" x14ac:dyDescent="0.25">
      <c r="A668" s="62" t="s">
        <v>182</v>
      </c>
      <c r="B668" s="84" t="s">
        <v>565</v>
      </c>
      <c r="C668" s="85" t="s">
        <v>295</v>
      </c>
      <c r="D668" s="85" t="s">
        <v>296</v>
      </c>
      <c r="E668" s="84" t="s">
        <v>311</v>
      </c>
      <c r="F668" s="86" t="s">
        <v>312</v>
      </c>
      <c r="G668" s="87" t="s">
        <v>566</v>
      </c>
      <c r="H668" s="87" t="s">
        <v>566</v>
      </c>
      <c r="I668" s="87"/>
      <c r="J668" s="87" t="s">
        <v>1801</v>
      </c>
      <c r="K668" s="88" t="str">
        <f t="shared" si="30"/>
        <v>Д</v>
      </c>
      <c r="L668" s="88" t="str">
        <f t="shared" si="31"/>
        <v>Б</v>
      </c>
      <c r="M668" s="89" t="str">
        <f t="shared" si="32"/>
        <v>Прикладная математика и информатика</v>
      </c>
      <c r="N668" s="89" t="s">
        <v>301</v>
      </c>
    </row>
    <row r="669" spans="1:14" customFormat="1" ht="30" hidden="1" customHeight="1" x14ac:dyDescent="0.25">
      <c r="A669" s="62" t="s">
        <v>1805</v>
      </c>
      <c r="B669" s="84" t="s">
        <v>565</v>
      </c>
      <c r="C669" s="85" t="s">
        <v>295</v>
      </c>
      <c r="D669" s="85" t="s">
        <v>296</v>
      </c>
      <c r="E669" s="84" t="s">
        <v>311</v>
      </c>
      <c r="F669" s="86" t="s">
        <v>312</v>
      </c>
      <c r="G669" s="87" t="s">
        <v>566</v>
      </c>
      <c r="H669" s="87" t="s">
        <v>1806</v>
      </c>
      <c r="I669" s="87"/>
      <c r="J669" s="87" t="s">
        <v>1801</v>
      </c>
      <c r="K669" s="88" t="str">
        <f t="shared" si="30"/>
        <v>Д</v>
      </c>
      <c r="L669" s="88" t="str">
        <f t="shared" si="31"/>
        <v>Б</v>
      </c>
      <c r="M669" s="89" t="str">
        <f t="shared" si="32"/>
        <v>Прикладная математика и программирование</v>
      </c>
      <c r="N669" s="89" t="s">
        <v>301</v>
      </c>
    </row>
    <row r="670" spans="1:14" customFormat="1" ht="30" hidden="1" customHeight="1" x14ac:dyDescent="0.25">
      <c r="A670" s="62" t="s">
        <v>186</v>
      </c>
      <c r="B670" s="84" t="s">
        <v>1807</v>
      </c>
      <c r="C670" s="85" t="s">
        <v>295</v>
      </c>
      <c r="D670" s="85" t="s">
        <v>296</v>
      </c>
      <c r="E670" s="84" t="s">
        <v>311</v>
      </c>
      <c r="F670" s="86" t="s">
        <v>312</v>
      </c>
      <c r="G670" s="87" t="s">
        <v>1808</v>
      </c>
      <c r="H670" s="87" t="s">
        <v>1809</v>
      </c>
      <c r="I670" s="87"/>
      <c r="J670" s="87" t="s">
        <v>1801</v>
      </c>
      <c r="K670" s="88" t="str">
        <f t="shared" si="30"/>
        <v>Д</v>
      </c>
      <c r="L670" s="88" t="str">
        <f t="shared" si="31"/>
        <v>Б</v>
      </c>
      <c r="M670" s="89" t="str">
        <f t="shared" si="32"/>
        <v>Компьютерные и информационные науки (УГСН)</v>
      </c>
      <c r="N670" s="89" t="s">
        <v>301</v>
      </c>
    </row>
    <row r="671" spans="1:14" customFormat="1" ht="30" hidden="1" customHeight="1" x14ac:dyDescent="0.25">
      <c r="A671" s="62" t="s">
        <v>198</v>
      </c>
      <c r="B671" s="84" t="s">
        <v>1810</v>
      </c>
      <c r="C671" s="85" t="s">
        <v>295</v>
      </c>
      <c r="D671" s="85" t="s">
        <v>296</v>
      </c>
      <c r="E671" s="84" t="s">
        <v>311</v>
      </c>
      <c r="F671" s="86" t="s">
        <v>312</v>
      </c>
      <c r="G671" s="87" t="s">
        <v>1811</v>
      </c>
      <c r="H671" s="87" t="s">
        <v>1811</v>
      </c>
      <c r="I671" s="87"/>
      <c r="J671" s="87" t="s">
        <v>1801</v>
      </c>
      <c r="K671" s="88" t="str">
        <f t="shared" si="30"/>
        <v>Д</v>
      </c>
      <c r="L671" s="88" t="str">
        <f t="shared" si="31"/>
        <v>Б</v>
      </c>
      <c r="M671" s="89" t="str">
        <f t="shared" si="32"/>
        <v>Математика и компьютерные науки</v>
      </c>
      <c r="N671" s="89" t="s">
        <v>301</v>
      </c>
    </row>
    <row r="672" spans="1:14" customFormat="1" ht="30" hidden="1" customHeight="1" x14ac:dyDescent="0.25">
      <c r="A672" s="62" t="s">
        <v>211</v>
      </c>
      <c r="B672" s="84" t="s">
        <v>1770</v>
      </c>
      <c r="C672" s="85" t="s">
        <v>295</v>
      </c>
      <c r="D672" s="85" t="s">
        <v>296</v>
      </c>
      <c r="E672" s="84" t="s">
        <v>311</v>
      </c>
      <c r="F672" s="86" t="s">
        <v>312</v>
      </c>
      <c r="G672" s="87" t="s">
        <v>642</v>
      </c>
      <c r="H672" s="87" t="s">
        <v>642</v>
      </c>
      <c r="I672" s="87"/>
      <c r="J672" s="87" t="s">
        <v>1801</v>
      </c>
      <c r="K672" s="88" t="str">
        <f t="shared" si="30"/>
        <v>Д</v>
      </c>
      <c r="L672" s="88" t="str">
        <f t="shared" si="31"/>
        <v>Б</v>
      </c>
      <c r="M672" s="89" t="str">
        <f t="shared" si="32"/>
        <v>Фундаментальная информатика и информационные технологии</v>
      </c>
      <c r="N672" s="89" t="s">
        <v>301</v>
      </c>
    </row>
    <row r="673" spans="1:14" customFormat="1" ht="30" hidden="1" customHeight="1" x14ac:dyDescent="0.25">
      <c r="A673" s="62" t="s">
        <v>218</v>
      </c>
      <c r="B673" s="84" t="s">
        <v>1812</v>
      </c>
      <c r="C673" s="85" t="s">
        <v>295</v>
      </c>
      <c r="D673" s="85" t="s">
        <v>296</v>
      </c>
      <c r="E673" s="84" t="s">
        <v>311</v>
      </c>
      <c r="F673" s="86" t="s">
        <v>312</v>
      </c>
      <c r="G673" s="87" t="s">
        <v>1599</v>
      </c>
      <c r="H673" s="87" t="s">
        <v>1599</v>
      </c>
      <c r="I673" s="87"/>
      <c r="J673" s="87" t="s">
        <v>1801</v>
      </c>
      <c r="K673" s="88" t="str">
        <f t="shared" si="30"/>
        <v>Д</v>
      </c>
      <c r="L673" s="88" t="str">
        <f t="shared" si="31"/>
        <v>Б</v>
      </c>
      <c r="M673" s="89" t="str">
        <f t="shared" si="32"/>
        <v>Физика</v>
      </c>
      <c r="N673" s="89" t="s">
        <v>301</v>
      </c>
    </row>
    <row r="674" spans="1:14" customFormat="1" ht="30" hidden="1" customHeight="1" x14ac:dyDescent="0.25">
      <c r="A674" s="62" t="s">
        <v>221</v>
      </c>
      <c r="B674" s="84" t="s">
        <v>1813</v>
      </c>
      <c r="C674" s="85" t="s">
        <v>295</v>
      </c>
      <c r="D674" s="85" t="s">
        <v>296</v>
      </c>
      <c r="E674" s="84" t="s">
        <v>311</v>
      </c>
      <c r="F674" s="86" t="s">
        <v>312</v>
      </c>
      <c r="G674" s="87" t="s">
        <v>1121</v>
      </c>
      <c r="H674" s="87" t="s">
        <v>1121</v>
      </c>
      <c r="I674" s="87"/>
      <c r="J674" s="87" t="s">
        <v>1801</v>
      </c>
      <c r="K674" s="88" t="str">
        <f t="shared" si="30"/>
        <v>Д</v>
      </c>
      <c r="L674" s="88" t="str">
        <f t="shared" si="31"/>
        <v>Б</v>
      </c>
      <c r="M674" s="89" t="str">
        <f t="shared" si="32"/>
        <v>Химия</v>
      </c>
      <c r="N674" s="89" t="s">
        <v>301</v>
      </c>
    </row>
    <row r="675" spans="1:14" customFormat="1" ht="30" hidden="1" customHeight="1" x14ac:dyDescent="0.25">
      <c r="A675" s="62" t="s">
        <v>75</v>
      </c>
      <c r="B675" s="84" t="s">
        <v>1774</v>
      </c>
      <c r="C675" s="85" t="s">
        <v>295</v>
      </c>
      <c r="D675" s="85" t="s">
        <v>296</v>
      </c>
      <c r="E675" s="84" t="s">
        <v>311</v>
      </c>
      <c r="F675" s="86" t="s">
        <v>312</v>
      </c>
      <c r="G675" s="87" t="s">
        <v>1775</v>
      </c>
      <c r="H675" s="87" t="s">
        <v>1775</v>
      </c>
      <c r="I675" s="87"/>
      <c r="J675" s="87" t="s">
        <v>1801</v>
      </c>
      <c r="K675" s="88" t="str">
        <f t="shared" si="30"/>
        <v>Д</v>
      </c>
      <c r="L675" s="88" t="str">
        <f t="shared" si="31"/>
        <v>Б</v>
      </c>
      <c r="M675" s="89" t="str">
        <f t="shared" si="32"/>
        <v>Прикладная информатика</v>
      </c>
      <c r="N675" s="89" t="s">
        <v>301</v>
      </c>
    </row>
    <row r="676" spans="1:14" customFormat="1" ht="30" hidden="1" customHeight="1" x14ac:dyDescent="0.25">
      <c r="A676" s="62" t="s">
        <v>226</v>
      </c>
      <c r="B676" s="84" t="s">
        <v>457</v>
      </c>
      <c r="C676" s="85" t="s">
        <v>295</v>
      </c>
      <c r="D676" s="85" t="s">
        <v>296</v>
      </c>
      <c r="E676" s="84" t="s">
        <v>311</v>
      </c>
      <c r="F676" s="86" t="s">
        <v>312</v>
      </c>
      <c r="G676" s="87" t="s">
        <v>458</v>
      </c>
      <c r="H676" s="87" t="s">
        <v>458</v>
      </c>
      <c r="I676" s="87"/>
      <c r="J676" s="87" t="s">
        <v>1801</v>
      </c>
      <c r="K676" s="88" t="str">
        <f t="shared" si="30"/>
        <v>Д</v>
      </c>
      <c r="L676" s="88" t="str">
        <f t="shared" si="31"/>
        <v>Б</v>
      </c>
      <c r="M676" s="89" t="str">
        <f t="shared" si="32"/>
        <v>Бизнес-информатика</v>
      </c>
      <c r="N676" s="89" t="s">
        <v>301</v>
      </c>
    </row>
    <row r="677" spans="1:14" customFormat="1" ht="30" hidden="1" customHeight="1" x14ac:dyDescent="0.25">
      <c r="A677" s="62" t="s">
        <v>239</v>
      </c>
      <c r="B677" s="84" t="s">
        <v>457</v>
      </c>
      <c r="C677" s="85" t="s">
        <v>295</v>
      </c>
      <c r="D677" s="85" t="s">
        <v>296</v>
      </c>
      <c r="E677" s="84" t="s">
        <v>311</v>
      </c>
      <c r="F677" s="86" t="s">
        <v>312</v>
      </c>
      <c r="G677" s="87" t="s">
        <v>458</v>
      </c>
      <c r="H677" s="87" t="s">
        <v>1814</v>
      </c>
      <c r="I677" s="87"/>
      <c r="J677" s="87" t="s">
        <v>1801</v>
      </c>
      <c r="K677" s="88" t="str">
        <f t="shared" si="30"/>
        <v>Д</v>
      </c>
      <c r="L677" s="88" t="str">
        <f t="shared" si="31"/>
        <v>Б</v>
      </c>
      <c r="M677" s="89" t="str">
        <f t="shared" si="32"/>
        <v>Кибербезопасность в экономике</v>
      </c>
      <c r="N677" s="89" t="s">
        <v>301</v>
      </c>
    </row>
    <row r="678" spans="1:14" customFormat="1" ht="30" hidden="1" customHeight="1" x14ac:dyDescent="0.25">
      <c r="A678" s="62" t="s">
        <v>1815</v>
      </c>
      <c r="B678" s="84" t="s">
        <v>1816</v>
      </c>
      <c r="C678" s="85" t="s">
        <v>295</v>
      </c>
      <c r="D678" s="85" t="s">
        <v>304</v>
      </c>
      <c r="E678" s="84" t="s">
        <v>330</v>
      </c>
      <c r="F678" s="86" t="s">
        <v>331</v>
      </c>
      <c r="G678" s="87" t="s">
        <v>1804</v>
      </c>
      <c r="H678" s="87" t="s">
        <v>1817</v>
      </c>
      <c r="I678" s="87"/>
      <c r="J678" s="87" t="s">
        <v>1801</v>
      </c>
      <c r="K678" s="88" t="str">
        <f t="shared" si="30"/>
        <v>Д</v>
      </c>
      <c r="L678" s="88" t="str">
        <f t="shared" si="31"/>
        <v>М</v>
      </c>
      <c r="M678" s="89" t="str">
        <f t="shared" si="32"/>
        <v>Функциональные методы в дифференциальных уравнениях и междисциплинарных исследованиях [язык реализации –Английский]</v>
      </c>
      <c r="N678" s="89" t="s">
        <v>301</v>
      </c>
    </row>
    <row r="679" spans="1:14" customFormat="1" ht="30" hidden="1" customHeight="1" x14ac:dyDescent="0.25">
      <c r="A679" s="62" t="s">
        <v>1818</v>
      </c>
      <c r="B679" s="84" t="s">
        <v>1816</v>
      </c>
      <c r="C679" s="85" t="s">
        <v>295</v>
      </c>
      <c r="D679" s="85" t="s">
        <v>296</v>
      </c>
      <c r="E679" s="84" t="s">
        <v>330</v>
      </c>
      <c r="F679" s="86" t="s">
        <v>331</v>
      </c>
      <c r="G679" s="87" t="s">
        <v>1804</v>
      </c>
      <c r="H679" s="87" t="s">
        <v>1819</v>
      </c>
      <c r="I679" s="87"/>
      <c r="J679" s="87" t="s">
        <v>1801</v>
      </c>
      <c r="K679" s="88" t="str">
        <f t="shared" si="30"/>
        <v>Д</v>
      </c>
      <c r="L679" s="88" t="str">
        <f t="shared" si="31"/>
        <v>М</v>
      </c>
      <c r="M679" s="89" t="str">
        <f t="shared" si="32"/>
        <v>Нелинейные и нелокальные задачи для уравнений в частных производных, математическое моделирование и нейронные сети</v>
      </c>
      <c r="N679" s="89" t="s">
        <v>301</v>
      </c>
    </row>
    <row r="680" spans="1:14" customFormat="1" ht="30" hidden="1" customHeight="1" x14ac:dyDescent="0.25">
      <c r="A680" s="62" t="s">
        <v>1820</v>
      </c>
      <c r="B680" s="84" t="s">
        <v>632</v>
      </c>
      <c r="C680" s="85" t="s">
        <v>295</v>
      </c>
      <c r="D680" s="85" t="s">
        <v>296</v>
      </c>
      <c r="E680" s="84" t="s">
        <v>330</v>
      </c>
      <c r="F680" s="86" t="s">
        <v>331</v>
      </c>
      <c r="G680" s="87" t="s">
        <v>566</v>
      </c>
      <c r="H680" s="87" t="s">
        <v>1821</v>
      </c>
      <c r="I680" s="87"/>
      <c r="J680" s="87" t="s">
        <v>1801</v>
      </c>
      <c r="K680" s="88" t="str">
        <f t="shared" si="30"/>
        <v>Д</v>
      </c>
      <c r="L680" s="88" t="str">
        <f t="shared" si="31"/>
        <v>М</v>
      </c>
      <c r="M680" s="89" t="str">
        <f t="shared" si="32"/>
        <v>Математические модели в междисциплинарных исследованиях</v>
      </c>
      <c r="N680" s="89" t="s">
        <v>301</v>
      </c>
    </row>
    <row r="681" spans="1:14" customFormat="1" ht="30" hidden="1" customHeight="1" x14ac:dyDescent="0.25">
      <c r="A681" s="62" t="s">
        <v>1822</v>
      </c>
      <c r="B681" s="84" t="s">
        <v>632</v>
      </c>
      <c r="C681" s="85" t="s">
        <v>295</v>
      </c>
      <c r="D681" s="85" t="s">
        <v>296</v>
      </c>
      <c r="E681" s="84" t="s">
        <v>330</v>
      </c>
      <c r="F681" s="86" t="s">
        <v>331</v>
      </c>
      <c r="G681" s="87" t="s">
        <v>566</v>
      </c>
      <c r="H681" s="87" t="s">
        <v>1821</v>
      </c>
      <c r="I681" s="87" t="s">
        <v>516</v>
      </c>
      <c r="J681" s="87" t="s">
        <v>1801</v>
      </c>
      <c r="K681" s="88" t="str">
        <f t="shared" si="30"/>
        <v>Д</v>
      </c>
      <c r="L681" s="88" t="str">
        <f t="shared" si="31"/>
        <v>М</v>
      </c>
      <c r="M681" s="89" t="str">
        <f t="shared" si="32"/>
        <v>Математические модели в междисциплинарных исследованиях (Вуз-партнёр – Казахский национальный университет им. Аль-Фараби)</v>
      </c>
      <c r="N681" s="89" t="s">
        <v>301</v>
      </c>
    </row>
    <row r="682" spans="1:14" customFormat="1" ht="30" hidden="1" customHeight="1" x14ac:dyDescent="0.25">
      <c r="A682" s="62" t="s">
        <v>261</v>
      </c>
      <c r="B682" s="84" t="s">
        <v>632</v>
      </c>
      <c r="C682" s="85" t="s">
        <v>295</v>
      </c>
      <c r="D682" s="85" t="s">
        <v>296</v>
      </c>
      <c r="E682" s="84" t="s">
        <v>330</v>
      </c>
      <c r="F682" s="86" t="s">
        <v>331</v>
      </c>
      <c r="G682" s="87" t="s">
        <v>566</v>
      </c>
      <c r="H682" s="87" t="s">
        <v>1823</v>
      </c>
      <c r="I682" s="87"/>
      <c r="J682" s="87" t="s">
        <v>1801</v>
      </c>
      <c r="K682" s="88" t="str">
        <f t="shared" si="30"/>
        <v>Д</v>
      </c>
      <c r="L682" s="88" t="str">
        <f t="shared" si="31"/>
        <v>М</v>
      </c>
      <c r="M682" s="89" t="str">
        <f t="shared" si="32"/>
        <v>Теория вероятностей и математическая статистика</v>
      </c>
      <c r="N682" s="89" t="s">
        <v>301</v>
      </c>
    </row>
    <row r="683" spans="1:14" customFormat="1" ht="30" hidden="1" customHeight="1" x14ac:dyDescent="0.25">
      <c r="A683" s="62" t="s">
        <v>267</v>
      </c>
      <c r="B683" s="84" t="s">
        <v>641</v>
      </c>
      <c r="C683" s="85" t="s">
        <v>295</v>
      </c>
      <c r="D683" s="85" t="s">
        <v>296</v>
      </c>
      <c r="E683" s="84" t="s">
        <v>330</v>
      </c>
      <c r="F683" s="86" t="s">
        <v>331</v>
      </c>
      <c r="G683" s="87" t="s">
        <v>642</v>
      </c>
      <c r="H683" s="87" t="s">
        <v>1824</v>
      </c>
      <c r="I683" s="87"/>
      <c r="J683" s="87" t="s">
        <v>1801</v>
      </c>
      <c r="K683" s="88" t="str">
        <f t="shared" si="30"/>
        <v>Д</v>
      </c>
      <c r="L683" s="88" t="str">
        <f t="shared" si="31"/>
        <v>М</v>
      </c>
      <c r="M683" s="89" t="str">
        <f t="shared" si="32"/>
        <v>Управление инфокоммуникациями и интеллектуальные системы</v>
      </c>
      <c r="N683" s="89" t="s">
        <v>301</v>
      </c>
    </row>
    <row r="684" spans="1:14" customFormat="1" ht="30" hidden="1" customHeight="1" x14ac:dyDescent="0.25">
      <c r="A684" s="62" t="s">
        <v>1825</v>
      </c>
      <c r="B684" s="84" t="s">
        <v>641</v>
      </c>
      <c r="C684" s="85" t="s">
        <v>295</v>
      </c>
      <c r="D684" s="85" t="s">
        <v>296</v>
      </c>
      <c r="E684" s="84" t="s">
        <v>330</v>
      </c>
      <c r="F684" s="86" t="s">
        <v>331</v>
      </c>
      <c r="G684" s="87" t="s">
        <v>642</v>
      </c>
      <c r="H684" s="87" t="s">
        <v>1826</v>
      </c>
      <c r="I684" s="87"/>
      <c r="J684" s="87" t="s">
        <v>1801</v>
      </c>
      <c r="K684" s="88" t="str">
        <f t="shared" si="30"/>
        <v>Д</v>
      </c>
      <c r="L684" s="88" t="str">
        <f t="shared" si="31"/>
        <v>М</v>
      </c>
      <c r="M684" s="89" t="str">
        <f t="shared" si="32"/>
        <v>Беспроводные сети, интернет вещей и кибербезопасность</v>
      </c>
      <c r="N684" s="89" t="s">
        <v>301</v>
      </c>
    </row>
    <row r="685" spans="1:14" customFormat="1" ht="30" hidden="1" customHeight="1" x14ac:dyDescent="0.25">
      <c r="A685" s="62" t="s">
        <v>1827</v>
      </c>
      <c r="B685" s="84" t="s">
        <v>1598</v>
      </c>
      <c r="C685" s="85" t="s">
        <v>295</v>
      </c>
      <c r="D685" s="85" t="s">
        <v>296</v>
      </c>
      <c r="E685" s="84" t="s">
        <v>330</v>
      </c>
      <c r="F685" s="86" t="s">
        <v>331</v>
      </c>
      <c r="G685" s="87" t="s">
        <v>1599</v>
      </c>
      <c r="H685" s="87" t="s">
        <v>1828</v>
      </c>
      <c r="I685" s="87"/>
      <c r="J685" s="87" t="s">
        <v>1801</v>
      </c>
      <c r="K685" s="88" t="str">
        <f t="shared" si="30"/>
        <v>Д</v>
      </c>
      <c r="L685" s="88" t="str">
        <f t="shared" si="31"/>
        <v>М</v>
      </c>
      <c r="M685" s="89" t="str">
        <f t="shared" si="32"/>
        <v>Фундаментальная и прикладная физика</v>
      </c>
      <c r="N685" s="89" t="s">
        <v>301</v>
      </c>
    </row>
    <row r="686" spans="1:14" customFormat="1" ht="30" hidden="1" customHeight="1" x14ac:dyDescent="0.25">
      <c r="A686" s="62" t="s">
        <v>1829</v>
      </c>
      <c r="B686" s="84" t="s">
        <v>1120</v>
      </c>
      <c r="C686" s="85" t="s">
        <v>295</v>
      </c>
      <c r="D686" s="85" t="s">
        <v>296</v>
      </c>
      <c r="E686" s="84" t="s">
        <v>330</v>
      </c>
      <c r="F686" s="86" t="s">
        <v>331</v>
      </c>
      <c r="G686" s="87" t="s">
        <v>1121</v>
      </c>
      <c r="H686" s="87" t="s">
        <v>1830</v>
      </c>
      <c r="I686" s="87" t="s">
        <v>524</v>
      </c>
      <c r="J686" s="87" t="s">
        <v>1801</v>
      </c>
      <c r="K686" s="88" t="str">
        <f t="shared" si="30"/>
        <v>Д</v>
      </c>
      <c r="L686" s="88" t="str">
        <f t="shared" si="31"/>
        <v>М</v>
      </c>
      <c r="M686" s="89" t="str">
        <f t="shared" si="32"/>
        <v>Фармацевтический анализ в производстве и контроле качества лекарственных средств (Вуз-партнёр – Ереванский государственный университет)</v>
      </c>
      <c r="N686" s="89" t="s">
        <v>301</v>
      </c>
    </row>
    <row r="687" spans="1:14" customFormat="1" ht="30" hidden="1" customHeight="1" x14ac:dyDescent="0.25">
      <c r="A687" s="62" t="s">
        <v>1831</v>
      </c>
      <c r="B687" s="84" t="s">
        <v>1120</v>
      </c>
      <c r="C687" s="85" t="s">
        <v>295</v>
      </c>
      <c r="D687" s="85" t="s">
        <v>296</v>
      </c>
      <c r="E687" s="84" t="s">
        <v>330</v>
      </c>
      <c r="F687" s="86" t="s">
        <v>331</v>
      </c>
      <c r="G687" s="87" t="s">
        <v>1121</v>
      </c>
      <c r="H687" s="87" t="s">
        <v>1830</v>
      </c>
      <c r="I687" s="87" t="s">
        <v>1832</v>
      </c>
      <c r="J687" s="87" t="s">
        <v>1801</v>
      </c>
      <c r="K687" s="88" t="str">
        <f t="shared" si="30"/>
        <v>Д</v>
      </c>
      <c r="L687" s="88" t="str">
        <f t="shared" si="31"/>
        <v>М</v>
      </c>
      <c r="M687" s="89" t="str">
        <f t="shared" si="32"/>
        <v>Фармацевтический анализ в производстве и контроле качества лекарственных средств (Вуз-партнёр – Национальный политехнический университет Армении)</v>
      </c>
      <c r="N687" s="89" t="s">
        <v>301</v>
      </c>
    </row>
    <row r="688" spans="1:14" customFormat="1" ht="30" hidden="1" customHeight="1" x14ac:dyDescent="0.25">
      <c r="A688" s="62" t="s">
        <v>1833</v>
      </c>
      <c r="B688" s="84" t="s">
        <v>1120</v>
      </c>
      <c r="C688" s="85" t="s">
        <v>295</v>
      </c>
      <c r="D688" s="85" t="s">
        <v>296</v>
      </c>
      <c r="E688" s="84" t="s">
        <v>330</v>
      </c>
      <c r="F688" s="86" t="s">
        <v>331</v>
      </c>
      <c r="G688" s="87" t="s">
        <v>1121</v>
      </c>
      <c r="H688" s="87" t="s">
        <v>1834</v>
      </c>
      <c r="I688" s="87"/>
      <c r="J688" s="87" t="s">
        <v>1801</v>
      </c>
      <c r="K688" s="88" t="str">
        <f t="shared" si="30"/>
        <v>Д</v>
      </c>
      <c r="L688" s="88" t="str">
        <f t="shared" si="31"/>
        <v>М</v>
      </c>
      <c r="M688" s="89" t="str">
        <f t="shared" si="32"/>
        <v>Фундаментальная и прикладная химия</v>
      </c>
      <c r="N688" s="89" t="s">
        <v>301</v>
      </c>
    </row>
    <row r="689" spans="1:14" customFormat="1" ht="30" hidden="1" customHeight="1" x14ac:dyDescent="0.25">
      <c r="A689" s="62" t="s">
        <v>1835</v>
      </c>
      <c r="B689" s="84" t="s">
        <v>1120</v>
      </c>
      <c r="C689" s="85" t="s">
        <v>295</v>
      </c>
      <c r="D689" s="85" t="s">
        <v>304</v>
      </c>
      <c r="E689" s="84" t="s">
        <v>330</v>
      </c>
      <c r="F689" s="86" t="s">
        <v>331</v>
      </c>
      <c r="G689" s="87" t="s">
        <v>1121</v>
      </c>
      <c r="H689" s="87" t="s">
        <v>1836</v>
      </c>
      <c r="I689" s="87" t="s">
        <v>1167</v>
      </c>
      <c r="J689" s="87" t="s">
        <v>1801</v>
      </c>
      <c r="K689" s="88" t="str">
        <f t="shared" si="30"/>
        <v>Д</v>
      </c>
      <c r="L689" s="88" t="str">
        <f t="shared" si="31"/>
        <v>М</v>
      </c>
      <c r="M689" s="89" t="str">
        <f t="shared" si="32"/>
        <v>Биоэнергетика и продукты переработки биомассы (Вуз-партнёр – Евразийский национальный университет им. Л.Н. Гумилева)</v>
      </c>
      <c r="N689" s="89" t="s">
        <v>301</v>
      </c>
    </row>
    <row r="690" spans="1:14" customFormat="1" ht="30" hidden="1" customHeight="1" x14ac:dyDescent="0.25">
      <c r="A690" s="62" t="s">
        <v>1837</v>
      </c>
      <c r="B690" s="84" t="s">
        <v>1120</v>
      </c>
      <c r="C690" s="85" t="s">
        <v>295</v>
      </c>
      <c r="D690" s="85" t="s">
        <v>304</v>
      </c>
      <c r="E690" s="84" t="s">
        <v>330</v>
      </c>
      <c r="F690" s="86" t="s">
        <v>331</v>
      </c>
      <c r="G690" s="87" t="s">
        <v>1121</v>
      </c>
      <c r="H690" s="87" t="s">
        <v>1836</v>
      </c>
      <c r="I690" s="87"/>
      <c r="J690" s="87" t="s">
        <v>1801</v>
      </c>
      <c r="K690" s="88" t="str">
        <f t="shared" si="30"/>
        <v>Д</v>
      </c>
      <c r="L690" s="88" t="str">
        <f t="shared" si="31"/>
        <v>М</v>
      </c>
      <c r="M690" s="89" t="str">
        <f t="shared" si="32"/>
        <v>Биоэнергетика и продукты переработки биомассы [язык реализации –Английский]</v>
      </c>
      <c r="N690" s="89" t="s">
        <v>301</v>
      </c>
    </row>
    <row r="691" spans="1:14" customFormat="1" ht="30" hidden="1" customHeight="1" x14ac:dyDescent="0.25">
      <c r="A691" s="62" t="s">
        <v>1838</v>
      </c>
      <c r="B691" s="84" t="s">
        <v>1120</v>
      </c>
      <c r="C691" s="85" t="s">
        <v>295</v>
      </c>
      <c r="D691" s="85" t="s">
        <v>296</v>
      </c>
      <c r="E691" s="84" t="s">
        <v>330</v>
      </c>
      <c r="F691" s="86" t="s">
        <v>331</v>
      </c>
      <c r="G691" s="87" t="s">
        <v>1121</v>
      </c>
      <c r="H691" s="87" t="s">
        <v>1839</v>
      </c>
      <c r="I691" s="87" t="s">
        <v>516</v>
      </c>
      <c r="J691" s="87" t="s">
        <v>1801</v>
      </c>
      <c r="K691" s="88" t="str">
        <f t="shared" si="30"/>
        <v>Д</v>
      </c>
      <c r="L691" s="88" t="str">
        <f t="shared" si="31"/>
        <v>М</v>
      </c>
      <c r="M691" s="89" t="str">
        <f t="shared" si="32"/>
        <v>Современная интегративная химия (Вуз-партнёр – Казахский национальный университет им. Аль-Фараби)</v>
      </c>
      <c r="N691" s="89" t="s">
        <v>301</v>
      </c>
    </row>
    <row r="692" spans="1:14" customFormat="1" ht="30" hidden="1" customHeight="1" x14ac:dyDescent="0.25">
      <c r="A692" s="62" t="s">
        <v>1840</v>
      </c>
      <c r="B692" s="84" t="s">
        <v>1120</v>
      </c>
      <c r="C692" s="85" t="s">
        <v>295</v>
      </c>
      <c r="D692" s="85" t="s">
        <v>296</v>
      </c>
      <c r="E692" s="84" t="s">
        <v>330</v>
      </c>
      <c r="F692" s="86" t="s">
        <v>331</v>
      </c>
      <c r="G692" s="87" t="s">
        <v>1121</v>
      </c>
      <c r="H692" s="87" t="s">
        <v>1841</v>
      </c>
      <c r="I692" s="87" t="s">
        <v>514</v>
      </c>
      <c r="J692" s="87" t="s">
        <v>1801</v>
      </c>
      <c r="K692" s="88" t="str">
        <f t="shared" si="30"/>
        <v>Д</v>
      </c>
      <c r="L692" s="88" t="str">
        <f t="shared" si="31"/>
        <v>М</v>
      </c>
      <c r="M692" s="89" t="str">
        <f t="shared" si="32"/>
        <v>Химия органических соединений (Вуз-партнёр – Евразийский национальный университет имени Л. Н. Гумилёва)</v>
      </c>
      <c r="N692" s="89" t="s">
        <v>301</v>
      </c>
    </row>
    <row r="693" spans="1:14" customFormat="1" ht="30" hidden="1" customHeight="1" x14ac:dyDescent="0.25">
      <c r="A693" s="62" t="s">
        <v>241</v>
      </c>
      <c r="B693" s="84" t="s">
        <v>1842</v>
      </c>
      <c r="C693" s="85" t="s">
        <v>295</v>
      </c>
      <c r="D693" s="85" t="s">
        <v>296</v>
      </c>
      <c r="E693" s="84" t="s">
        <v>330</v>
      </c>
      <c r="F693" s="86" t="s">
        <v>331</v>
      </c>
      <c r="G693" s="87" t="s">
        <v>1775</v>
      </c>
      <c r="H693" s="87" t="s">
        <v>1843</v>
      </c>
      <c r="I693" s="87"/>
      <c r="J693" s="87" t="s">
        <v>1801</v>
      </c>
      <c r="K693" s="88" t="str">
        <f t="shared" si="30"/>
        <v>Д</v>
      </c>
      <c r="L693" s="88" t="str">
        <f t="shared" si="31"/>
        <v>М</v>
      </c>
      <c r="M693" s="89" t="str">
        <f t="shared" si="32"/>
        <v>Искусственный интеллект и анализ данных</v>
      </c>
      <c r="N693" s="89" t="s">
        <v>301</v>
      </c>
    </row>
    <row r="694" spans="1:14" customFormat="1" ht="30" hidden="1" customHeight="1" x14ac:dyDescent="0.25">
      <c r="A694" s="62" t="s">
        <v>1844</v>
      </c>
      <c r="B694" s="84" t="s">
        <v>1845</v>
      </c>
      <c r="C694" s="85" t="s">
        <v>295</v>
      </c>
      <c r="D694" s="85" t="s">
        <v>296</v>
      </c>
      <c r="E694" s="84" t="s">
        <v>311</v>
      </c>
      <c r="F694" s="86" t="s">
        <v>368</v>
      </c>
      <c r="G694" s="87" t="s">
        <v>1846</v>
      </c>
      <c r="H694" s="87" t="s">
        <v>1846</v>
      </c>
      <c r="I694" s="87"/>
      <c r="J694" s="87" t="s">
        <v>1801</v>
      </c>
      <c r="K694" s="88" t="str">
        <f t="shared" si="30"/>
        <v>Д</v>
      </c>
      <c r="L694" s="88" t="str">
        <f t="shared" si="31"/>
        <v>А</v>
      </c>
      <c r="M694" s="89" t="str">
        <f t="shared" si="32"/>
        <v>Вещественный, комплексный и функциональный анализ</v>
      </c>
      <c r="N694" s="89" t="s">
        <v>301</v>
      </c>
    </row>
    <row r="695" spans="1:14" customFormat="1" ht="30" hidden="1" customHeight="1" x14ac:dyDescent="0.25">
      <c r="A695" s="62" t="s">
        <v>1847</v>
      </c>
      <c r="B695" s="84" t="s">
        <v>1848</v>
      </c>
      <c r="C695" s="85" t="s">
        <v>295</v>
      </c>
      <c r="D695" s="85" t="s">
        <v>296</v>
      </c>
      <c r="E695" s="84" t="s">
        <v>311</v>
      </c>
      <c r="F695" s="86" t="s">
        <v>368</v>
      </c>
      <c r="G695" s="87" t="s">
        <v>1849</v>
      </c>
      <c r="H695" s="87" t="s">
        <v>1849</v>
      </c>
      <c r="I695" s="87"/>
      <c r="J695" s="87" t="s">
        <v>1801</v>
      </c>
      <c r="K695" s="88" t="str">
        <f t="shared" si="30"/>
        <v>Д</v>
      </c>
      <c r="L695" s="88" t="str">
        <f t="shared" si="31"/>
        <v>А</v>
      </c>
      <c r="M695" s="89" t="str">
        <f t="shared" si="32"/>
        <v>Дифференциальные уравнения и математическая физика</v>
      </c>
      <c r="N695" s="89" t="s">
        <v>301</v>
      </c>
    </row>
    <row r="696" spans="1:14" customFormat="1" ht="30" hidden="1" customHeight="1" x14ac:dyDescent="0.25">
      <c r="A696" s="62" t="s">
        <v>1850</v>
      </c>
      <c r="B696" s="84" t="s">
        <v>1851</v>
      </c>
      <c r="C696" s="85" t="s">
        <v>295</v>
      </c>
      <c r="D696" s="85" t="s">
        <v>296</v>
      </c>
      <c r="E696" s="84" t="s">
        <v>311</v>
      </c>
      <c r="F696" s="86" t="s">
        <v>368</v>
      </c>
      <c r="G696" s="87" t="s">
        <v>1852</v>
      </c>
      <c r="H696" s="87" t="s">
        <v>1852</v>
      </c>
      <c r="I696" s="87"/>
      <c r="J696" s="87" t="s">
        <v>1801</v>
      </c>
      <c r="K696" s="88" t="str">
        <f t="shared" si="30"/>
        <v>Д</v>
      </c>
      <c r="L696" s="88" t="str">
        <f t="shared" si="31"/>
        <v>А</v>
      </c>
      <c r="M696" s="89" t="str">
        <f t="shared" si="32"/>
        <v>Вычислительная математика</v>
      </c>
      <c r="N696" s="89" t="s">
        <v>301</v>
      </c>
    </row>
    <row r="697" spans="1:14" customFormat="1" ht="30" hidden="1" customHeight="1" x14ac:dyDescent="0.25">
      <c r="A697" s="62" t="s">
        <v>1853</v>
      </c>
      <c r="B697" s="84" t="s">
        <v>760</v>
      </c>
      <c r="C697" s="85" t="s">
        <v>295</v>
      </c>
      <c r="D697" s="85" t="s">
        <v>296</v>
      </c>
      <c r="E697" s="84" t="s">
        <v>311</v>
      </c>
      <c r="F697" s="86" t="s">
        <v>368</v>
      </c>
      <c r="G697" s="87" t="s">
        <v>761</v>
      </c>
      <c r="H697" s="87" t="s">
        <v>761</v>
      </c>
      <c r="I697" s="87"/>
      <c r="J697" s="87" t="s">
        <v>1801</v>
      </c>
      <c r="K697" s="88" t="str">
        <f t="shared" si="30"/>
        <v>Д</v>
      </c>
      <c r="L697" s="88" t="str">
        <f t="shared" si="31"/>
        <v>А</v>
      </c>
      <c r="M697" s="89" t="str">
        <f t="shared" si="32"/>
        <v>Теоретическая механика, динамика машин</v>
      </c>
      <c r="N697" s="89" t="s">
        <v>301</v>
      </c>
    </row>
    <row r="698" spans="1:14" customFormat="1" ht="30" hidden="1" customHeight="1" x14ac:dyDescent="0.25">
      <c r="A698" s="62" t="s">
        <v>278</v>
      </c>
      <c r="B698" s="84" t="s">
        <v>1854</v>
      </c>
      <c r="C698" s="85" t="s">
        <v>295</v>
      </c>
      <c r="D698" s="85" t="s">
        <v>296</v>
      </c>
      <c r="E698" s="84" t="s">
        <v>393</v>
      </c>
      <c r="F698" s="86" t="s">
        <v>368</v>
      </c>
      <c r="G698" s="87" t="s">
        <v>279</v>
      </c>
      <c r="H698" s="87" t="s">
        <v>279</v>
      </c>
      <c r="I698" s="87"/>
      <c r="J698" s="87" t="s">
        <v>1801</v>
      </c>
      <c r="K698" s="88" t="str">
        <f t="shared" si="30"/>
        <v>Д</v>
      </c>
      <c r="L698" s="88" t="str">
        <f t="shared" si="31"/>
        <v>А</v>
      </c>
      <c r="M698" s="89" t="str">
        <f t="shared" si="32"/>
        <v>Математическое моделирование, численные методы и комплексы программ</v>
      </c>
      <c r="N698" s="89" t="s">
        <v>301</v>
      </c>
    </row>
    <row r="699" spans="1:14" customFormat="1" ht="30" hidden="1" customHeight="1" x14ac:dyDescent="0.25">
      <c r="A699" s="62" t="s">
        <v>270</v>
      </c>
      <c r="B699" s="84" t="s">
        <v>1855</v>
      </c>
      <c r="C699" s="85" t="s">
        <v>295</v>
      </c>
      <c r="D699" s="85" t="s">
        <v>296</v>
      </c>
      <c r="E699" s="84" t="s">
        <v>393</v>
      </c>
      <c r="F699" s="86" t="s">
        <v>368</v>
      </c>
      <c r="G699" s="87" t="s">
        <v>272</v>
      </c>
      <c r="H699" s="87" t="s">
        <v>272</v>
      </c>
      <c r="I699" s="87"/>
      <c r="J699" s="87" t="s">
        <v>1801</v>
      </c>
      <c r="K699" s="88" t="str">
        <f t="shared" si="30"/>
        <v>Д</v>
      </c>
      <c r="L699" s="88" t="str">
        <f t="shared" si="31"/>
        <v>А</v>
      </c>
      <c r="M699" s="89" t="str">
        <f t="shared" si="32"/>
        <v>Теоретическая информатика, кибернетика</v>
      </c>
      <c r="N699" s="89" t="s">
        <v>301</v>
      </c>
    </row>
    <row r="700" spans="1:14" customFormat="1" ht="30" hidden="1" customHeight="1" x14ac:dyDescent="0.25">
      <c r="A700" s="62" t="s">
        <v>1856</v>
      </c>
      <c r="B700" s="84" t="s">
        <v>1857</v>
      </c>
      <c r="C700" s="85" t="s">
        <v>295</v>
      </c>
      <c r="D700" s="85" t="s">
        <v>296</v>
      </c>
      <c r="E700" s="84" t="s">
        <v>311</v>
      </c>
      <c r="F700" s="86" t="s">
        <v>368</v>
      </c>
      <c r="G700" s="87" t="s">
        <v>1858</v>
      </c>
      <c r="H700" s="87" t="s">
        <v>1858</v>
      </c>
      <c r="I700" s="87"/>
      <c r="J700" s="87" t="s">
        <v>1801</v>
      </c>
      <c r="K700" s="88" t="str">
        <f t="shared" si="30"/>
        <v>Д</v>
      </c>
      <c r="L700" s="88" t="str">
        <f t="shared" si="31"/>
        <v>А</v>
      </c>
      <c r="M700" s="89" t="str">
        <f t="shared" si="32"/>
        <v>Теоретическая физика</v>
      </c>
      <c r="N700" s="89" t="s">
        <v>301</v>
      </c>
    </row>
    <row r="701" spans="1:14" customFormat="1" ht="30" hidden="1" customHeight="1" x14ac:dyDescent="0.25">
      <c r="A701" s="62" t="s">
        <v>1859</v>
      </c>
      <c r="B701" s="84" t="s">
        <v>1860</v>
      </c>
      <c r="C701" s="85" t="s">
        <v>295</v>
      </c>
      <c r="D701" s="85" t="s">
        <v>296</v>
      </c>
      <c r="E701" s="84" t="s">
        <v>311</v>
      </c>
      <c r="F701" s="86" t="s">
        <v>368</v>
      </c>
      <c r="G701" s="87" t="s">
        <v>1861</v>
      </c>
      <c r="H701" s="87" t="s">
        <v>1861</v>
      </c>
      <c r="I701" s="87"/>
      <c r="J701" s="87" t="s">
        <v>1801</v>
      </c>
      <c r="K701" s="88" t="str">
        <f t="shared" si="30"/>
        <v>Д</v>
      </c>
      <c r="L701" s="88" t="str">
        <f t="shared" si="31"/>
        <v>А</v>
      </c>
      <c r="M701" s="89" t="str">
        <f t="shared" si="32"/>
        <v>Радиофизика</v>
      </c>
      <c r="N701" s="89" t="s">
        <v>301</v>
      </c>
    </row>
    <row r="702" spans="1:14" customFormat="1" ht="30" hidden="1" customHeight="1" x14ac:dyDescent="0.25">
      <c r="A702" s="62" t="s">
        <v>1862</v>
      </c>
      <c r="B702" s="84" t="s">
        <v>1863</v>
      </c>
      <c r="C702" s="85" t="s">
        <v>295</v>
      </c>
      <c r="D702" s="85" t="s">
        <v>296</v>
      </c>
      <c r="E702" s="84" t="s">
        <v>311</v>
      </c>
      <c r="F702" s="86" t="s">
        <v>368</v>
      </c>
      <c r="G702" s="87" t="s">
        <v>1864</v>
      </c>
      <c r="H702" s="87" t="s">
        <v>1864</v>
      </c>
      <c r="I702" s="87"/>
      <c r="J702" s="87" t="s">
        <v>1801</v>
      </c>
      <c r="K702" s="88" t="str">
        <f t="shared" si="30"/>
        <v>Д</v>
      </c>
      <c r="L702" s="88" t="str">
        <f t="shared" si="31"/>
        <v>А</v>
      </c>
      <c r="M702" s="89" t="str">
        <f t="shared" si="32"/>
        <v>Физика плазмы</v>
      </c>
      <c r="N702" s="89" t="s">
        <v>301</v>
      </c>
    </row>
    <row r="703" spans="1:14" customFormat="1" ht="30" hidden="1" customHeight="1" x14ac:dyDescent="0.25">
      <c r="A703" s="62" t="s">
        <v>1865</v>
      </c>
      <c r="B703" s="84" t="s">
        <v>1866</v>
      </c>
      <c r="C703" s="85" t="s">
        <v>295</v>
      </c>
      <c r="D703" s="85" t="s">
        <v>296</v>
      </c>
      <c r="E703" s="84" t="s">
        <v>311</v>
      </c>
      <c r="F703" s="86" t="s">
        <v>368</v>
      </c>
      <c r="G703" s="87" t="s">
        <v>1867</v>
      </c>
      <c r="H703" s="87" t="s">
        <v>1867</v>
      </c>
      <c r="I703" s="87"/>
      <c r="J703" s="87" t="s">
        <v>1801</v>
      </c>
      <c r="K703" s="88" t="str">
        <f t="shared" si="30"/>
        <v>Д</v>
      </c>
      <c r="L703" s="88" t="str">
        <f t="shared" si="31"/>
        <v>А</v>
      </c>
      <c r="M703" s="89" t="str">
        <f t="shared" si="32"/>
        <v>Неорганическая химия</v>
      </c>
      <c r="N703" s="89" t="s">
        <v>301</v>
      </c>
    </row>
    <row r="704" spans="1:14" customFormat="1" ht="30" hidden="1" customHeight="1" x14ac:dyDescent="0.25">
      <c r="A704" s="62" t="s">
        <v>1868</v>
      </c>
      <c r="B704" s="84" t="s">
        <v>1869</v>
      </c>
      <c r="C704" s="85" t="s">
        <v>295</v>
      </c>
      <c r="D704" s="85" t="s">
        <v>296</v>
      </c>
      <c r="E704" s="84" t="s">
        <v>311</v>
      </c>
      <c r="F704" s="86" t="s">
        <v>368</v>
      </c>
      <c r="G704" s="87" t="s">
        <v>1870</v>
      </c>
      <c r="H704" s="87" t="s">
        <v>1870</v>
      </c>
      <c r="I704" s="87"/>
      <c r="J704" s="87" t="s">
        <v>1801</v>
      </c>
      <c r="K704" s="88" t="str">
        <f t="shared" si="30"/>
        <v>Д</v>
      </c>
      <c r="L704" s="88" t="str">
        <f t="shared" si="31"/>
        <v>А</v>
      </c>
      <c r="M704" s="89" t="str">
        <f t="shared" si="32"/>
        <v>Органическая химия</v>
      </c>
      <c r="N704" s="89" t="s">
        <v>301</v>
      </c>
    </row>
    <row r="705" spans="1:14" customFormat="1" ht="30" hidden="1" customHeight="1" x14ac:dyDescent="0.25">
      <c r="A705" s="62" t="s">
        <v>1871</v>
      </c>
      <c r="B705" s="84" t="s">
        <v>1872</v>
      </c>
      <c r="C705" s="85" t="s">
        <v>295</v>
      </c>
      <c r="D705" s="85" t="s">
        <v>296</v>
      </c>
      <c r="E705" s="84" t="s">
        <v>311</v>
      </c>
      <c r="F705" s="86" t="s">
        <v>368</v>
      </c>
      <c r="G705" s="87" t="s">
        <v>1873</v>
      </c>
      <c r="H705" s="87" t="s">
        <v>1873</v>
      </c>
      <c r="I705" s="87"/>
      <c r="J705" s="87" t="s">
        <v>1801</v>
      </c>
      <c r="K705" s="88" t="str">
        <f t="shared" si="30"/>
        <v>Д</v>
      </c>
      <c r="L705" s="88" t="str">
        <f t="shared" si="31"/>
        <v>А</v>
      </c>
      <c r="M705" s="89" t="str">
        <f t="shared" si="32"/>
        <v>Физическая химия</v>
      </c>
      <c r="N705" s="89" t="s">
        <v>301</v>
      </c>
    </row>
    <row r="706" spans="1:14" customFormat="1" ht="30" hidden="1" customHeight="1" x14ac:dyDescent="0.25">
      <c r="A706" s="62" t="s">
        <v>280</v>
      </c>
      <c r="B706" s="84" t="s">
        <v>818</v>
      </c>
      <c r="C706" s="85" t="s">
        <v>295</v>
      </c>
      <c r="D706" s="85" t="s">
        <v>296</v>
      </c>
      <c r="E706" s="84" t="s">
        <v>393</v>
      </c>
      <c r="F706" s="86" t="s">
        <v>368</v>
      </c>
      <c r="G706" s="87" t="s">
        <v>281</v>
      </c>
      <c r="H706" s="87" t="s">
        <v>281</v>
      </c>
      <c r="I706" s="87"/>
      <c r="J706" s="87" t="s">
        <v>1801</v>
      </c>
      <c r="K706" s="88" t="str">
        <f t="shared" si="30"/>
        <v>Д</v>
      </c>
      <c r="L706" s="88" t="str">
        <f t="shared" si="31"/>
        <v>А</v>
      </c>
      <c r="M706" s="89" t="str">
        <f t="shared" si="32"/>
        <v>Системный анализ, управление и обработка информации, статистика</v>
      </c>
      <c r="N706" s="89" t="s">
        <v>301</v>
      </c>
    </row>
    <row r="707" spans="1:14" customFormat="1" ht="30" hidden="1" customHeight="1" x14ac:dyDescent="0.25">
      <c r="A707" s="62" t="s">
        <v>1874</v>
      </c>
      <c r="B707" s="84" t="s">
        <v>565</v>
      </c>
      <c r="C707" s="85" t="s">
        <v>403</v>
      </c>
      <c r="D707" s="85" t="s">
        <v>296</v>
      </c>
      <c r="E707" s="84" t="s">
        <v>297</v>
      </c>
      <c r="F707" s="86" t="s">
        <v>312</v>
      </c>
      <c r="G707" s="87" t="s">
        <v>566</v>
      </c>
      <c r="H707" s="87" t="s">
        <v>566</v>
      </c>
      <c r="I707" s="87"/>
      <c r="J707" s="87" t="s">
        <v>1801</v>
      </c>
      <c r="K707" s="88" t="str">
        <f t="shared" ref="K707:K770" si="33">IF(C707="очная","Д",IF(C707="Очно-заочная","В",IF(C707="Заочная","З","-")))</f>
        <v>В</v>
      </c>
      <c r="L707" s="88" t="str">
        <f t="shared" ref="L707:L770" si="34">IF(N707="да","ЦМ",LEFT(F707,1))</f>
        <v>Б</v>
      </c>
      <c r="M707" s="89" t="str">
        <f t="shared" ref="M707:M770" si="35">CONCATENATE(H707,IF(I707&gt;0,CONCATENATE(" (Вуз-партнёр – ",I707,")"),IF(D707=$D$3,"",CONCATENATE(" [язык реализации –",D707,"]"))))</f>
        <v>Прикладная математика и информатика</v>
      </c>
      <c r="N707" s="89" t="s">
        <v>301</v>
      </c>
    </row>
    <row r="708" spans="1:14" customFormat="1" ht="30" hidden="1" customHeight="1" x14ac:dyDescent="0.25">
      <c r="A708" s="62" t="s">
        <v>1875</v>
      </c>
      <c r="B708" s="84" t="s">
        <v>565</v>
      </c>
      <c r="C708" s="85" t="s">
        <v>403</v>
      </c>
      <c r="D708" s="85" t="s">
        <v>296</v>
      </c>
      <c r="E708" s="84" t="s">
        <v>297</v>
      </c>
      <c r="F708" s="86" t="s">
        <v>312</v>
      </c>
      <c r="G708" s="87" t="s">
        <v>566</v>
      </c>
      <c r="H708" s="87" t="s">
        <v>1806</v>
      </c>
      <c r="I708" s="87"/>
      <c r="J708" s="87" t="s">
        <v>1801</v>
      </c>
      <c r="K708" s="88" t="str">
        <f t="shared" si="33"/>
        <v>В</v>
      </c>
      <c r="L708" s="88" t="str">
        <f t="shared" si="34"/>
        <v>Б</v>
      </c>
      <c r="M708" s="89" t="str">
        <f t="shared" si="35"/>
        <v>Прикладная математика и программирование</v>
      </c>
      <c r="N708" s="89" t="s">
        <v>301</v>
      </c>
    </row>
    <row r="709" spans="1:14" customFormat="1" ht="30" hidden="1" customHeight="1" x14ac:dyDescent="0.25">
      <c r="A709" s="62" t="s">
        <v>1876</v>
      </c>
      <c r="B709" s="84" t="s">
        <v>1120</v>
      </c>
      <c r="C709" s="85" t="s">
        <v>403</v>
      </c>
      <c r="D709" s="85" t="s">
        <v>296</v>
      </c>
      <c r="E709" s="84" t="s">
        <v>1877</v>
      </c>
      <c r="F709" s="86" t="s">
        <v>331</v>
      </c>
      <c r="G709" s="87" t="s">
        <v>1121</v>
      </c>
      <c r="H709" s="87" t="s">
        <v>1830</v>
      </c>
      <c r="I709" s="87"/>
      <c r="J709" s="87" t="s">
        <v>1801</v>
      </c>
      <c r="K709" s="88" t="str">
        <f t="shared" si="33"/>
        <v>В</v>
      </c>
      <c r="L709" s="88" t="str">
        <f t="shared" si="34"/>
        <v>М</v>
      </c>
      <c r="M709" s="89" t="str">
        <f t="shared" si="35"/>
        <v>Фармацевтический анализ в производстве и контроле качества лекарственных средств</v>
      </c>
      <c r="N709" s="89" t="s">
        <v>301</v>
      </c>
    </row>
    <row r="710" spans="1:14" customFormat="1" ht="30" hidden="1" customHeight="1" x14ac:dyDescent="0.25">
      <c r="A710" s="62" t="s">
        <v>1878</v>
      </c>
      <c r="B710" s="84" t="s">
        <v>1879</v>
      </c>
      <c r="C710" s="85" t="s">
        <v>419</v>
      </c>
      <c r="D710" s="85" t="s">
        <v>296</v>
      </c>
      <c r="E710" s="84" t="s">
        <v>297</v>
      </c>
      <c r="F710" s="86" t="s">
        <v>368</v>
      </c>
      <c r="G710" s="87" t="s">
        <v>1799</v>
      </c>
      <c r="H710" s="87" t="s">
        <v>1846</v>
      </c>
      <c r="I710" s="87"/>
      <c r="J710" s="87" t="s">
        <v>1801</v>
      </c>
      <c r="K710" s="88" t="str">
        <f t="shared" si="33"/>
        <v>З</v>
      </c>
      <c r="L710" s="88" t="str">
        <f t="shared" si="34"/>
        <v>А</v>
      </c>
      <c r="M710" s="89" t="str">
        <f t="shared" si="35"/>
        <v>Вещественный, комплексный и функциональный анализ</v>
      </c>
      <c r="N710" s="89" t="s">
        <v>301</v>
      </c>
    </row>
    <row r="711" spans="1:14" customFormat="1" ht="30" hidden="1" customHeight="1" x14ac:dyDescent="0.25">
      <c r="A711" s="62" t="s">
        <v>1880</v>
      </c>
      <c r="B711" s="84" t="s">
        <v>1879</v>
      </c>
      <c r="C711" s="85" t="s">
        <v>419</v>
      </c>
      <c r="D711" s="85" t="s">
        <v>296</v>
      </c>
      <c r="E711" s="84" t="s">
        <v>297</v>
      </c>
      <c r="F711" s="86" t="s">
        <v>368</v>
      </c>
      <c r="G711" s="87" t="s">
        <v>1799</v>
      </c>
      <c r="H711" s="87" t="s">
        <v>1881</v>
      </c>
      <c r="I711" s="87"/>
      <c r="J711" s="87" t="s">
        <v>1801</v>
      </c>
      <c r="K711" s="88" t="str">
        <f t="shared" si="33"/>
        <v>З</v>
      </c>
      <c r="L711" s="88" t="str">
        <f t="shared" si="34"/>
        <v>А</v>
      </c>
      <c r="M711" s="89" t="str">
        <f t="shared" si="35"/>
        <v>Теоретическая механика</v>
      </c>
      <c r="N711" s="89" t="s">
        <v>301</v>
      </c>
    </row>
    <row r="712" spans="1:14" customFormat="1" ht="30" hidden="1" customHeight="1" x14ac:dyDescent="0.25">
      <c r="A712" s="62" t="s">
        <v>1882</v>
      </c>
      <c r="B712" s="84" t="s">
        <v>1879</v>
      </c>
      <c r="C712" s="85" t="s">
        <v>419</v>
      </c>
      <c r="D712" s="85" t="s">
        <v>296</v>
      </c>
      <c r="E712" s="84" t="s">
        <v>297</v>
      </c>
      <c r="F712" s="86" t="s">
        <v>368</v>
      </c>
      <c r="G712" s="87" t="s">
        <v>1799</v>
      </c>
      <c r="H712" s="87" t="s">
        <v>1883</v>
      </c>
      <c r="I712" s="87"/>
      <c r="J712" s="87" t="s">
        <v>1801</v>
      </c>
      <c r="K712" s="88" t="str">
        <f t="shared" si="33"/>
        <v>З</v>
      </c>
      <c r="L712" s="88" t="str">
        <f t="shared" si="34"/>
        <v>А</v>
      </c>
      <c r="M712" s="89" t="str">
        <f t="shared" si="35"/>
        <v>Дифференциальные уравнения, динамические системы и оптимальное управление</v>
      </c>
      <c r="N712" s="89" t="s">
        <v>301</v>
      </c>
    </row>
    <row r="713" spans="1:14" customFormat="1" ht="30" customHeight="1" x14ac:dyDescent="0.25">
      <c r="A713" s="62" t="s">
        <v>1884</v>
      </c>
      <c r="B713" s="84" t="s">
        <v>925</v>
      </c>
      <c r="C713" s="85" t="s">
        <v>419</v>
      </c>
      <c r="D713" s="85" t="s">
        <v>296</v>
      </c>
      <c r="E713" s="84" t="s">
        <v>297</v>
      </c>
      <c r="F713" s="86" t="s">
        <v>368</v>
      </c>
      <c r="G713" s="87" t="s">
        <v>926</v>
      </c>
      <c r="H713" s="87" t="s">
        <v>279</v>
      </c>
      <c r="I713" s="87"/>
      <c r="J713" s="87" t="s">
        <v>1801</v>
      </c>
      <c r="K713" s="88" t="str">
        <f t="shared" si="33"/>
        <v>З</v>
      </c>
      <c r="L713" s="88" t="str">
        <f t="shared" si="34"/>
        <v>А</v>
      </c>
      <c r="M713" s="89" t="str">
        <f t="shared" si="35"/>
        <v>Математическое моделирование, численные методы и комплексы программ</v>
      </c>
      <c r="N713" s="89" t="s">
        <v>301</v>
      </c>
    </row>
    <row r="714" spans="1:14" customFormat="1" ht="30" customHeight="1" x14ac:dyDescent="0.25">
      <c r="A714" s="62" t="s">
        <v>1885</v>
      </c>
      <c r="B714" s="84" t="s">
        <v>925</v>
      </c>
      <c r="C714" s="85" t="s">
        <v>419</v>
      </c>
      <c r="D714" s="85" t="s">
        <v>296</v>
      </c>
      <c r="E714" s="84" t="s">
        <v>297</v>
      </c>
      <c r="F714" s="86" t="s">
        <v>368</v>
      </c>
      <c r="G714" s="87" t="s">
        <v>926</v>
      </c>
      <c r="H714" s="87" t="s">
        <v>114</v>
      </c>
      <c r="I714" s="87"/>
      <c r="J714" s="87" t="s">
        <v>1801</v>
      </c>
      <c r="K714" s="88" t="str">
        <f t="shared" si="33"/>
        <v>З</v>
      </c>
      <c r="L714" s="88" t="str">
        <f t="shared" si="34"/>
        <v>А</v>
      </c>
      <c r="M714" s="89" t="str">
        <f t="shared" si="35"/>
        <v>Теоретические основы информатики</v>
      </c>
      <c r="N714" s="89" t="s">
        <v>301</v>
      </c>
    </row>
    <row r="715" spans="1:14" customFormat="1" ht="30" hidden="1" customHeight="1" x14ac:dyDescent="0.25">
      <c r="A715" s="62" t="s">
        <v>1886</v>
      </c>
      <c r="B715" s="84" t="s">
        <v>1887</v>
      </c>
      <c r="C715" s="85" t="s">
        <v>295</v>
      </c>
      <c r="D715" s="85" t="s">
        <v>296</v>
      </c>
      <c r="E715" s="84" t="s">
        <v>404</v>
      </c>
      <c r="F715" s="86" t="s">
        <v>298</v>
      </c>
      <c r="G715" s="87" t="s">
        <v>1888</v>
      </c>
      <c r="H715" s="87" t="s">
        <v>1889</v>
      </c>
      <c r="I715" s="87"/>
      <c r="J715" s="87" t="s">
        <v>1890</v>
      </c>
      <c r="K715" s="88" t="str">
        <f t="shared" si="33"/>
        <v>Д</v>
      </c>
      <c r="L715" s="88" t="str">
        <f t="shared" si="34"/>
        <v>С</v>
      </c>
      <c r="M715" s="89" t="str">
        <f t="shared" si="35"/>
        <v>Клиническая психология. Психология здоровья</v>
      </c>
      <c r="N715" s="89" t="s">
        <v>301</v>
      </c>
    </row>
    <row r="716" spans="1:14" customFormat="1" ht="30" hidden="1" customHeight="1" x14ac:dyDescent="0.25">
      <c r="A716" s="62" t="s">
        <v>1891</v>
      </c>
      <c r="B716" s="84" t="s">
        <v>1892</v>
      </c>
      <c r="C716" s="85" t="s">
        <v>295</v>
      </c>
      <c r="D716" s="85" t="s">
        <v>296</v>
      </c>
      <c r="E716" s="84" t="s">
        <v>297</v>
      </c>
      <c r="F716" s="86" t="s">
        <v>298</v>
      </c>
      <c r="G716" s="87" t="s">
        <v>1893</v>
      </c>
      <c r="H716" s="87" t="s">
        <v>1894</v>
      </c>
      <c r="I716" s="87"/>
      <c r="J716" s="87" t="s">
        <v>1890</v>
      </c>
      <c r="K716" s="88" t="str">
        <f t="shared" si="33"/>
        <v>Д</v>
      </c>
      <c r="L716" s="88" t="str">
        <f t="shared" si="34"/>
        <v>С</v>
      </c>
      <c r="M716" s="89" t="str">
        <f t="shared" si="35"/>
        <v>Сценарист кино и телевидения</v>
      </c>
      <c r="N716" s="89" t="s">
        <v>301</v>
      </c>
    </row>
    <row r="717" spans="1:14" customFormat="1" ht="30" hidden="1" customHeight="1" x14ac:dyDescent="0.25">
      <c r="A717" s="62" t="s">
        <v>1895</v>
      </c>
      <c r="B717" s="84" t="s">
        <v>1896</v>
      </c>
      <c r="C717" s="85" t="s">
        <v>295</v>
      </c>
      <c r="D717" s="85" t="s">
        <v>296</v>
      </c>
      <c r="E717" s="84" t="s">
        <v>311</v>
      </c>
      <c r="F717" s="86" t="s">
        <v>312</v>
      </c>
      <c r="G717" s="87" t="s">
        <v>1897</v>
      </c>
      <c r="H717" s="87" t="s">
        <v>1897</v>
      </c>
      <c r="I717" s="87"/>
      <c r="J717" s="87" t="s">
        <v>1890</v>
      </c>
      <c r="K717" s="88" t="str">
        <f t="shared" si="33"/>
        <v>Д</v>
      </c>
      <c r="L717" s="88" t="str">
        <f t="shared" si="34"/>
        <v>Б</v>
      </c>
      <c r="M717" s="89" t="str">
        <f t="shared" si="35"/>
        <v>Психология</v>
      </c>
      <c r="N717" s="89" t="s">
        <v>301</v>
      </c>
    </row>
    <row r="718" spans="1:14" customFormat="1" ht="30" hidden="1" customHeight="1" x14ac:dyDescent="0.25">
      <c r="A718" s="62" t="s">
        <v>1898</v>
      </c>
      <c r="B718" s="84" t="s">
        <v>1029</v>
      </c>
      <c r="C718" s="85" t="s">
        <v>295</v>
      </c>
      <c r="D718" s="85" t="s">
        <v>296</v>
      </c>
      <c r="E718" s="84" t="s">
        <v>311</v>
      </c>
      <c r="F718" s="86" t="s">
        <v>312</v>
      </c>
      <c r="G718" s="87" t="s">
        <v>1030</v>
      </c>
      <c r="H718" s="87" t="s">
        <v>1030</v>
      </c>
      <c r="I718" s="87"/>
      <c r="J718" s="87" t="s">
        <v>1890</v>
      </c>
      <c r="K718" s="88" t="str">
        <f t="shared" si="33"/>
        <v>Д</v>
      </c>
      <c r="L718" s="88" t="str">
        <f t="shared" si="34"/>
        <v>Б</v>
      </c>
      <c r="M718" s="89" t="str">
        <f t="shared" si="35"/>
        <v>Реклама и связи с общественностью</v>
      </c>
      <c r="N718" s="89" t="s">
        <v>301</v>
      </c>
    </row>
    <row r="719" spans="1:14" customFormat="1" ht="30" hidden="1" customHeight="1" x14ac:dyDescent="0.25">
      <c r="A719" s="62" t="s">
        <v>1899</v>
      </c>
      <c r="B719" s="84" t="s">
        <v>1900</v>
      </c>
      <c r="C719" s="85" t="s">
        <v>295</v>
      </c>
      <c r="D719" s="85" t="s">
        <v>296</v>
      </c>
      <c r="E719" s="84" t="s">
        <v>311</v>
      </c>
      <c r="F719" s="86" t="s">
        <v>312</v>
      </c>
      <c r="G719" s="87" t="s">
        <v>1901</v>
      </c>
      <c r="H719" s="87" t="s">
        <v>1901</v>
      </c>
      <c r="I719" s="87"/>
      <c r="J719" s="87" t="s">
        <v>1890</v>
      </c>
      <c r="K719" s="88" t="str">
        <f t="shared" si="33"/>
        <v>Д</v>
      </c>
      <c r="L719" s="88" t="str">
        <f t="shared" si="34"/>
        <v>Б</v>
      </c>
      <c r="M719" s="89" t="str">
        <f t="shared" si="35"/>
        <v>Журналистика</v>
      </c>
      <c r="N719" s="89" t="s">
        <v>301</v>
      </c>
    </row>
    <row r="720" spans="1:14" customFormat="1" ht="30" hidden="1" customHeight="1" x14ac:dyDescent="0.25">
      <c r="A720" s="62" t="s">
        <v>1902</v>
      </c>
      <c r="B720" s="84" t="s">
        <v>1900</v>
      </c>
      <c r="C720" s="85" t="s">
        <v>295</v>
      </c>
      <c r="D720" s="85" t="s">
        <v>304</v>
      </c>
      <c r="E720" s="84" t="s">
        <v>311</v>
      </c>
      <c r="F720" s="86" t="s">
        <v>312</v>
      </c>
      <c r="G720" s="87" t="s">
        <v>1901</v>
      </c>
      <c r="H720" s="87" t="s">
        <v>1903</v>
      </c>
      <c r="I720" s="87"/>
      <c r="J720" s="87" t="s">
        <v>1890</v>
      </c>
      <c r="K720" s="88" t="str">
        <f t="shared" si="33"/>
        <v>Д</v>
      </c>
      <c r="L720" s="88" t="str">
        <f t="shared" si="34"/>
        <v>Б</v>
      </c>
      <c r="M720" s="89" t="str">
        <f t="shared" si="35"/>
        <v>Мультимедийная журналистика [язык реализации –Английский]</v>
      </c>
      <c r="N720" s="89" t="s">
        <v>301</v>
      </c>
    </row>
    <row r="721" spans="1:14" customFormat="1" ht="30" hidden="1" customHeight="1" x14ac:dyDescent="0.25">
      <c r="A721" s="62" t="s">
        <v>1904</v>
      </c>
      <c r="B721" s="84" t="s">
        <v>1905</v>
      </c>
      <c r="C721" s="85" t="s">
        <v>295</v>
      </c>
      <c r="D721" s="85" t="s">
        <v>296</v>
      </c>
      <c r="E721" s="84" t="s">
        <v>311</v>
      </c>
      <c r="F721" s="86" t="s">
        <v>312</v>
      </c>
      <c r="G721" s="87" t="s">
        <v>1906</v>
      </c>
      <c r="H721" s="87" t="s">
        <v>1906</v>
      </c>
      <c r="I721" s="87"/>
      <c r="J721" s="87" t="s">
        <v>1890</v>
      </c>
      <c r="K721" s="88" t="str">
        <f t="shared" si="33"/>
        <v>Д</v>
      </c>
      <c r="L721" s="88" t="str">
        <f t="shared" si="34"/>
        <v>Б</v>
      </c>
      <c r="M721" s="89" t="str">
        <f t="shared" si="35"/>
        <v>Телевидение</v>
      </c>
      <c r="N721" s="89" t="s">
        <v>301</v>
      </c>
    </row>
    <row r="722" spans="1:14" customFormat="1" ht="30" hidden="1" customHeight="1" x14ac:dyDescent="0.25">
      <c r="A722" s="62" t="s">
        <v>1907</v>
      </c>
      <c r="B722" s="84" t="s">
        <v>1056</v>
      </c>
      <c r="C722" s="85" t="s">
        <v>295</v>
      </c>
      <c r="D722" s="85" t="s">
        <v>296</v>
      </c>
      <c r="E722" s="84" t="s">
        <v>311</v>
      </c>
      <c r="F722" s="86" t="s">
        <v>312</v>
      </c>
      <c r="G722" s="87" t="s">
        <v>1057</v>
      </c>
      <c r="H722" s="87" t="s">
        <v>1057</v>
      </c>
      <c r="I722" s="87"/>
      <c r="J722" s="87" t="s">
        <v>1890</v>
      </c>
      <c r="K722" s="88" t="str">
        <f t="shared" si="33"/>
        <v>Д</v>
      </c>
      <c r="L722" s="88" t="str">
        <f t="shared" si="34"/>
        <v>Б</v>
      </c>
      <c r="M722" s="89" t="str">
        <f t="shared" si="35"/>
        <v>Филология</v>
      </c>
      <c r="N722" s="89" t="s">
        <v>301</v>
      </c>
    </row>
    <row r="723" spans="1:14" customFormat="1" ht="30" hidden="1" customHeight="1" x14ac:dyDescent="0.25">
      <c r="A723" s="62" t="s">
        <v>1908</v>
      </c>
      <c r="B723" s="84" t="s">
        <v>969</v>
      </c>
      <c r="C723" s="85" t="s">
        <v>295</v>
      </c>
      <c r="D723" s="85" t="s">
        <v>296</v>
      </c>
      <c r="E723" s="84" t="s">
        <v>311</v>
      </c>
      <c r="F723" s="86" t="s">
        <v>312</v>
      </c>
      <c r="G723" s="87" t="s">
        <v>970</v>
      </c>
      <c r="H723" s="87" t="s">
        <v>1909</v>
      </c>
      <c r="I723" s="87"/>
      <c r="J723" s="87" t="s">
        <v>1890</v>
      </c>
      <c r="K723" s="88" t="str">
        <f t="shared" si="33"/>
        <v>Д</v>
      </c>
      <c r="L723" s="88" t="str">
        <f t="shared" si="34"/>
        <v>Б</v>
      </c>
      <c r="M723" s="89" t="str">
        <f t="shared" si="35"/>
        <v>Лингвистика: русский язык</v>
      </c>
      <c r="N723" s="89" t="s">
        <v>301</v>
      </c>
    </row>
    <row r="724" spans="1:14" customFormat="1" ht="30" hidden="1" customHeight="1" x14ac:dyDescent="0.25">
      <c r="A724" s="62" t="s">
        <v>1910</v>
      </c>
      <c r="B724" s="84" t="s">
        <v>969</v>
      </c>
      <c r="C724" s="85" t="s">
        <v>295</v>
      </c>
      <c r="D724" s="85" t="s">
        <v>296</v>
      </c>
      <c r="E724" s="84" t="s">
        <v>311</v>
      </c>
      <c r="F724" s="86" t="s">
        <v>312</v>
      </c>
      <c r="G724" s="87" t="s">
        <v>970</v>
      </c>
      <c r="H724" s="87" t="s">
        <v>1911</v>
      </c>
      <c r="I724" s="87"/>
      <c r="J724" s="87" t="s">
        <v>1890</v>
      </c>
      <c r="K724" s="88" t="str">
        <f t="shared" si="33"/>
        <v>Д</v>
      </c>
      <c r="L724" s="88" t="str">
        <f t="shared" si="34"/>
        <v>Б</v>
      </c>
      <c r="M724" s="89" t="str">
        <f t="shared" si="35"/>
        <v>Лингвистика: иностранные языки</v>
      </c>
      <c r="N724" s="89" t="s">
        <v>301</v>
      </c>
    </row>
    <row r="725" spans="1:14" customFormat="1" ht="30" hidden="1" customHeight="1" x14ac:dyDescent="0.25">
      <c r="A725" s="62" t="s">
        <v>1912</v>
      </c>
      <c r="B725" s="84" t="s">
        <v>1647</v>
      </c>
      <c r="C725" s="85" t="s">
        <v>295</v>
      </c>
      <c r="D725" s="85" t="s">
        <v>296</v>
      </c>
      <c r="E725" s="84" t="s">
        <v>311</v>
      </c>
      <c r="F725" s="86" t="s">
        <v>312</v>
      </c>
      <c r="G725" s="87" t="s">
        <v>1648</v>
      </c>
      <c r="H725" s="87" t="s">
        <v>1913</v>
      </c>
      <c r="I725" s="87"/>
      <c r="J725" s="87" t="s">
        <v>1890</v>
      </c>
      <c r="K725" s="88" t="str">
        <f t="shared" si="33"/>
        <v>Д</v>
      </c>
      <c r="L725" s="88" t="str">
        <f t="shared" si="34"/>
        <v>Б</v>
      </c>
      <c r="M725" s="89" t="str">
        <f t="shared" si="35"/>
        <v>Востоковедение: языки и культуры</v>
      </c>
      <c r="N725" s="89" t="s">
        <v>301</v>
      </c>
    </row>
    <row r="726" spans="1:14" customFormat="1" ht="30" hidden="1" customHeight="1" x14ac:dyDescent="0.25">
      <c r="A726" s="62" t="s">
        <v>1914</v>
      </c>
      <c r="B726" s="84" t="s">
        <v>1915</v>
      </c>
      <c r="C726" s="85" t="s">
        <v>295</v>
      </c>
      <c r="D726" s="85" t="s">
        <v>296</v>
      </c>
      <c r="E726" s="84" t="s">
        <v>330</v>
      </c>
      <c r="F726" s="86" t="s">
        <v>331</v>
      </c>
      <c r="G726" s="87" t="s">
        <v>1897</v>
      </c>
      <c r="H726" s="87" t="s">
        <v>1916</v>
      </c>
      <c r="I726" s="87"/>
      <c r="J726" s="87" t="s">
        <v>1890</v>
      </c>
      <c r="K726" s="88" t="str">
        <f t="shared" si="33"/>
        <v>Д</v>
      </c>
      <c r="L726" s="88" t="str">
        <f t="shared" si="34"/>
        <v>М</v>
      </c>
      <c r="M726" s="89" t="str">
        <f t="shared" si="35"/>
        <v>Психологическое консультирование</v>
      </c>
      <c r="N726" s="89" t="s">
        <v>301</v>
      </c>
    </row>
    <row r="727" spans="1:14" customFormat="1" ht="30" hidden="1" customHeight="1" x14ac:dyDescent="0.25">
      <c r="A727" s="62" t="s">
        <v>1917</v>
      </c>
      <c r="B727" s="84" t="s">
        <v>1915</v>
      </c>
      <c r="C727" s="85" t="s">
        <v>295</v>
      </c>
      <c r="D727" s="85" t="s">
        <v>296</v>
      </c>
      <c r="E727" s="84" t="s">
        <v>330</v>
      </c>
      <c r="F727" s="86" t="s">
        <v>331</v>
      </c>
      <c r="G727" s="87" t="s">
        <v>1897</v>
      </c>
      <c r="H727" s="87" t="s">
        <v>1918</v>
      </c>
      <c r="I727" s="87"/>
      <c r="J727" s="87" t="s">
        <v>1890</v>
      </c>
      <c r="K727" s="88" t="str">
        <f t="shared" si="33"/>
        <v>Д</v>
      </c>
      <c r="L727" s="88" t="str">
        <f t="shared" si="34"/>
        <v>М</v>
      </c>
      <c r="M727" s="89" t="str">
        <f t="shared" si="35"/>
        <v>Интегративные технологии в практической психологии</v>
      </c>
      <c r="N727" s="89" t="s">
        <v>301</v>
      </c>
    </row>
    <row r="728" spans="1:14" customFormat="1" ht="30" hidden="1" customHeight="1" x14ac:dyDescent="0.25">
      <c r="A728" s="62" t="s">
        <v>1919</v>
      </c>
      <c r="B728" s="84" t="s">
        <v>1047</v>
      </c>
      <c r="C728" s="85" t="s">
        <v>295</v>
      </c>
      <c r="D728" s="85" t="s">
        <v>296</v>
      </c>
      <c r="E728" s="84" t="s">
        <v>330</v>
      </c>
      <c r="F728" s="86" t="s">
        <v>331</v>
      </c>
      <c r="G728" s="87" t="s">
        <v>1030</v>
      </c>
      <c r="H728" s="87" t="s">
        <v>1920</v>
      </c>
      <c r="I728" s="87"/>
      <c r="J728" s="87" t="s">
        <v>1890</v>
      </c>
      <c r="K728" s="88" t="str">
        <f t="shared" si="33"/>
        <v>Д</v>
      </c>
      <c r="L728" s="88" t="str">
        <f t="shared" si="34"/>
        <v>М</v>
      </c>
      <c r="M728" s="89" t="str">
        <f t="shared" si="35"/>
        <v>Управление бизнес-коммуникациями</v>
      </c>
      <c r="N728" s="89" t="s">
        <v>301</v>
      </c>
    </row>
    <row r="729" spans="1:14" customFormat="1" ht="30" hidden="1" customHeight="1" x14ac:dyDescent="0.25">
      <c r="A729" s="62" t="s">
        <v>1921</v>
      </c>
      <c r="B729" s="84" t="s">
        <v>1047</v>
      </c>
      <c r="C729" s="85" t="s">
        <v>295</v>
      </c>
      <c r="D729" s="85" t="s">
        <v>296</v>
      </c>
      <c r="E729" s="84" t="s">
        <v>330</v>
      </c>
      <c r="F729" s="86" t="s">
        <v>331</v>
      </c>
      <c r="G729" s="87" t="s">
        <v>1030</v>
      </c>
      <c r="H729" s="87" t="s">
        <v>1922</v>
      </c>
      <c r="I729" s="87"/>
      <c r="J729" s="87" t="s">
        <v>1890</v>
      </c>
      <c r="K729" s="88" t="str">
        <f t="shared" si="33"/>
        <v>Д</v>
      </c>
      <c r="L729" s="88" t="str">
        <f t="shared" si="34"/>
        <v>ЦМ</v>
      </c>
      <c r="M729" s="89" t="str">
        <f t="shared" si="35"/>
        <v>Реклама и связи с общественностью в цифровой среде</v>
      </c>
      <c r="N729" s="89" t="s">
        <v>484</v>
      </c>
    </row>
    <row r="730" spans="1:14" customFormat="1" ht="30" hidden="1" customHeight="1" x14ac:dyDescent="0.25">
      <c r="A730" s="62" t="s">
        <v>1923</v>
      </c>
      <c r="B730" s="84" t="s">
        <v>1924</v>
      </c>
      <c r="C730" s="85" t="s">
        <v>295</v>
      </c>
      <c r="D730" s="85" t="s">
        <v>296</v>
      </c>
      <c r="E730" s="84" t="s">
        <v>330</v>
      </c>
      <c r="F730" s="86" t="s">
        <v>331</v>
      </c>
      <c r="G730" s="87" t="s">
        <v>1901</v>
      </c>
      <c r="H730" s="87" t="s">
        <v>1925</v>
      </c>
      <c r="I730" s="87"/>
      <c r="J730" s="87" t="s">
        <v>1890</v>
      </c>
      <c r="K730" s="88" t="str">
        <f t="shared" si="33"/>
        <v>Д</v>
      </c>
      <c r="L730" s="88" t="str">
        <f t="shared" si="34"/>
        <v>М</v>
      </c>
      <c r="M730" s="89" t="str">
        <f t="shared" si="35"/>
        <v>Современная международная журналистика</v>
      </c>
      <c r="N730" s="89" t="s">
        <v>301</v>
      </c>
    </row>
    <row r="731" spans="1:14" customFormat="1" ht="30" hidden="1" customHeight="1" x14ac:dyDescent="0.25">
      <c r="A731" s="62" t="s">
        <v>1926</v>
      </c>
      <c r="B731" s="84" t="s">
        <v>1924</v>
      </c>
      <c r="C731" s="85" t="s">
        <v>295</v>
      </c>
      <c r="D731" s="85" t="s">
        <v>296</v>
      </c>
      <c r="E731" s="84" t="s">
        <v>330</v>
      </c>
      <c r="F731" s="86" t="s">
        <v>331</v>
      </c>
      <c r="G731" s="87" t="s">
        <v>1901</v>
      </c>
      <c r="H731" s="87" t="s">
        <v>1927</v>
      </c>
      <c r="I731" s="87"/>
      <c r="J731" s="87" t="s">
        <v>1890</v>
      </c>
      <c r="K731" s="88" t="str">
        <f t="shared" si="33"/>
        <v>Д</v>
      </c>
      <c r="L731" s="88" t="str">
        <f t="shared" si="34"/>
        <v>М</v>
      </c>
      <c r="M731" s="89" t="str">
        <f t="shared" si="35"/>
        <v>Организация информационного производства</v>
      </c>
      <c r="N731" s="89" t="s">
        <v>301</v>
      </c>
    </row>
    <row r="732" spans="1:14" customFormat="1" ht="30" hidden="1" customHeight="1" x14ac:dyDescent="0.25">
      <c r="A732" s="62" t="s">
        <v>1928</v>
      </c>
      <c r="B732" s="84" t="s">
        <v>1924</v>
      </c>
      <c r="C732" s="85" t="s">
        <v>295</v>
      </c>
      <c r="D732" s="85" t="s">
        <v>304</v>
      </c>
      <c r="E732" s="84" t="s">
        <v>330</v>
      </c>
      <c r="F732" s="86" t="s">
        <v>331</v>
      </c>
      <c r="G732" s="87" t="s">
        <v>1901</v>
      </c>
      <c r="H732" s="87" t="s">
        <v>1929</v>
      </c>
      <c r="I732" s="87"/>
      <c r="J732" s="87" t="s">
        <v>1890</v>
      </c>
      <c r="K732" s="88" t="str">
        <f t="shared" si="33"/>
        <v>Д</v>
      </c>
      <c r="L732" s="88" t="str">
        <f t="shared" si="34"/>
        <v>М</v>
      </c>
      <c r="M732" s="89" t="str">
        <f t="shared" si="35"/>
        <v>Глобальные и цифровые медиа [язык реализации –Английский]</v>
      </c>
      <c r="N732" s="89" t="s">
        <v>301</v>
      </c>
    </row>
    <row r="733" spans="1:14" customFormat="1" ht="30" hidden="1" customHeight="1" x14ac:dyDescent="0.25">
      <c r="A733" s="62" t="s">
        <v>1930</v>
      </c>
      <c r="B733" s="84" t="s">
        <v>1924</v>
      </c>
      <c r="C733" s="85" t="s">
        <v>295</v>
      </c>
      <c r="D733" s="85" t="s">
        <v>296</v>
      </c>
      <c r="E733" s="84" t="s">
        <v>330</v>
      </c>
      <c r="F733" s="86" t="s">
        <v>331</v>
      </c>
      <c r="G733" s="87" t="s">
        <v>1901</v>
      </c>
      <c r="H733" s="87" t="s">
        <v>1931</v>
      </c>
      <c r="I733" s="87"/>
      <c r="J733" s="87" t="s">
        <v>1890</v>
      </c>
      <c r="K733" s="88" t="str">
        <f t="shared" si="33"/>
        <v>Д</v>
      </c>
      <c r="L733" s="88" t="str">
        <f t="shared" si="34"/>
        <v>ЦМ</v>
      </c>
      <c r="M733" s="89" t="str">
        <f t="shared" si="35"/>
        <v>Журналистика больших данных</v>
      </c>
      <c r="N733" s="89" t="s">
        <v>484</v>
      </c>
    </row>
    <row r="734" spans="1:14" customFormat="1" ht="30" hidden="1" customHeight="1" x14ac:dyDescent="0.25">
      <c r="A734" s="62" t="s">
        <v>1932</v>
      </c>
      <c r="B734" s="84" t="s">
        <v>1924</v>
      </c>
      <c r="C734" s="85" t="s">
        <v>295</v>
      </c>
      <c r="D734" s="85" t="s">
        <v>296</v>
      </c>
      <c r="E734" s="84" t="s">
        <v>330</v>
      </c>
      <c r="F734" s="86" t="s">
        <v>331</v>
      </c>
      <c r="G734" s="87" t="s">
        <v>1901</v>
      </c>
      <c r="H734" s="87" t="s">
        <v>1933</v>
      </c>
      <c r="I734" s="87" t="s">
        <v>518</v>
      </c>
      <c r="J734" s="87" t="s">
        <v>1890</v>
      </c>
      <c r="K734" s="88" t="str">
        <f t="shared" si="33"/>
        <v>Д</v>
      </c>
      <c r="L734" s="88" t="str">
        <f t="shared" si="34"/>
        <v>М</v>
      </c>
      <c r="M734" s="89" t="str">
        <f t="shared" si="35"/>
        <v>Цифровые медиакоммуникации (Вуз-партнёр – Кыргызский национальный университет им. Ж. Баласагына)</v>
      </c>
      <c r="N734" s="89" t="s">
        <v>301</v>
      </c>
    </row>
    <row r="735" spans="1:14" customFormat="1" ht="30" hidden="1" customHeight="1" x14ac:dyDescent="0.25">
      <c r="A735" s="62" t="s">
        <v>1934</v>
      </c>
      <c r="B735" s="84" t="s">
        <v>755</v>
      </c>
      <c r="C735" s="85" t="s">
        <v>295</v>
      </c>
      <c r="D735" s="85" t="s">
        <v>296</v>
      </c>
      <c r="E735" s="84" t="s">
        <v>330</v>
      </c>
      <c r="F735" s="86" t="s">
        <v>331</v>
      </c>
      <c r="G735" s="87" t="s">
        <v>756</v>
      </c>
      <c r="H735" s="87" t="s">
        <v>1935</v>
      </c>
      <c r="I735" s="87" t="s">
        <v>514</v>
      </c>
      <c r="J735" s="87" t="s">
        <v>1890</v>
      </c>
      <c r="K735" s="88" t="str">
        <f t="shared" si="33"/>
        <v>Д</v>
      </c>
      <c r="L735" s="88" t="str">
        <f t="shared" si="34"/>
        <v>М</v>
      </c>
      <c r="M735" s="89" t="str">
        <f t="shared" si="35"/>
        <v>Педагогика и психология (Вуз-партнёр – Евразийский национальный университет имени Л. Н. Гумилёва)</v>
      </c>
      <c r="N735" s="89" t="s">
        <v>301</v>
      </c>
    </row>
    <row r="736" spans="1:14" customFormat="1" ht="30" hidden="1" customHeight="1" x14ac:dyDescent="0.25">
      <c r="A736" s="62" t="s">
        <v>1936</v>
      </c>
      <c r="B736" s="84" t="s">
        <v>755</v>
      </c>
      <c r="C736" s="85" t="s">
        <v>295</v>
      </c>
      <c r="D736" s="85" t="s">
        <v>296</v>
      </c>
      <c r="E736" s="84" t="s">
        <v>330</v>
      </c>
      <c r="F736" s="86" t="s">
        <v>331</v>
      </c>
      <c r="G736" s="87" t="s">
        <v>756</v>
      </c>
      <c r="H736" s="87" t="s">
        <v>1937</v>
      </c>
      <c r="I736" s="87" t="s">
        <v>516</v>
      </c>
      <c r="J736" s="87" t="s">
        <v>1890</v>
      </c>
      <c r="K736" s="88" t="str">
        <f t="shared" si="33"/>
        <v>Д</v>
      </c>
      <c r="L736" s="88" t="str">
        <f t="shared" si="34"/>
        <v>М</v>
      </c>
      <c r="M736" s="89" t="str">
        <f t="shared" si="35"/>
        <v>Психология и педагогика (Вуз-партнёр – Казахский национальный университет им. Аль-Фараби)</v>
      </c>
      <c r="N736" s="89" t="s">
        <v>301</v>
      </c>
    </row>
    <row r="737" spans="1:14" customFormat="1" ht="30" hidden="1" customHeight="1" x14ac:dyDescent="0.25">
      <c r="A737" s="62" t="s">
        <v>1938</v>
      </c>
      <c r="B737" s="84" t="s">
        <v>755</v>
      </c>
      <c r="C737" s="85" t="s">
        <v>295</v>
      </c>
      <c r="D737" s="85" t="s">
        <v>296</v>
      </c>
      <c r="E737" s="84" t="s">
        <v>330</v>
      </c>
      <c r="F737" s="86" t="s">
        <v>331</v>
      </c>
      <c r="G737" s="87" t="s">
        <v>756</v>
      </c>
      <c r="H737" s="87" t="s">
        <v>1937</v>
      </c>
      <c r="I737" s="87" t="s">
        <v>1177</v>
      </c>
      <c r="J737" s="87" t="s">
        <v>1890</v>
      </c>
      <c r="K737" s="88" t="str">
        <f t="shared" si="33"/>
        <v>Д</v>
      </c>
      <c r="L737" s="88" t="str">
        <f t="shared" si="34"/>
        <v>М</v>
      </c>
      <c r="M737" s="89" t="str">
        <f t="shared" si="35"/>
        <v>Психология и педагогика (Вуз-партнёр – Северо-восточный педагогический университет)</v>
      </c>
      <c r="N737" s="89" t="s">
        <v>301</v>
      </c>
    </row>
    <row r="738" spans="1:14" customFormat="1" ht="30" hidden="1" customHeight="1" x14ac:dyDescent="0.25">
      <c r="A738" s="62" t="s">
        <v>1939</v>
      </c>
      <c r="B738" s="84" t="s">
        <v>1069</v>
      </c>
      <c r="C738" s="85" t="s">
        <v>295</v>
      </c>
      <c r="D738" s="85" t="s">
        <v>296</v>
      </c>
      <c r="E738" s="84" t="s">
        <v>330</v>
      </c>
      <c r="F738" s="86" t="s">
        <v>331</v>
      </c>
      <c r="G738" s="87" t="s">
        <v>1057</v>
      </c>
      <c r="H738" s="87" t="s">
        <v>1940</v>
      </c>
      <c r="I738" s="87"/>
      <c r="J738" s="87" t="s">
        <v>1890</v>
      </c>
      <c r="K738" s="88" t="str">
        <f t="shared" si="33"/>
        <v>Д</v>
      </c>
      <c r="L738" s="88" t="str">
        <f t="shared" si="34"/>
        <v>М</v>
      </c>
      <c r="M738" s="89" t="str">
        <f t="shared" si="35"/>
        <v>Литературоведение</v>
      </c>
      <c r="N738" s="89" t="s">
        <v>301</v>
      </c>
    </row>
    <row r="739" spans="1:14" customFormat="1" ht="30" hidden="1" customHeight="1" x14ac:dyDescent="0.25">
      <c r="A739" s="62" t="s">
        <v>1941</v>
      </c>
      <c r="B739" s="84" t="s">
        <v>1069</v>
      </c>
      <c r="C739" s="85" t="s">
        <v>295</v>
      </c>
      <c r="D739" s="85" t="s">
        <v>296</v>
      </c>
      <c r="E739" s="84" t="s">
        <v>330</v>
      </c>
      <c r="F739" s="86" t="s">
        <v>331</v>
      </c>
      <c r="G739" s="87" t="s">
        <v>1057</v>
      </c>
      <c r="H739" s="87" t="s">
        <v>1942</v>
      </c>
      <c r="I739" s="87"/>
      <c r="J739" s="87" t="s">
        <v>1890</v>
      </c>
      <c r="K739" s="88" t="str">
        <f t="shared" si="33"/>
        <v>Д</v>
      </c>
      <c r="L739" s="88" t="str">
        <f t="shared" si="34"/>
        <v>М</v>
      </c>
      <c r="M739" s="89" t="str">
        <f t="shared" si="35"/>
        <v>Русский язык как иностранный</v>
      </c>
      <c r="N739" s="89" t="s">
        <v>301</v>
      </c>
    </row>
    <row r="740" spans="1:14" customFormat="1" ht="30" hidden="1" customHeight="1" x14ac:dyDescent="0.25">
      <c r="A740" s="62" t="s">
        <v>1943</v>
      </c>
      <c r="B740" s="84" t="s">
        <v>1069</v>
      </c>
      <c r="C740" s="85" t="s">
        <v>295</v>
      </c>
      <c r="D740" s="85" t="s">
        <v>296</v>
      </c>
      <c r="E740" s="84" t="s">
        <v>330</v>
      </c>
      <c r="F740" s="86" t="s">
        <v>331</v>
      </c>
      <c r="G740" s="87" t="s">
        <v>1057</v>
      </c>
      <c r="H740" s="87" t="s">
        <v>1944</v>
      </c>
      <c r="I740" s="87" t="s">
        <v>1167</v>
      </c>
      <c r="J740" s="87" t="s">
        <v>1890</v>
      </c>
      <c r="K740" s="88" t="str">
        <f t="shared" si="33"/>
        <v>Д</v>
      </c>
      <c r="L740" s="88" t="str">
        <f t="shared" si="34"/>
        <v>М</v>
      </c>
      <c r="M740" s="89" t="str">
        <f t="shared" si="35"/>
        <v>Русский язык и литература (Вуз-партнёр – Евразийский национальный университет им. Л.Н. Гумилева)</v>
      </c>
      <c r="N740" s="89" t="s">
        <v>301</v>
      </c>
    </row>
    <row r="741" spans="1:14" customFormat="1" ht="30" hidden="1" customHeight="1" x14ac:dyDescent="0.25">
      <c r="A741" s="62" t="s">
        <v>1945</v>
      </c>
      <c r="B741" s="84" t="s">
        <v>1069</v>
      </c>
      <c r="C741" s="85" t="s">
        <v>295</v>
      </c>
      <c r="D741" s="85" t="s">
        <v>296</v>
      </c>
      <c r="E741" s="84" t="s">
        <v>330</v>
      </c>
      <c r="F741" s="86" t="s">
        <v>331</v>
      </c>
      <c r="G741" s="87" t="s">
        <v>1057</v>
      </c>
      <c r="H741" s="87" t="s">
        <v>1944</v>
      </c>
      <c r="I741" s="87" t="s">
        <v>524</v>
      </c>
      <c r="J741" s="87" t="s">
        <v>1890</v>
      </c>
      <c r="K741" s="88" t="str">
        <f t="shared" si="33"/>
        <v>Д</v>
      </c>
      <c r="L741" s="88" t="str">
        <f t="shared" si="34"/>
        <v>М</v>
      </c>
      <c r="M741" s="89" t="str">
        <f t="shared" si="35"/>
        <v>Русский язык и литература (Вуз-партнёр – Ереванский государственный университет)</v>
      </c>
      <c r="N741" s="89" t="s">
        <v>301</v>
      </c>
    </row>
    <row r="742" spans="1:14" customFormat="1" ht="30" hidden="1" customHeight="1" x14ac:dyDescent="0.25">
      <c r="A742" s="62" t="s">
        <v>1946</v>
      </c>
      <c r="B742" s="84" t="s">
        <v>1069</v>
      </c>
      <c r="C742" s="85" t="s">
        <v>295</v>
      </c>
      <c r="D742" s="85" t="s">
        <v>296</v>
      </c>
      <c r="E742" s="84" t="s">
        <v>330</v>
      </c>
      <c r="F742" s="86" t="s">
        <v>331</v>
      </c>
      <c r="G742" s="87" t="s">
        <v>1057</v>
      </c>
      <c r="H742" s="87" t="s">
        <v>1944</v>
      </c>
      <c r="I742" s="87" t="s">
        <v>518</v>
      </c>
      <c r="J742" s="87" t="s">
        <v>1890</v>
      </c>
      <c r="K742" s="88" t="str">
        <f t="shared" si="33"/>
        <v>Д</v>
      </c>
      <c r="L742" s="88" t="str">
        <f t="shared" si="34"/>
        <v>М</v>
      </c>
      <c r="M742" s="89" t="str">
        <f t="shared" si="35"/>
        <v>Русский язык и литература (Вуз-партнёр – Кыргызский национальный университет им. Ж. Баласагына)</v>
      </c>
      <c r="N742" s="89" t="s">
        <v>301</v>
      </c>
    </row>
    <row r="743" spans="1:14" customFormat="1" ht="30" hidden="1" customHeight="1" x14ac:dyDescent="0.25">
      <c r="A743" s="62" t="s">
        <v>1947</v>
      </c>
      <c r="B743" s="84" t="s">
        <v>1069</v>
      </c>
      <c r="C743" s="85" t="s">
        <v>295</v>
      </c>
      <c r="D743" s="85" t="s">
        <v>296</v>
      </c>
      <c r="E743" s="84" t="s">
        <v>330</v>
      </c>
      <c r="F743" s="86" t="s">
        <v>331</v>
      </c>
      <c r="G743" s="87" t="s">
        <v>1057</v>
      </c>
      <c r="H743" s="87" t="s">
        <v>1944</v>
      </c>
      <c r="I743" s="87" t="s">
        <v>1079</v>
      </c>
      <c r="J743" s="87" t="s">
        <v>1890</v>
      </c>
      <c r="K743" s="88" t="str">
        <f t="shared" si="33"/>
        <v>Д</v>
      </c>
      <c r="L743" s="88" t="str">
        <f t="shared" si="34"/>
        <v>М</v>
      </c>
      <c r="M743" s="89" t="str">
        <f t="shared" si="35"/>
        <v>Русский язык и литература (Вуз-партнёр – Российско-Таджикский (Славянский) университет)</v>
      </c>
      <c r="N743" s="89" t="s">
        <v>301</v>
      </c>
    </row>
    <row r="744" spans="1:14" customFormat="1" ht="30" hidden="1" customHeight="1" x14ac:dyDescent="0.25">
      <c r="A744" s="62" t="s">
        <v>1948</v>
      </c>
      <c r="B744" s="84" t="s">
        <v>1069</v>
      </c>
      <c r="C744" s="85" t="s">
        <v>295</v>
      </c>
      <c r="D744" s="85" t="s">
        <v>296</v>
      </c>
      <c r="E744" s="84" t="s">
        <v>330</v>
      </c>
      <c r="F744" s="86" t="s">
        <v>331</v>
      </c>
      <c r="G744" s="87" t="s">
        <v>1057</v>
      </c>
      <c r="H744" s="87" t="s">
        <v>1944</v>
      </c>
      <c r="I744" s="87" t="s">
        <v>1949</v>
      </c>
      <c r="J744" s="87" t="s">
        <v>1890</v>
      </c>
      <c r="K744" s="88" t="str">
        <f t="shared" si="33"/>
        <v>Д</v>
      </c>
      <c r="L744" s="88" t="str">
        <f t="shared" si="34"/>
        <v>М</v>
      </c>
      <c r="M744" s="89" t="str">
        <f t="shared" si="35"/>
        <v>Русский язык и литература (Вуз-партнёр – Славянский университет)</v>
      </c>
      <c r="N744" s="89" t="s">
        <v>301</v>
      </c>
    </row>
    <row r="745" spans="1:14" customFormat="1" ht="30" hidden="1" customHeight="1" x14ac:dyDescent="0.25">
      <c r="A745" s="62" t="s">
        <v>1950</v>
      </c>
      <c r="B745" s="84" t="s">
        <v>1069</v>
      </c>
      <c r="C745" s="85" t="s">
        <v>295</v>
      </c>
      <c r="D745" s="85" t="s">
        <v>296</v>
      </c>
      <c r="E745" s="84" t="s">
        <v>330</v>
      </c>
      <c r="F745" s="86" t="s">
        <v>331</v>
      </c>
      <c r="G745" s="87" t="s">
        <v>1057</v>
      </c>
      <c r="H745" s="87" t="s">
        <v>1944</v>
      </c>
      <c r="I745" s="87" t="s">
        <v>512</v>
      </c>
      <c r="J745" s="87" t="s">
        <v>1890</v>
      </c>
      <c r="K745" s="88" t="str">
        <f t="shared" si="33"/>
        <v>Д</v>
      </c>
      <c r="L745" s="88" t="str">
        <f t="shared" si="34"/>
        <v>М</v>
      </c>
      <c r="M745" s="89" t="str">
        <f t="shared" si="35"/>
        <v>Русский язык и литература (Вуз-партнёр – Южно-Казахстанский государственный университет им. М.Ауэзова)</v>
      </c>
      <c r="N745" s="89" t="s">
        <v>301</v>
      </c>
    </row>
    <row r="746" spans="1:14" customFormat="1" ht="30" hidden="1" customHeight="1" x14ac:dyDescent="0.25">
      <c r="A746" s="62" t="s">
        <v>1951</v>
      </c>
      <c r="B746" s="84" t="s">
        <v>1069</v>
      </c>
      <c r="C746" s="85" t="s">
        <v>295</v>
      </c>
      <c r="D746" s="85" t="s">
        <v>296</v>
      </c>
      <c r="E746" s="84" t="s">
        <v>330</v>
      </c>
      <c r="F746" s="86" t="s">
        <v>331</v>
      </c>
      <c r="G746" s="87" t="s">
        <v>1057</v>
      </c>
      <c r="H746" s="87" t="s">
        <v>1944</v>
      </c>
      <c r="I746" s="87" t="s">
        <v>1952</v>
      </c>
      <c r="J746" s="87" t="s">
        <v>1890</v>
      </c>
      <c r="K746" s="88" t="str">
        <f t="shared" si="33"/>
        <v>Д</v>
      </c>
      <c r="L746" s="88" t="str">
        <f t="shared" si="34"/>
        <v>М</v>
      </c>
      <c r="M746" s="89" t="str">
        <f t="shared" si="35"/>
        <v>Русский язык и литература (Вуз-партнёр – Таджикский национальный университет)</v>
      </c>
      <c r="N746" s="89" t="s">
        <v>301</v>
      </c>
    </row>
    <row r="747" spans="1:14" customFormat="1" ht="30" hidden="1" customHeight="1" x14ac:dyDescent="0.25">
      <c r="A747" s="62" t="s">
        <v>1953</v>
      </c>
      <c r="B747" s="84" t="s">
        <v>1069</v>
      </c>
      <c r="C747" s="85" t="s">
        <v>295</v>
      </c>
      <c r="D747" s="85" t="s">
        <v>296</v>
      </c>
      <c r="E747" s="84" t="s">
        <v>330</v>
      </c>
      <c r="F747" s="86" t="s">
        <v>331</v>
      </c>
      <c r="G747" s="87" t="s">
        <v>1057</v>
      </c>
      <c r="H747" s="87" t="s">
        <v>1944</v>
      </c>
      <c r="I747" s="87" t="s">
        <v>1954</v>
      </c>
      <c r="J747" s="87" t="s">
        <v>1890</v>
      </c>
      <c r="K747" s="88" t="str">
        <f t="shared" si="33"/>
        <v>Д</v>
      </c>
      <c r="L747" s="88" t="str">
        <f t="shared" si="34"/>
        <v>М</v>
      </c>
      <c r="M747" s="89" t="str">
        <f t="shared" si="35"/>
        <v>Русский язык и литература (Вуз-партнёр – Днепропетровский национальный университет им. О. Гончара)</v>
      </c>
      <c r="N747" s="89" t="s">
        <v>301</v>
      </c>
    </row>
    <row r="748" spans="1:14" customFormat="1" ht="30" hidden="1" customHeight="1" x14ac:dyDescent="0.25">
      <c r="A748" s="62" t="s">
        <v>1955</v>
      </c>
      <c r="B748" s="84" t="s">
        <v>1069</v>
      </c>
      <c r="C748" s="85" t="s">
        <v>295</v>
      </c>
      <c r="D748" s="85" t="s">
        <v>296</v>
      </c>
      <c r="E748" s="84" t="s">
        <v>330</v>
      </c>
      <c r="F748" s="86" t="s">
        <v>331</v>
      </c>
      <c r="G748" s="87" t="s">
        <v>1057</v>
      </c>
      <c r="H748" s="87" t="s">
        <v>1944</v>
      </c>
      <c r="I748" s="87" t="s">
        <v>1956</v>
      </c>
      <c r="J748" s="87" t="s">
        <v>1890</v>
      </c>
      <c r="K748" s="88" t="str">
        <f t="shared" si="33"/>
        <v>Д</v>
      </c>
      <c r="L748" s="88" t="str">
        <f t="shared" si="34"/>
        <v>М</v>
      </c>
      <c r="M748" s="89" t="str">
        <f t="shared" si="35"/>
        <v>Русский язык и литература (Вуз-партнёр – Донецкий национальный университет)</v>
      </c>
      <c r="N748" s="89" t="s">
        <v>301</v>
      </c>
    </row>
    <row r="749" spans="1:14" customFormat="1" ht="30" hidden="1" customHeight="1" x14ac:dyDescent="0.25">
      <c r="A749" s="62" t="s">
        <v>1957</v>
      </c>
      <c r="B749" s="84" t="s">
        <v>1069</v>
      </c>
      <c r="C749" s="85" t="s">
        <v>295</v>
      </c>
      <c r="D749" s="85" t="s">
        <v>296</v>
      </c>
      <c r="E749" s="84" t="s">
        <v>330</v>
      </c>
      <c r="F749" s="86" t="s">
        <v>331</v>
      </c>
      <c r="G749" s="87" t="s">
        <v>1057</v>
      </c>
      <c r="H749" s="87" t="s">
        <v>1944</v>
      </c>
      <c r="I749" s="87" t="s">
        <v>1076</v>
      </c>
      <c r="J749" s="87" t="s">
        <v>1890</v>
      </c>
      <c r="K749" s="88" t="str">
        <f t="shared" si="33"/>
        <v>Д</v>
      </c>
      <c r="L749" s="88" t="str">
        <f t="shared" si="34"/>
        <v>М</v>
      </c>
      <c r="M749" s="89" t="str">
        <f t="shared" si="35"/>
        <v>Русский язык и литература (Вуз-партнёр – Кыргызско-Российский (Славянский) Университет)</v>
      </c>
      <c r="N749" s="89" t="s">
        <v>301</v>
      </c>
    </row>
    <row r="750" spans="1:14" customFormat="1" ht="30" hidden="1" customHeight="1" x14ac:dyDescent="0.25">
      <c r="A750" s="62" t="s">
        <v>1958</v>
      </c>
      <c r="B750" s="84" t="s">
        <v>1069</v>
      </c>
      <c r="C750" s="85" t="s">
        <v>295</v>
      </c>
      <c r="D750" s="85" t="s">
        <v>296</v>
      </c>
      <c r="E750" s="84" t="s">
        <v>330</v>
      </c>
      <c r="F750" s="86" t="s">
        <v>331</v>
      </c>
      <c r="G750" s="87" t="s">
        <v>1057</v>
      </c>
      <c r="H750" s="87" t="s">
        <v>1944</v>
      </c>
      <c r="I750" s="87" t="s">
        <v>1697</v>
      </c>
      <c r="J750" s="87" t="s">
        <v>1890</v>
      </c>
      <c r="K750" s="88" t="str">
        <f t="shared" si="33"/>
        <v>Д</v>
      </c>
      <c r="L750" s="88" t="str">
        <f t="shared" si="34"/>
        <v>М</v>
      </c>
      <c r="M750" s="89" t="str">
        <f t="shared" si="35"/>
        <v>Русский язык и литература (Вуз-партнёр – СУ СНГ)</v>
      </c>
      <c r="N750" s="89" t="s">
        <v>301</v>
      </c>
    </row>
    <row r="751" spans="1:14" customFormat="1" ht="30" hidden="1" customHeight="1" x14ac:dyDescent="0.25">
      <c r="A751" s="62" t="s">
        <v>1959</v>
      </c>
      <c r="B751" s="84" t="s">
        <v>1069</v>
      </c>
      <c r="C751" s="85" t="s">
        <v>295</v>
      </c>
      <c r="D751" s="85" t="s">
        <v>304</v>
      </c>
      <c r="E751" s="84" t="s">
        <v>330</v>
      </c>
      <c r="F751" s="86" t="s">
        <v>331</v>
      </c>
      <c r="G751" s="87" t="s">
        <v>1057</v>
      </c>
      <c r="H751" s="87" t="s">
        <v>1960</v>
      </c>
      <c r="I751" s="87"/>
      <c r="J751" s="87" t="s">
        <v>1890</v>
      </c>
      <c r="K751" s="88" t="str">
        <f t="shared" si="33"/>
        <v>Д</v>
      </c>
      <c r="L751" s="88" t="str">
        <f t="shared" si="34"/>
        <v>М</v>
      </c>
      <c r="M751" s="89" t="str">
        <f t="shared" si="35"/>
        <v>Язык и культура: теория и практика [язык реализации –Английский]</v>
      </c>
      <c r="N751" s="89" t="s">
        <v>301</v>
      </c>
    </row>
    <row r="752" spans="1:14" customFormat="1" ht="30" hidden="1" customHeight="1" x14ac:dyDescent="0.25">
      <c r="A752" s="62" t="s">
        <v>1961</v>
      </c>
      <c r="B752" s="84" t="s">
        <v>1069</v>
      </c>
      <c r="C752" s="85" t="s">
        <v>295</v>
      </c>
      <c r="D752" s="85" t="s">
        <v>296</v>
      </c>
      <c r="E752" s="84" t="s">
        <v>330</v>
      </c>
      <c r="F752" s="86" t="s">
        <v>331</v>
      </c>
      <c r="G752" s="87" t="s">
        <v>1057</v>
      </c>
      <c r="H752" s="87" t="s">
        <v>1962</v>
      </c>
      <c r="I752" s="87"/>
      <c r="J752" s="87" t="s">
        <v>1890</v>
      </c>
      <c r="K752" s="88" t="str">
        <f t="shared" si="33"/>
        <v>Д</v>
      </c>
      <c r="L752" s="88" t="str">
        <f t="shared" si="34"/>
        <v>М</v>
      </c>
      <c r="M752" s="89" t="str">
        <f t="shared" si="35"/>
        <v>Русский язык и межкультурная коммуникация</v>
      </c>
      <c r="N752" s="89" t="s">
        <v>301</v>
      </c>
    </row>
    <row r="753" spans="1:14" customFormat="1" ht="30" hidden="1" customHeight="1" x14ac:dyDescent="0.25">
      <c r="A753" s="62" t="s">
        <v>1963</v>
      </c>
      <c r="B753" s="84" t="s">
        <v>1069</v>
      </c>
      <c r="C753" s="85" t="s">
        <v>295</v>
      </c>
      <c r="D753" s="85" t="s">
        <v>296</v>
      </c>
      <c r="E753" s="84" t="s">
        <v>330</v>
      </c>
      <c r="F753" s="86" t="s">
        <v>331</v>
      </c>
      <c r="G753" s="87" t="s">
        <v>1057</v>
      </c>
      <c r="H753" s="87" t="s">
        <v>1964</v>
      </c>
      <c r="I753" s="87" t="s">
        <v>1965</v>
      </c>
      <c r="J753" s="87" t="s">
        <v>1890</v>
      </c>
      <c r="K753" s="88" t="str">
        <f t="shared" si="33"/>
        <v>Д</v>
      </c>
      <c r="L753" s="88" t="str">
        <f t="shared" si="34"/>
        <v>М</v>
      </c>
      <c r="M753" s="89" t="str">
        <f t="shared" si="35"/>
        <v>Русский язык как иностранный: восток-запад (Вуз-партнёр – ФГАОУ ВО "Казанский (Приволжский) федеральный университет")</v>
      </c>
      <c r="N753" s="89" t="s">
        <v>301</v>
      </c>
    </row>
    <row r="754" spans="1:14" customFormat="1" ht="30" hidden="1" customHeight="1" x14ac:dyDescent="0.25">
      <c r="A754" s="62" t="s">
        <v>1966</v>
      </c>
      <c r="B754" s="84" t="s">
        <v>980</v>
      </c>
      <c r="C754" s="85" t="s">
        <v>295</v>
      </c>
      <c r="D754" s="85" t="s">
        <v>296</v>
      </c>
      <c r="E754" s="84" t="s">
        <v>330</v>
      </c>
      <c r="F754" s="86" t="s">
        <v>331</v>
      </c>
      <c r="G754" s="87" t="s">
        <v>970</v>
      </c>
      <c r="H754" s="87" t="s">
        <v>1967</v>
      </c>
      <c r="I754" s="87"/>
      <c r="J754" s="87" t="s">
        <v>1890</v>
      </c>
      <c r="K754" s="88" t="str">
        <f t="shared" si="33"/>
        <v>Д</v>
      </c>
      <c r="L754" s="88" t="str">
        <f t="shared" si="34"/>
        <v>М</v>
      </c>
      <c r="M754" s="89" t="str">
        <f t="shared" si="35"/>
        <v>Методика обучения языкам. Переводоведение. Синхронный перевод</v>
      </c>
      <c r="N754" s="89" t="s">
        <v>301</v>
      </c>
    </row>
    <row r="755" spans="1:14" customFormat="1" ht="30" hidden="1" customHeight="1" x14ac:dyDescent="0.25">
      <c r="A755" s="62" t="s">
        <v>1968</v>
      </c>
      <c r="B755" s="84" t="s">
        <v>980</v>
      </c>
      <c r="C755" s="85" t="s">
        <v>295</v>
      </c>
      <c r="D755" s="85" t="s">
        <v>296</v>
      </c>
      <c r="E755" s="84" t="s">
        <v>330</v>
      </c>
      <c r="F755" s="86" t="s">
        <v>331</v>
      </c>
      <c r="G755" s="87" t="s">
        <v>970</v>
      </c>
      <c r="H755" s="87" t="s">
        <v>1969</v>
      </c>
      <c r="I755" s="87"/>
      <c r="J755" s="87" t="s">
        <v>1890</v>
      </c>
      <c r="K755" s="88" t="str">
        <f t="shared" si="33"/>
        <v>Д</v>
      </c>
      <c r="L755" s="88" t="str">
        <f t="shared" si="34"/>
        <v>М</v>
      </c>
      <c r="M755" s="89" t="str">
        <f t="shared" si="35"/>
        <v>Русский язык</v>
      </c>
      <c r="N755" s="89" t="s">
        <v>301</v>
      </c>
    </row>
    <row r="756" spans="1:14" customFormat="1" ht="30" hidden="1" customHeight="1" x14ac:dyDescent="0.25">
      <c r="A756" s="62" t="s">
        <v>1970</v>
      </c>
      <c r="B756" s="84" t="s">
        <v>980</v>
      </c>
      <c r="C756" s="85" t="s">
        <v>295</v>
      </c>
      <c r="D756" s="85" t="s">
        <v>296</v>
      </c>
      <c r="E756" s="84" t="s">
        <v>330</v>
      </c>
      <c r="F756" s="86" t="s">
        <v>331</v>
      </c>
      <c r="G756" s="87" t="s">
        <v>970</v>
      </c>
      <c r="H756" s="87" t="s">
        <v>1971</v>
      </c>
      <c r="I756" s="87"/>
      <c r="J756" s="87" t="s">
        <v>1890</v>
      </c>
      <c r="K756" s="88" t="str">
        <f t="shared" si="33"/>
        <v>Д</v>
      </c>
      <c r="L756" s="88" t="str">
        <f t="shared" si="34"/>
        <v>ЦМ</v>
      </c>
      <c r="M756" s="89" t="str">
        <f t="shared" si="35"/>
        <v>Когнитивная и цифровая лингвистика</v>
      </c>
      <c r="N756" s="89" t="s">
        <v>484</v>
      </c>
    </row>
    <row r="757" spans="1:14" customFormat="1" ht="30" hidden="1" customHeight="1" x14ac:dyDescent="0.25">
      <c r="A757" s="62" t="s">
        <v>1972</v>
      </c>
      <c r="B757" s="84" t="s">
        <v>987</v>
      </c>
      <c r="C757" s="85" t="s">
        <v>295</v>
      </c>
      <c r="D757" s="85" t="s">
        <v>296</v>
      </c>
      <c r="E757" s="84" t="s">
        <v>393</v>
      </c>
      <c r="F757" s="86" t="s">
        <v>368</v>
      </c>
      <c r="G757" s="87" t="s">
        <v>988</v>
      </c>
      <c r="H757" s="87" t="s">
        <v>988</v>
      </c>
      <c r="I757" s="87"/>
      <c r="J757" s="87" t="s">
        <v>1890</v>
      </c>
      <c r="K757" s="88" t="str">
        <f t="shared" si="33"/>
        <v>Д</v>
      </c>
      <c r="L757" s="88" t="str">
        <f t="shared" si="34"/>
        <v>А</v>
      </c>
      <c r="M757" s="89" t="str">
        <f t="shared" si="35"/>
        <v>Общая психология, психология личности, история психологии</v>
      </c>
      <c r="N757" s="89" t="s">
        <v>301</v>
      </c>
    </row>
    <row r="758" spans="1:14" customFormat="1" ht="30" hidden="1" customHeight="1" x14ac:dyDescent="0.25">
      <c r="A758" s="62" t="s">
        <v>1973</v>
      </c>
      <c r="B758" s="84" t="s">
        <v>991</v>
      </c>
      <c r="C758" s="85" t="s">
        <v>295</v>
      </c>
      <c r="D758" s="85" t="s">
        <v>296</v>
      </c>
      <c r="E758" s="84" t="s">
        <v>393</v>
      </c>
      <c r="F758" s="86" t="s">
        <v>368</v>
      </c>
      <c r="G758" s="87" t="s">
        <v>992</v>
      </c>
      <c r="H758" s="87" t="s">
        <v>992</v>
      </c>
      <c r="I758" s="87"/>
      <c r="J758" s="87" t="s">
        <v>1890</v>
      </c>
      <c r="K758" s="88" t="str">
        <f t="shared" si="33"/>
        <v>Д</v>
      </c>
      <c r="L758" s="88" t="str">
        <f t="shared" si="34"/>
        <v>А</v>
      </c>
      <c r="M758" s="89" t="str">
        <f t="shared" si="35"/>
        <v>Общая педагогика, история педагогики и образования</v>
      </c>
      <c r="N758" s="89" t="s">
        <v>301</v>
      </c>
    </row>
    <row r="759" spans="1:14" customFormat="1" ht="30" hidden="1" customHeight="1" x14ac:dyDescent="0.25">
      <c r="A759" s="62" t="s">
        <v>1974</v>
      </c>
      <c r="B759" s="84" t="s">
        <v>995</v>
      </c>
      <c r="C759" s="85" t="s">
        <v>295</v>
      </c>
      <c r="D759" s="85" t="s">
        <v>296</v>
      </c>
      <c r="E759" s="84" t="s">
        <v>393</v>
      </c>
      <c r="F759" s="86" t="s">
        <v>368</v>
      </c>
      <c r="G759" s="87" t="s">
        <v>996</v>
      </c>
      <c r="H759" s="87" t="s">
        <v>1975</v>
      </c>
      <c r="I759" s="87"/>
      <c r="J759" s="87" t="s">
        <v>1890</v>
      </c>
      <c r="K759" s="88" t="str">
        <f t="shared" si="33"/>
        <v>Д</v>
      </c>
      <c r="L759" s="88" t="str">
        <f t="shared" si="34"/>
        <v>А</v>
      </c>
      <c r="M759" s="89" t="str">
        <f t="shared" si="35"/>
        <v>Теория и методика обучения и воспитания (русский язык как иностранный)</v>
      </c>
      <c r="N759" s="89" t="s">
        <v>301</v>
      </c>
    </row>
    <row r="760" spans="1:14" customFormat="1" ht="30" hidden="1" customHeight="1" x14ac:dyDescent="0.25">
      <c r="A760" s="62" t="s">
        <v>1976</v>
      </c>
      <c r="B760" s="84" t="s">
        <v>995</v>
      </c>
      <c r="C760" s="85" t="s">
        <v>295</v>
      </c>
      <c r="D760" s="85" t="s">
        <v>296</v>
      </c>
      <c r="E760" s="84" t="s">
        <v>393</v>
      </c>
      <c r="F760" s="86" t="s">
        <v>368</v>
      </c>
      <c r="G760" s="87" t="s">
        <v>996</v>
      </c>
      <c r="H760" s="87" t="s">
        <v>1977</v>
      </c>
      <c r="I760" s="87"/>
      <c r="J760" s="87" t="s">
        <v>1890</v>
      </c>
      <c r="K760" s="88" t="str">
        <f t="shared" si="33"/>
        <v>Д</v>
      </c>
      <c r="L760" s="88" t="str">
        <f t="shared" si="34"/>
        <v>А</v>
      </c>
      <c r="M760" s="89" t="str">
        <f t="shared" si="35"/>
        <v>Теория и методика обучения и воспитания (иностранные языки)</v>
      </c>
      <c r="N760" s="89" t="s">
        <v>301</v>
      </c>
    </row>
    <row r="761" spans="1:14" customFormat="1" ht="30" hidden="1" customHeight="1" x14ac:dyDescent="0.25">
      <c r="A761" s="62" t="s">
        <v>1978</v>
      </c>
      <c r="B761" s="84" t="s">
        <v>1979</v>
      </c>
      <c r="C761" s="85" t="s">
        <v>295</v>
      </c>
      <c r="D761" s="85" t="s">
        <v>296</v>
      </c>
      <c r="E761" s="84" t="s">
        <v>393</v>
      </c>
      <c r="F761" s="86" t="s">
        <v>368</v>
      </c>
      <c r="G761" s="87" t="s">
        <v>1980</v>
      </c>
      <c r="H761" s="87" t="s">
        <v>1980</v>
      </c>
      <c r="I761" s="87"/>
      <c r="J761" s="87" t="s">
        <v>1890</v>
      </c>
      <c r="K761" s="88" t="str">
        <f t="shared" si="33"/>
        <v>Д</v>
      </c>
      <c r="L761" s="88" t="str">
        <f t="shared" si="34"/>
        <v>А</v>
      </c>
      <c r="M761" s="89" t="str">
        <f t="shared" si="35"/>
        <v>Русская литература и литературы народов Российской Федерации</v>
      </c>
      <c r="N761" s="89" t="s">
        <v>301</v>
      </c>
    </row>
    <row r="762" spans="1:14" customFormat="1" ht="30" hidden="1" customHeight="1" x14ac:dyDescent="0.25">
      <c r="A762" s="62" t="s">
        <v>1981</v>
      </c>
      <c r="B762" s="84" t="s">
        <v>1979</v>
      </c>
      <c r="C762" s="85" t="s">
        <v>295</v>
      </c>
      <c r="D762" s="85" t="s">
        <v>296</v>
      </c>
      <c r="E762" s="84" t="s">
        <v>393</v>
      </c>
      <c r="F762" s="86" t="s">
        <v>368</v>
      </c>
      <c r="G762" s="87" t="s">
        <v>1980</v>
      </c>
      <c r="H762" s="87" t="s">
        <v>1982</v>
      </c>
      <c r="I762" s="87" t="s">
        <v>516</v>
      </c>
      <c r="J762" s="87" t="s">
        <v>1890</v>
      </c>
      <c r="K762" s="88" t="str">
        <f t="shared" si="33"/>
        <v>Д</v>
      </c>
      <c r="L762" s="88" t="str">
        <f t="shared" si="34"/>
        <v>А</v>
      </c>
      <c r="M762" s="89" t="str">
        <f t="shared" si="35"/>
        <v>Русская литература (Вуз-партнёр – Казахский национальный университет им. Аль-Фараби)</v>
      </c>
      <c r="N762" s="89" t="s">
        <v>301</v>
      </c>
    </row>
    <row r="763" spans="1:14" customFormat="1" ht="30" hidden="1" customHeight="1" x14ac:dyDescent="0.25">
      <c r="A763" s="62" t="s">
        <v>1983</v>
      </c>
      <c r="B763" s="84" t="s">
        <v>1984</v>
      </c>
      <c r="C763" s="85" t="s">
        <v>295</v>
      </c>
      <c r="D763" s="85" t="s">
        <v>296</v>
      </c>
      <c r="E763" s="84" t="s">
        <v>393</v>
      </c>
      <c r="F763" s="86" t="s">
        <v>368</v>
      </c>
      <c r="G763" s="87" t="s">
        <v>1985</v>
      </c>
      <c r="H763" s="87" t="s">
        <v>1986</v>
      </c>
      <c r="I763" s="87"/>
      <c r="J763" s="87" t="s">
        <v>1890</v>
      </c>
      <c r="K763" s="88" t="str">
        <f t="shared" si="33"/>
        <v>Д</v>
      </c>
      <c r="L763" s="88" t="str">
        <f t="shared" si="34"/>
        <v>А</v>
      </c>
      <c r="M763" s="89" t="str">
        <f t="shared" si="35"/>
        <v>Литература народов мира</v>
      </c>
      <c r="N763" s="89" t="s">
        <v>301</v>
      </c>
    </row>
    <row r="764" spans="1:14" customFormat="1" ht="30" hidden="1" customHeight="1" x14ac:dyDescent="0.25">
      <c r="A764" s="62" t="s">
        <v>1987</v>
      </c>
      <c r="B764" s="84" t="s">
        <v>1984</v>
      </c>
      <c r="C764" s="85" t="s">
        <v>295</v>
      </c>
      <c r="D764" s="85" t="s">
        <v>304</v>
      </c>
      <c r="E764" s="84" t="s">
        <v>393</v>
      </c>
      <c r="F764" s="86" t="s">
        <v>368</v>
      </c>
      <c r="G764" s="87" t="s">
        <v>1985</v>
      </c>
      <c r="H764" s="87" t="s">
        <v>1988</v>
      </c>
      <c r="I764" s="87"/>
      <c r="J764" s="87" t="s">
        <v>1890</v>
      </c>
      <c r="K764" s="88" t="str">
        <f t="shared" si="33"/>
        <v>Д</v>
      </c>
      <c r="L764" s="88" t="str">
        <f t="shared" si="34"/>
        <v>А</v>
      </c>
      <c r="M764" s="89" t="str">
        <f t="shared" si="35"/>
        <v>Английская и русская литература в сопоставительном аспекте [язык реализации –Английский]</v>
      </c>
      <c r="N764" s="89" t="s">
        <v>301</v>
      </c>
    </row>
    <row r="765" spans="1:14" customFormat="1" ht="30" hidden="1" customHeight="1" x14ac:dyDescent="0.25">
      <c r="A765" s="62" t="s">
        <v>1989</v>
      </c>
      <c r="B765" s="84" t="s">
        <v>1099</v>
      </c>
      <c r="C765" s="85" t="s">
        <v>295</v>
      </c>
      <c r="D765" s="85" t="s">
        <v>296</v>
      </c>
      <c r="E765" s="84" t="s">
        <v>393</v>
      </c>
      <c r="F765" s="86" t="s">
        <v>368</v>
      </c>
      <c r="G765" s="87" t="s">
        <v>1100</v>
      </c>
      <c r="H765" s="87" t="s">
        <v>1969</v>
      </c>
      <c r="I765" s="87"/>
      <c r="J765" s="87" t="s">
        <v>1890</v>
      </c>
      <c r="K765" s="88" t="str">
        <f t="shared" si="33"/>
        <v>Д</v>
      </c>
      <c r="L765" s="88" t="str">
        <f t="shared" si="34"/>
        <v>А</v>
      </c>
      <c r="M765" s="89" t="str">
        <f t="shared" si="35"/>
        <v>Русский язык</v>
      </c>
      <c r="N765" s="89" t="s">
        <v>301</v>
      </c>
    </row>
    <row r="766" spans="1:14" customFormat="1" ht="30" hidden="1" customHeight="1" x14ac:dyDescent="0.25">
      <c r="A766" s="62" t="s">
        <v>1990</v>
      </c>
      <c r="B766" s="84" t="s">
        <v>1000</v>
      </c>
      <c r="C766" s="85" t="s">
        <v>295</v>
      </c>
      <c r="D766" s="85" t="s">
        <v>296</v>
      </c>
      <c r="E766" s="84" t="s">
        <v>393</v>
      </c>
      <c r="F766" s="86" t="s">
        <v>368</v>
      </c>
      <c r="G766" s="87" t="s">
        <v>1001</v>
      </c>
      <c r="H766" s="87" t="s">
        <v>1991</v>
      </c>
      <c r="I766" s="87"/>
      <c r="J766" s="87" t="s">
        <v>1890</v>
      </c>
      <c r="K766" s="88" t="str">
        <f t="shared" si="33"/>
        <v>Д</v>
      </c>
      <c r="L766" s="88" t="str">
        <f t="shared" si="34"/>
        <v>А</v>
      </c>
      <c r="M766" s="89" t="str">
        <f t="shared" si="35"/>
        <v>Языки народов зарубежных стран (романские языки)</v>
      </c>
      <c r="N766" s="89" t="s">
        <v>301</v>
      </c>
    </row>
    <row r="767" spans="1:14" customFormat="1" ht="30" hidden="1" customHeight="1" x14ac:dyDescent="0.25">
      <c r="A767" s="62" t="s">
        <v>1992</v>
      </c>
      <c r="B767" s="84" t="s">
        <v>1006</v>
      </c>
      <c r="C767" s="85" t="s">
        <v>295</v>
      </c>
      <c r="D767" s="85" t="s">
        <v>304</v>
      </c>
      <c r="E767" s="84" t="s">
        <v>393</v>
      </c>
      <c r="F767" s="86" t="s">
        <v>368</v>
      </c>
      <c r="G767" s="87" t="s">
        <v>1007</v>
      </c>
      <c r="H767" s="87" t="s">
        <v>1007</v>
      </c>
      <c r="I767" s="87"/>
      <c r="J767" s="87" t="s">
        <v>1890</v>
      </c>
      <c r="K767" s="88" t="str">
        <f t="shared" si="33"/>
        <v>Д</v>
      </c>
      <c r="L767" s="88" t="str">
        <f t="shared" si="34"/>
        <v>А</v>
      </c>
      <c r="M767" s="89" t="str">
        <f t="shared" si="35"/>
        <v>Теоретическая, прикладная и сравнительно-сопоставительная лингвистика [язык реализации –Английский]</v>
      </c>
      <c r="N767" s="89" t="s">
        <v>301</v>
      </c>
    </row>
    <row r="768" spans="1:14" customFormat="1" ht="30" hidden="1" customHeight="1" x14ac:dyDescent="0.25">
      <c r="A768" s="62" t="s">
        <v>1993</v>
      </c>
      <c r="B768" s="84" t="s">
        <v>1006</v>
      </c>
      <c r="C768" s="85" t="s">
        <v>295</v>
      </c>
      <c r="D768" s="85" t="s">
        <v>296</v>
      </c>
      <c r="E768" s="84" t="s">
        <v>393</v>
      </c>
      <c r="F768" s="86" t="s">
        <v>368</v>
      </c>
      <c r="G768" s="87" t="s">
        <v>1007</v>
      </c>
      <c r="H768" s="87" t="s">
        <v>1007</v>
      </c>
      <c r="I768" s="87"/>
      <c r="J768" s="87" t="s">
        <v>1890</v>
      </c>
      <c r="K768" s="88" t="str">
        <f t="shared" si="33"/>
        <v>Д</v>
      </c>
      <c r="L768" s="88" t="str">
        <f t="shared" si="34"/>
        <v>А</v>
      </c>
      <c r="M768" s="89" t="str">
        <f t="shared" si="35"/>
        <v>Теоретическая, прикладная и сравнительно-сопоставительная лингвистика</v>
      </c>
      <c r="N768" s="89" t="s">
        <v>301</v>
      </c>
    </row>
    <row r="769" spans="1:14" customFormat="1" ht="30" hidden="1" customHeight="1" x14ac:dyDescent="0.25">
      <c r="A769" s="62" t="s">
        <v>1994</v>
      </c>
      <c r="B769" s="84" t="s">
        <v>1995</v>
      </c>
      <c r="C769" s="85" t="s">
        <v>295</v>
      </c>
      <c r="D769" s="85" t="s">
        <v>296</v>
      </c>
      <c r="E769" s="84" t="s">
        <v>393</v>
      </c>
      <c r="F769" s="86" t="s">
        <v>368</v>
      </c>
      <c r="G769" s="87" t="s">
        <v>1996</v>
      </c>
      <c r="H769" s="87" t="s">
        <v>1996</v>
      </c>
      <c r="I769" s="87"/>
      <c r="J769" s="87" t="s">
        <v>1890</v>
      </c>
      <c r="K769" s="88" t="str">
        <f t="shared" si="33"/>
        <v>Д</v>
      </c>
      <c r="L769" s="88" t="str">
        <f t="shared" si="34"/>
        <v>А</v>
      </c>
      <c r="M769" s="89" t="str">
        <f t="shared" si="35"/>
        <v>Медиакоммуникации и журналистика</v>
      </c>
      <c r="N769" s="89" t="s">
        <v>301</v>
      </c>
    </row>
    <row r="770" spans="1:14" customFormat="1" ht="30" hidden="1" customHeight="1" x14ac:dyDescent="0.25">
      <c r="A770" s="62" t="s">
        <v>1997</v>
      </c>
      <c r="B770" s="84" t="s">
        <v>1995</v>
      </c>
      <c r="C770" s="85" t="s">
        <v>295</v>
      </c>
      <c r="D770" s="85" t="s">
        <v>304</v>
      </c>
      <c r="E770" s="84" t="s">
        <v>393</v>
      </c>
      <c r="F770" s="86" t="s">
        <v>368</v>
      </c>
      <c r="G770" s="87" t="s">
        <v>1996</v>
      </c>
      <c r="H770" s="87" t="s">
        <v>1998</v>
      </c>
      <c r="I770" s="87"/>
      <c r="J770" s="87" t="s">
        <v>1890</v>
      </c>
      <c r="K770" s="88" t="str">
        <f t="shared" si="33"/>
        <v>Д</v>
      </c>
      <c r="L770" s="88" t="str">
        <f t="shared" si="34"/>
        <v>А</v>
      </c>
      <c r="M770" s="89" t="str">
        <f t="shared" si="35"/>
        <v>Международная журналистика [язык реализации –Английский]</v>
      </c>
      <c r="N770" s="89" t="s">
        <v>301</v>
      </c>
    </row>
    <row r="771" spans="1:14" customFormat="1" ht="30" hidden="1" customHeight="1" x14ac:dyDescent="0.25">
      <c r="A771" s="62" t="s">
        <v>1999</v>
      </c>
      <c r="B771" s="84" t="s">
        <v>1896</v>
      </c>
      <c r="C771" s="85" t="s">
        <v>403</v>
      </c>
      <c r="D771" s="85" t="s">
        <v>296</v>
      </c>
      <c r="E771" s="84" t="s">
        <v>406</v>
      </c>
      <c r="F771" s="86" t="s">
        <v>312</v>
      </c>
      <c r="G771" s="87" t="s">
        <v>1897</v>
      </c>
      <c r="H771" s="87" t="s">
        <v>1897</v>
      </c>
      <c r="I771" s="87"/>
      <c r="J771" s="87" t="s">
        <v>1890</v>
      </c>
      <c r="K771" s="88" t="str">
        <f t="shared" ref="K771:K834" si="36">IF(C771="очная","Д",IF(C771="Очно-заочная","В",IF(C771="Заочная","З","-")))</f>
        <v>В</v>
      </c>
      <c r="L771" s="88" t="str">
        <f t="shared" ref="L771:L834" si="37">IF(N771="да","ЦМ",LEFT(F771,1))</f>
        <v>Б</v>
      </c>
      <c r="M771" s="89" t="str">
        <f t="shared" ref="M771:M834" si="38">CONCATENATE(H771,IF(I771&gt;0,CONCATENATE(" (Вуз-партнёр – ",I771,")"),IF(D771=$D$3,"",CONCATENATE(" [язык реализации –",D771,"]"))))</f>
        <v>Психология</v>
      </c>
      <c r="N771" s="89" t="s">
        <v>301</v>
      </c>
    </row>
    <row r="772" spans="1:14" customFormat="1" ht="30" hidden="1" customHeight="1" x14ac:dyDescent="0.25">
      <c r="A772" s="62" t="s">
        <v>2000</v>
      </c>
      <c r="B772" s="84" t="s">
        <v>1029</v>
      </c>
      <c r="C772" s="85" t="s">
        <v>403</v>
      </c>
      <c r="D772" s="85" t="s">
        <v>296</v>
      </c>
      <c r="E772" s="84" t="s">
        <v>406</v>
      </c>
      <c r="F772" s="86" t="s">
        <v>312</v>
      </c>
      <c r="G772" s="87" t="s">
        <v>1030</v>
      </c>
      <c r="H772" s="87" t="s">
        <v>1030</v>
      </c>
      <c r="I772" s="87"/>
      <c r="J772" s="87" t="s">
        <v>1890</v>
      </c>
      <c r="K772" s="88" t="str">
        <f t="shared" si="36"/>
        <v>В</v>
      </c>
      <c r="L772" s="88" t="str">
        <f t="shared" si="37"/>
        <v>Б</v>
      </c>
      <c r="M772" s="89" t="str">
        <f t="shared" si="38"/>
        <v>Реклама и связи с общественностью</v>
      </c>
      <c r="N772" s="89" t="s">
        <v>301</v>
      </c>
    </row>
    <row r="773" spans="1:14" customFormat="1" ht="30" hidden="1" customHeight="1" x14ac:dyDescent="0.25">
      <c r="A773" s="62" t="s">
        <v>2001</v>
      </c>
      <c r="B773" s="84" t="s">
        <v>1900</v>
      </c>
      <c r="C773" s="85" t="s">
        <v>403</v>
      </c>
      <c r="D773" s="85" t="s">
        <v>296</v>
      </c>
      <c r="E773" s="84" t="s">
        <v>406</v>
      </c>
      <c r="F773" s="86" t="s">
        <v>312</v>
      </c>
      <c r="G773" s="87" t="s">
        <v>1901</v>
      </c>
      <c r="H773" s="87" t="s">
        <v>1901</v>
      </c>
      <c r="I773" s="87"/>
      <c r="J773" s="87" t="s">
        <v>1890</v>
      </c>
      <c r="K773" s="88" t="str">
        <f t="shared" si="36"/>
        <v>В</v>
      </c>
      <c r="L773" s="88" t="str">
        <f t="shared" si="37"/>
        <v>Б</v>
      </c>
      <c r="M773" s="89" t="str">
        <f t="shared" si="38"/>
        <v>Журналистика</v>
      </c>
      <c r="N773" s="89" t="s">
        <v>301</v>
      </c>
    </row>
    <row r="774" spans="1:14" customFormat="1" ht="30" hidden="1" customHeight="1" x14ac:dyDescent="0.25">
      <c r="A774" s="62" t="s">
        <v>2002</v>
      </c>
      <c r="B774" s="84" t="s">
        <v>1905</v>
      </c>
      <c r="C774" s="85" t="s">
        <v>403</v>
      </c>
      <c r="D774" s="85" t="s">
        <v>296</v>
      </c>
      <c r="E774" s="84" t="s">
        <v>406</v>
      </c>
      <c r="F774" s="86" t="s">
        <v>312</v>
      </c>
      <c r="G774" s="87" t="s">
        <v>1906</v>
      </c>
      <c r="H774" s="87" t="s">
        <v>1906</v>
      </c>
      <c r="I774" s="87"/>
      <c r="J774" s="87" t="s">
        <v>1890</v>
      </c>
      <c r="K774" s="88" t="str">
        <f t="shared" si="36"/>
        <v>В</v>
      </c>
      <c r="L774" s="88" t="str">
        <f t="shared" si="37"/>
        <v>Б</v>
      </c>
      <c r="M774" s="89" t="str">
        <f t="shared" si="38"/>
        <v>Телевидение</v>
      </c>
      <c r="N774" s="89" t="s">
        <v>301</v>
      </c>
    </row>
    <row r="775" spans="1:14" customFormat="1" ht="30" hidden="1" customHeight="1" x14ac:dyDescent="0.25">
      <c r="A775" s="62" t="s">
        <v>2003</v>
      </c>
      <c r="B775" s="84" t="s">
        <v>1056</v>
      </c>
      <c r="C775" s="85" t="s">
        <v>403</v>
      </c>
      <c r="D775" s="85" t="s">
        <v>296</v>
      </c>
      <c r="E775" s="84" t="s">
        <v>406</v>
      </c>
      <c r="F775" s="86" t="s">
        <v>312</v>
      </c>
      <c r="G775" s="87" t="s">
        <v>1057</v>
      </c>
      <c r="H775" s="87" t="s">
        <v>1057</v>
      </c>
      <c r="I775" s="87"/>
      <c r="J775" s="87" t="s">
        <v>1890</v>
      </c>
      <c r="K775" s="88" t="str">
        <f t="shared" si="36"/>
        <v>В</v>
      </c>
      <c r="L775" s="88" t="str">
        <f t="shared" si="37"/>
        <v>Б</v>
      </c>
      <c r="M775" s="89" t="str">
        <f t="shared" si="38"/>
        <v>Филология</v>
      </c>
      <c r="N775" s="89" t="s">
        <v>301</v>
      </c>
    </row>
    <row r="776" spans="1:14" customFormat="1" ht="30" hidden="1" customHeight="1" x14ac:dyDescent="0.25">
      <c r="A776" s="62" t="s">
        <v>2004</v>
      </c>
      <c r="B776" s="84" t="s">
        <v>969</v>
      </c>
      <c r="C776" s="85" t="s">
        <v>403</v>
      </c>
      <c r="D776" s="85" t="s">
        <v>296</v>
      </c>
      <c r="E776" s="84" t="s">
        <v>406</v>
      </c>
      <c r="F776" s="86" t="s">
        <v>312</v>
      </c>
      <c r="G776" s="87" t="s">
        <v>970</v>
      </c>
      <c r="H776" s="87" t="s">
        <v>970</v>
      </c>
      <c r="I776" s="87"/>
      <c r="J776" s="87" t="s">
        <v>1890</v>
      </c>
      <c r="K776" s="88" t="str">
        <f t="shared" si="36"/>
        <v>В</v>
      </c>
      <c r="L776" s="88" t="str">
        <f t="shared" si="37"/>
        <v>Б</v>
      </c>
      <c r="M776" s="89" t="str">
        <f t="shared" si="38"/>
        <v>Лингвистика</v>
      </c>
      <c r="N776" s="89" t="s">
        <v>301</v>
      </c>
    </row>
    <row r="777" spans="1:14" customFormat="1" ht="30" hidden="1" customHeight="1" x14ac:dyDescent="0.25">
      <c r="A777" s="62" t="s">
        <v>2005</v>
      </c>
      <c r="B777" s="84" t="s">
        <v>1915</v>
      </c>
      <c r="C777" s="85" t="s">
        <v>403</v>
      </c>
      <c r="D777" s="85" t="s">
        <v>296</v>
      </c>
      <c r="E777" s="84" t="s">
        <v>413</v>
      </c>
      <c r="F777" s="86" t="s">
        <v>331</v>
      </c>
      <c r="G777" s="87" t="s">
        <v>1897</v>
      </c>
      <c r="H777" s="87" t="s">
        <v>1916</v>
      </c>
      <c r="I777" s="87"/>
      <c r="J777" s="87" t="s">
        <v>1890</v>
      </c>
      <c r="K777" s="88" t="str">
        <f t="shared" si="36"/>
        <v>В</v>
      </c>
      <c r="L777" s="88" t="str">
        <f t="shared" si="37"/>
        <v>М</v>
      </c>
      <c r="M777" s="89" t="str">
        <f t="shared" si="38"/>
        <v>Психологическое консультирование</v>
      </c>
      <c r="N777" s="89" t="s">
        <v>301</v>
      </c>
    </row>
    <row r="778" spans="1:14" customFormat="1" ht="30" hidden="1" customHeight="1" x14ac:dyDescent="0.25">
      <c r="A778" s="62" t="s">
        <v>2006</v>
      </c>
      <c r="B778" s="84" t="s">
        <v>1915</v>
      </c>
      <c r="C778" s="85" t="s">
        <v>403</v>
      </c>
      <c r="D778" s="85" t="s">
        <v>296</v>
      </c>
      <c r="E778" s="84" t="s">
        <v>413</v>
      </c>
      <c r="F778" s="86" t="s">
        <v>331</v>
      </c>
      <c r="G778" s="87" t="s">
        <v>1897</v>
      </c>
      <c r="H778" s="87" t="s">
        <v>1918</v>
      </c>
      <c r="I778" s="87"/>
      <c r="J778" s="87" t="s">
        <v>1890</v>
      </c>
      <c r="K778" s="88" t="str">
        <f t="shared" si="36"/>
        <v>В</v>
      </c>
      <c r="L778" s="88" t="str">
        <f t="shared" si="37"/>
        <v>М</v>
      </c>
      <c r="M778" s="89" t="str">
        <f t="shared" si="38"/>
        <v>Интегративные технологии в практической психологии</v>
      </c>
      <c r="N778" s="89" t="s">
        <v>301</v>
      </c>
    </row>
    <row r="779" spans="1:14" customFormat="1" ht="30" hidden="1" customHeight="1" x14ac:dyDescent="0.25">
      <c r="A779" s="62" t="s">
        <v>2007</v>
      </c>
      <c r="B779" s="84" t="s">
        <v>1029</v>
      </c>
      <c r="C779" s="85" t="s">
        <v>419</v>
      </c>
      <c r="D779" s="85" t="s">
        <v>296</v>
      </c>
      <c r="E779" s="84" t="s">
        <v>406</v>
      </c>
      <c r="F779" s="86" t="s">
        <v>312</v>
      </c>
      <c r="G779" s="87" t="s">
        <v>1030</v>
      </c>
      <c r="H779" s="87" t="s">
        <v>1030</v>
      </c>
      <c r="I779" s="87"/>
      <c r="J779" s="87" t="s">
        <v>1890</v>
      </c>
      <c r="K779" s="88" t="str">
        <f t="shared" si="36"/>
        <v>З</v>
      </c>
      <c r="L779" s="88" t="str">
        <f t="shared" si="37"/>
        <v>Б</v>
      </c>
      <c r="M779" s="89" t="str">
        <f t="shared" si="38"/>
        <v>Реклама и связи с общественностью</v>
      </c>
      <c r="N779" s="89" t="s">
        <v>301</v>
      </c>
    </row>
    <row r="780" spans="1:14" customFormat="1" ht="30" hidden="1" customHeight="1" x14ac:dyDescent="0.25">
      <c r="A780" s="62" t="s">
        <v>2008</v>
      </c>
      <c r="B780" s="84" t="s">
        <v>1900</v>
      </c>
      <c r="C780" s="85" t="s">
        <v>419</v>
      </c>
      <c r="D780" s="85" t="s">
        <v>296</v>
      </c>
      <c r="E780" s="84" t="s">
        <v>406</v>
      </c>
      <c r="F780" s="86" t="s">
        <v>312</v>
      </c>
      <c r="G780" s="87" t="s">
        <v>1901</v>
      </c>
      <c r="H780" s="87" t="s">
        <v>1901</v>
      </c>
      <c r="I780" s="87"/>
      <c r="J780" s="87" t="s">
        <v>1890</v>
      </c>
      <c r="K780" s="88" t="str">
        <f t="shared" si="36"/>
        <v>З</v>
      </c>
      <c r="L780" s="88" t="str">
        <f t="shared" si="37"/>
        <v>Б</v>
      </c>
      <c r="M780" s="89" t="str">
        <f t="shared" si="38"/>
        <v>Журналистика</v>
      </c>
      <c r="N780" s="89" t="s">
        <v>301</v>
      </c>
    </row>
    <row r="781" spans="1:14" customFormat="1" ht="30" hidden="1" customHeight="1" x14ac:dyDescent="0.25">
      <c r="A781" s="62" t="s">
        <v>2009</v>
      </c>
      <c r="B781" s="84" t="s">
        <v>1056</v>
      </c>
      <c r="C781" s="85" t="s">
        <v>419</v>
      </c>
      <c r="D781" s="85" t="s">
        <v>296</v>
      </c>
      <c r="E781" s="84" t="s">
        <v>406</v>
      </c>
      <c r="F781" s="86" t="s">
        <v>312</v>
      </c>
      <c r="G781" s="87" t="s">
        <v>1057</v>
      </c>
      <c r="H781" s="87" t="s">
        <v>1057</v>
      </c>
      <c r="I781" s="87"/>
      <c r="J781" s="87" t="s">
        <v>1890</v>
      </c>
      <c r="K781" s="88" t="str">
        <f t="shared" si="36"/>
        <v>З</v>
      </c>
      <c r="L781" s="88" t="str">
        <f t="shared" si="37"/>
        <v>Б</v>
      </c>
      <c r="M781" s="89" t="str">
        <f t="shared" si="38"/>
        <v>Филология</v>
      </c>
      <c r="N781" s="89" t="s">
        <v>301</v>
      </c>
    </row>
    <row r="782" spans="1:14" customFormat="1" ht="30" hidden="1" customHeight="1" x14ac:dyDescent="0.25">
      <c r="A782" s="62" t="s">
        <v>2010</v>
      </c>
      <c r="B782" s="84" t="s">
        <v>969</v>
      </c>
      <c r="C782" s="85" t="s">
        <v>419</v>
      </c>
      <c r="D782" s="85" t="s">
        <v>296</v>
      </c>
      <c r="E782" s="84" t="s">
        <v>406</v>
      </c>
      <c r="F782" s="86" t="s">
        <v>312</v>
      </c>
      <c r="G782" s="87" t="s">
        <v>970</v>
      </c>
      <c r="H782" s="87" t="s">
        <v>970</v>
      </c>
      <c r="I782" s="87"/>
      <c r="J782" s="87" t="s">
        <v>1890</v>
      </c>
      <c r="K782" s="88" t="str">
        <f t="shared" si="36"/>
        <v>З</v>
      </c>
      <c r="L782" s="88" t="str">
        <f t="shared" si="37"/>
        <v>Б</v>
      </c>
      <c r="M782" s="89" t="str">
        <f t="shared" si="38"/>
        <v>Лингвистика</v>
      </c>
      <c r="N782" s="89" t="s">
        <v>301</v>
      </c>
    </row>
    <row r="783" spans="1:14" customFormat="1" ht="30" hidden="1" customHeight="1" x14ac:dyDescent="0.25">
      <c r="A783" s="62" t="s">
        <v>2011</v>
      </c>
      <c r="B783" s="84" t="s">
        <v>2012</v>
      </c>
      <c r="C783" s="85" t="s">
        <v>295</v>
      </c>
      <c r="D783" s="85" t="s">
        <v>296</v>
      </c>
      <c r="E783" s="84" t="s">
        <v>297</v>
      </c>
      <c r="F783" s="86" t="s">
        <v>298</v>
      </c>
      <c r="G783" s="87" t="s">
        <v>2013</v>
      </c>
      <c r="H783" s="87" t="s">
        <v>2014</v>
      </c>
      <c r="I783" s="87"/>
      <c r="J783" s="87" t="s">
        <v>2015</v>
      </c>
      <c r="K783" s="88" t="str">
        <f t="shared" si="36"/>
        <v>Д</v>
      </c>
      <c r="L783" s="88" t="str">
        <f t="shared" si="37"/>
        <v>С</v>
      </c>
      <c r="M783" s="89" t="str">
        <f t="shared" si="38"/>
        <v>Экономико-правовое обеспечение экономической безопасности</v>
      </c>
      <c r="N783" s="89" t="s">
        <v>301</v>
      </c>
    </row>
    <row r="784" spans="1:14" customFormat="1" ht="30" hidden="1" customHeight="1" x14ac:dyDescent="0.25">
      <c r="A784" s="62" t="s">
        <v>2016</v>
      </c>
      <c r="B784" s="84" t="s">
        <v>2017</v>
      </c>
      <c r="C784" s="85" t="s">
        <v>295</v>
      </c>
      <c r="D784" s="85" t="s">
        <v>296</v>
      </c>
      <c r="E784" s="84" t="s">
        <v>311</v>
      </c>
      <c r="F784" s="86" t="s">
        <v>312</v>
      </c>
      <c r="G784" s="87" t="s">
        <v>2018</v>
      </c>
      <c r="H784" s="87" t="s">
        <v>2019</v>
      </c>
      <c r="I784" s="87"/>
      <c r="J784" s="87" t="s">
        <v>2015</v>
      </c>
      <c r="K784" s="88" t="str">
        <f t="shared" si="36"/>
        <v>Д</v>
      </c>
      <c r="L784" s="88" t="str">
        <f t="shared" si="37"/>
        <v>Б</v>
      </c>
      <c r="M784" s="89" t="str">
        <f t="shared" si="38"/>
        <v>Экономика и управление (УГСН)</v>
      </c>
      <c r="N784" s="89" t="s">
        <v>301</v>
      </c>
    </row>
    <row r="785" spans="1:14" customFormat="1" ht="30" hidden="1" customHeight="1" x14ac:dyDescent="0.25">
      <c r="A785" s="62" t="s">
        <v>2020</v>
      </c>
      <c r="B785" s="84" t="s">
        <v>1013</v>
      </c>
      <c r="C785" s="85" t="s">
        <v>295</v>
      </c>
      <c r="D785" s="85" t="s">
        <v>296</v>
      </c>
      <c r="E785" s="84" t="s">
        <v>311</v>
      </c>
      <c r="F785" s="86" t="s">
        <v>312</v>
      </c>
      <c r="G785" s="87" t="s">
        <v>434</v>
      </c>
      <c r="H785" s="87" t="s">
        <v>2021</v>
      </c>
      <c r="I785" s="87"/>
      <c r="J785" s="87" t="s">
        <v>2015</v>
      </c>
      <c r="K785" s="88" t="str">
        <f t="shared" si="36"/>
        <v>Д</v>
      </c>
      <c r="L785" s="88" t="str">
        <f t="shared" si="37"/>
        <v>Б</v>
      </c>
      <c r="M785" s="89" t="str">
        <f t="shared" si="38"/>
        <v>Бухгалтерский учет и аудит</v>
      </c>
      <c r="N785" s="89" t="s">
        <v>301</v>
      </c>
    </row>
    <row r="786" spans="1:14" customFormat="1" ht="30" hidden="1" customHeight="1" x14ac:dyDescent="0.25">
      <c r="A786" s="62" t="s">
        <v>2022</v>
      </c>
      <c r="B786" s="84" t="s">
        <v>1013</v>
      </c>
      <c r="C786" s="85" t="s">
        <v>295</v>
      </c>
      <c r="D786" s="85" t="s">
        <v>296</v>
      </c>
      <c r="E786" s="84" t="s">
        <v>311</v>
      </c>
      <c r="F786" s="86" t="s">
        <v>312</v>
      </c>
      <c r="G786" s="87" t="s">
        <v>434</v>
      </c>
      <c r="H786" s="87" t="s">
        <v>2023</v>
      </c>
      <c r="I786" s="87" t="s">
        <v>2024</v>
      </c>
      <c r="J786" s="87" t="s">
        <v>2015</v>
      </c>
      <c r="K786" s="88" t="str">
        <f t="shared" si="36"/>
        <v>Д</v>
      </c>
      <c r="L786" s="88" t="str">
        <f t="shared" si="37"/>
        <v>Б</v>
      </c>
      <c r="M786" s="89" t="str">
        <f t="shared" si="38"/>
        <v>Финансы и кредит (Вуз-партнёр – Хэнаньский университет экономики и права)</v>
      </c>
      <c r="N786" s="89" t="s">
        <v>301</v>
      </c>
    </row>
    <row r="787" spans="1:14" customFormat="1" ht="30" hidden="1" customHeight="1" x14ac:dyDescent="0.25">
      <c r="A787" s="62" t="s">
        <v>2025</v>
      </c>
      <c r="B787" s="84" t="s">
        <v>1013</v>
      </c>
      <c r="C787" s="85" t="s">
        <v>295</v>
      </c>
      <c r="D787" s="85" t="s">
        <v>296</v>
      </c>
      <c r="E787" s="84" t="s">
        <v>311</v>
      </c>
      <c r="F787" s="86" t="s">
        <v>312</v>
      </c>
      <c r="G787" s="87" t="s">
        <v>434</v>
      </c>
      <c r="H787" s="87" t="s">
        <v>2023</v>
      </c>
      <c r="I787" s="87"/>
      <c r="J787" s="87" t="s">
        <v>2015</v>
      </c>
      <c r="K787" s="88" t="str">
        <f t="shared" si="36"/>
        <v>Д</v>
      </c>
      <c r="L787" s="88" t="str">
        <f t="shared" si="37"/>
        <v>Б</v>
      </c>
      <c r="M787" s="89" t="str">
        <f t="shared" si="38"/>
        <v>Финансы и кредит</v>
      </c>
      <c r="N787" s="89" t="s">
        <v>301</v>
      </c>
    </row>
    <row r="788" spans="1:14" customFormat="1" ht="30" hidden="1" customHeight="1" x14ac:dyDescent="0.25">
      <c r="A788" s="62" t="s">
        <v>2026</v>
      </c>
      <c r="B788" s="84" t="s">
        <v>1013</v>
      </c>
      <c r="C788" s="85" t="s">
        <v>295</v>
      </c>
      <c r="D788" s="85" t="s">
        <v>304</v>
      </c>
      <c r="E788" s="84" t="s">
        <v>311</v>
      </c>
      <c r="F788" s="86" t="s">
        <v>312</v>
      </c>
      <c r="G788" s="87" t="s">
        <v>434</v>
      </c>
      <c r="H788" s="87" t="s">
        <v>2027</v>
      </c>
      <c r="I788" s="87"/>
      <c r="J788" s="87" t="s">
        <v>2015</v>
      </c>
      <c r="K788" s="88" t="str">
        <f t="shared" si="36"/>
        <v>Д</v>
      </c>
      <c r="L788" s="88" t="str">
        <f t="shared" si="37"/>
        <v>Б</v>
      </c>
      <c r="M788" s="89" t="str">
        <f t="shared" si="38"/>
        <v>Международные экономические отношения [язык реализации –Английский]</v>
      </c>
      <c r="N788" s="89" t="s">
        <v>301</v>
      </c>
    </row>
    <row r="789" spans="1:14" customFormat="1" ht="30" hidden="1" customHeight="1" x14ac:dyDescent="0.25">
      <c r="A789" s="62" t="s">
        <v>2028</v>
      </c>
      <c r="B789" s="84" t="s">
        <v>1013</v>
      </c>
      <c r="C789" s="85" t="s">
        <v>295</v>
      </c>
      <c r="D789" s="85" t="s">
        <v>296</v>
      </c>
      <c r="E789" s="84" t="s">
        <v>311</v>
      </c>
      <c r="F789" s="86" t="s">
        <v>312</v>
      </c>
      <c r="G789" s="87" t="s">
        <v>434</v>
      </c>
      <c r="H789" s="87" t="s">
        <v>2029</v>
      </c>
      <c r="I789" s="87"/>
      <c r="J789" s="87" t="s">
        <v>2015</v>
      </c>
      <c r="K789" s="88" t="str">
        <f t="shared" si="36"/>
        <v>Д</v>
      </c>
      <c r="L789" s="88" t="str">
        <f t="shared" si="37"/>
        <v>Б</v>
      </c>
      <c r="M789" s="89" t="str">
        <f t="shared" si="38"/>
        <v>Экономика города</v>
      </c>
      <c r="N789" s="89" t="s">
        <v>301</v>
      </c>
    </row>
    <row r="790" spans="1:14" customFormat="1" ht="30" hidden="1" customHeight="1" x14ac:dyDescent="0.25">
      <c r="A790" s="62" t="s">
        <v>2030</v>
      </c>
      <c r="B790" s="84" t="s">
        <v>1013</v>
      </c>
      <c r="C790" s="85" t="s">
        <v>295</v>
      </c>
      <c r="D790" s="85" t="s">
        <v>296</v>
      </c>
      <c r="E790" s="84" t="s">
        <v>311</v>
      </c>
      <c r="F790" s="86" t="s">
        <v>312</v>
      </c>
      <c r="G790" s="87" t="s">
        <v>434</v>
      </c>
      <c r="H790" s="87" t="s">
        <v>2031</v>
      </c>
      <c r="I790" s="87"/>
      <c r="J790" s="87" t="s">
        <v>2015</v>
      </c>
      <c r="K790" s="88" t="str">
        <f t="shared" si="36"/>
        <v>Д</v>
      </c>
      <c r="L790" s="88" t="str">
        <f t="shared" si="37"/>
        <v>Б</v>
      </c>
      <c r="M790" s="89" t="str">
        <f t="shared" si="38"/>
        <v>Проектный анализ и моделирование в экономике</v>
      </c>
      <c r="N790" s="89" t="s">
        <v>301</v>
      </c>
    </row>
    <row r="791" spans="1:14" customFormat="1" ht="30" hidden="1" customHeight="1" x14ac:dyDescent="0.25">
      <c r="A791" s="62" t="s">
        <v>2032</v>
      </c>
      <c r="B791" s="84" t="s">
        <v>1013</v>
      </c>
      <c r="C791" s="85" t="s">
        <v>295</v>
      </c>
      <c r="D791" s="85" t="s">
        <v>296</v>
      </c>
      <c r="E791" s="84" t="s">
        <v>311</v>
      </c>
      <c r="F791" s="86" t="s">
        <v>312</v>
      </c>
      <c r="G791" s="87" t="s">
        <v>434</v>
      </c>
      <c r="H791" s="87" t="s">
        <v>2033</v>
      </c>
      <c r="I791" s="87"/>
      <c r="J791" s="87" t="s">
        <v>2015</v>
      </c>
      <c r="K791" s="88" t="str">
        <f t="shared" si="36"/>
        <v>Д</v>
      </c>
      <c r="L791" s="88" t="str">
        <f t="shared" si="37"/>
        <v>Б</v>
      </c>
      <c r="M791" s="89" t="str">
        <f t="shared" si="38"/>
        <v>Экономика предприятия и предпринимательство</v>
      </c>
      <c r="N791" s="89" t="s">
        <v>301</v>
      </c>
    </row>
    <row r="792" spans="1:14" customFormat="1" ht="30" hidden="1" customHeight="1" x14ac:dyDescent="0.25">
      <c r="A792" s="62" t="s">
        <v>2034</v>
      </c>
      <c r="B792" s="84" t="s">
        <v>1013</v>
      </c>
      <c r="C792" s="85" t="s">
        <v>295</v>
      </c>
      <c r="D792" s="85" t="s">
        <v>296</v>
      </c>
      <c r="E792" s="84" t="s">
        <v>311</v>
      </c>
      <c r="F792" s="86" t="s">
        <v>312</v>
      </c>
      <c r="G792" s="87" t="s">
        <v>434</v>
      </c>
      <c r="H792" s="87" t="s">
        <v>2035</v>
      </c>
      <c r="I792" s="87"/>
      <c r="J792" s="87" t="s">
        <v>2015</v>
      </c>
      <c r="K792" s="88" t="str">
        <f t="shared" si="36"/>
        <v>Д</v>
      </c>
      <c r="L792" s="88" t="str">
        <f t="shared" si="37"/>
        <v>Б</v>
      </c>
      <c r="M792" s="89" t="str">
        <f t="shared" si="38"/>
        <v>Международные экономические отношения и внешнеэкономическая деятельность</v>
      </c>
      <c r="N792" s="89" t="s">
        <v>301</v>
      </c>
    </row>
    <row r="793" spans="1:14" customFormat="1" ht="30" hidden="1" customHeight="1" x14ac:dyDescent="0.25">
      <c r="A793" s="62" t="s">
        <v>2036</v>
      </c>
      <c r="B793" s="84" t="s">
        <v>448</v>
      </c>
      <c r="C793" s="85" t="s">
        <v>295</v>
      </c>
      <c r="D793" s="85" t="s">
        <v>296</v>
      </c>
      <c r="E793" s="84" t="s">
        <v>311</v>
      </c>
      <c r="F793" s="86" t="s">
        <v>312</v>
      </c>
      <c r="G793" s="87" t="s">
        <v>449</v>
      </c>
      <c r="H793" s="87" t="s">
        <v>2037</v>
      </c>
      <c r="I793" s="87"/>
      <c r="J793" s="87" t="s">
        <v>2015</v>
      </c>
      <c r="K793" s="88" t="str">
        <f t="shared" si="36"/>
        <v>Д</v>
      </c>
      <c r="L793" s="88" t="str">
        <f t="shared" si="37"/>
        <v>Б</v>
      </c>
      <c r="M793" s="89" t="str">
        <f t="shared" si="38"/>
        <v>Маркетинг</v>
      </c>
      <c r="N793" s="89" t="s">
        <v>301</v>
      </c>
    </row>
    <row r="794" spans="1:14" customFormat="1" ht="30" hidden="1" customHeight="1" x14ac:dyDescent="0.25">
      <c r="A794" s="62" t="s">
        <v>2038</v>
      </c>
      <c r="B794" s="84" t="s">
        <v>448</v>
      </c>
      <c r="C794" s="85" t="s">
        <v>295</v>
      </c>
      <c r="D794" s="85" t="s">
        <v>296</v>
      </c>
      <c r="E794" s="84" t="s">
        <v>311</v>
      </c>
      <c r="F794" s="86" t="s">
        <v>312</v>
      </c>
      <c r="G794" s="87" t="s">
        <v>449</v>
      </c>
      <c r="H794" s="87" t="s">
        <v>2039</v>
      </c>
      <c r="I794" s="87" t="s">
        <v>2024</v>
      </c>
      <c r="J794" s="87" t="s">
        <v>2015</v>
      </c>
      <c r="K794" s="88" t="str">
        <f t="shared" si="36"/>
        <v>Д</v>
      </c>
      <c r="L794" s="88" t="str">
        <f t="shared" si="37"/>
        <v>Б</v>
      </c>
      <c r="M794" s="89" t="str">
        <f t="shared" si="38"/>
        <v>Управление человеческими ресурсами (Вуз-партнёр – Хэнаньский университет экономики и права)</v>
      </c>
      <c r="N794" s="89" t="s">
        <v>301</v>
      </c>
    </row>
    <row r="795" spans="1:14" customFormat="1" ht="30" hidden="1" customHeight="1" x14ac:dyDescent="0.25">
      <c r="A795" s="62" t="s">
        <v>2040</v>
      </c>
      <c r="B795" s="84" t="s">
        <v>448</v>
      </c>
      <c r="C795" s="85" t="s">
        <v>295</v>
      </c>
      <c r="D795" s="85" t="s">
        <v>296</v>
      </c>
      <c r="E795" s="84" t="s">
        <v>311</v>
      </c>
      <c r="F795" s="86" t="s">
        <v>312</v>
      </c>
      <c r="G795" s="87" t="s">
        <v>449</v>
      </c>
      <c r="H795" s="87" t="s">
        <v>2039</v>
      </c>
      <c r="I795" s="87"/>
      <c r="J795" s="87" t="s">
        <v>2015</v>
      </c>
      <c r="K795" s="88" t="str">
        <f t="shared" si="36"/>
        <v>Д</v>
      </c>
      <c r="L795" s="88" t="str">
        <f t="shared" si="37"/>
        <v>Б</v>
      </c>
      <c r="M795" s="89" t="str">
        <f t="shared" si="38"/>
        <v>Управление человеческими ресурсами</v>
      </c>
      <c r="N795" s="89" t="s">
        <v>301</v>
      </c>
    </row>
    <row r="796" spans="1:14" customFormat="1" ht="30" hidden="1" customHeight="1" x14ac:dyDescent="0.25">
      <c r="A796" s="62" t="s">
        <v>2041</v>
      </c>
      <c r="B796" s="84" t="s">
        <v>448</v>
      </c>
      <c r="C796" s="85" t="s">
        <v>295</v>
      </c>
      <c r="D796" s="85" t="s">
        <v>296</v>
      </c>
      <c r="E796" s="84" t="s">
        <v>311</v>
      </c>
      <c r="F796" s="86" t="s">
        <v>312</v>
      </c>
      <c r="G796" s="87" t="s">
        <v>449</v>
      </c>
      <c r="H796" s="87" t="s">
        <v>2042</v>
      </c>
      <c r="I796" s="87"/>
      <c r="J796" s="87" t="s">
        <v>2015</v>
      </c>
      <c r="K796" s="88" t="str">
        <f t="shared" si="36"/>
        <v>Д</v>
      </c>
      <c r="L796" s="88" t="str">
        <f t="shared" si="37"/>
        <v>Б</v>
      </c>
      <c r="M796" s="89" t="str">
        <f t="shared" si="38"/>
        <v>Управление бизнесом</v>
      </c>
      <c r="N796" s="89" t="s">
        <v>301</v>
      </c>
    </row>
    <row r="797" spans="1:14" customFormat="1" ht="30" hidden="1" customHeight="1" x14ac:dyDescent="0.25">
      <c r="A797" s="62" t="s">
        <v>2043</v>
      </c>
      <c r="B797" s="84" t="s">
        <v>959</v>
      </c>
      <c r="C797" s="85" t="s">
        <v>295</v>
      </c>
      <c r="D797" s="85" t="s">
        <v>296</v>
      </c>
      <c r="E797" s="84" t="s">
        <v>311</v>
      </c>
      <c r="F797" s="86" t="s">
        <v>312</v>
      </c>
      <c r="G797" s="87" t="s">
        <v>960</v>
      </c>
      <c r="H797" s="87" t="s">
        <v>2044</v>
      </c>
      <c r="I797" s="87"/>
      <c r="J797" s="87" t="s">
        <v>2015</v>
      </c>
      <c r="K797" s="88" t="str">
        <f t="shared" si="36"/>
        <v>Д</v>
      </c>
      <c r="L797" s="88" t="str">
        <f t="shared" si="37"/>
        <v>Б</v>
      </c>
      <c r="M797" s="89" t="str">
        <f t="shared" si="38"/>
        <v>Ибероамерика</v>
      </c>
      <c r="N797" s="89" t="s">
        <v>301</v>
      </c>
    </row>
    <row r="798" spans="1:14" customFormat="1" ht="30" hidden="1" customHeight="1" x14ac:dyDescent="0.25">
      <c r="A798" s="62" t="s">
        <v>2045</v>
      </c>
      <c r="B798" s="84" t="s">
        <v>1647</v>
      </c>
      <c r="C798" s="85" t="s">
        <v>295</v>
      </c>
      <c r="D798" s="85" t="s">
        <v>296</v>
      </c>
      <c r="E798" s="84" t="s">
        <v>311</v>
      </c>
      <c r="F798" s="86" t="s">
        <v>312</v>
      </c>
      <c r="G798" s="87" t="s">
        <v>1648</v>
      </c>
      <c r="H798" s="87" t="s">
        <v>2046</v>
      </c>
      <c r="I798" s="87"/>
      <c r="J798" s="87" t="s">
        <v>2015</v>
      </c>
      <c r="K798" s="88" t="str">
        <f t="shared" si="36"/>
        <v>Д</v>
      </c>
      <c r="L798" s="88" t="str">
        <f t="shared" si="37"/>
        <v>Б</v>
      </c>
      <c r="M798" s="89" t="str">
        <f t="shared" si="38"/>
        <v>Экономика и внешнеэкономические связи стран Востока</v>
      </c>
      <c r="N798" s="89" t="s">
        <v>301</v>
      </c>
    </row>
    <row r="799" spans="1:14" customFormat="1" ht="30" hidden="1" customHeight="1" x14ac:dyDescent="0.25">
      <c r="A799" s="62" t="s">
        <v>2047</v>
      </c>
      <c r="B799" s="84" t="s">
        <v>433</v>
      </c>
      <c r="C799" s="85" t="s">
        <v>295</v>
      </c>
      <c r="D799" s="85" t="s">
        <v>304</v>
      </c>
      <c r="E799" s="84" t="s">
        <v>330</v>
      </c>
      <c r="F799" s="86" t="s">
        <v>331</v>
      </c>
      <c r="G799" s="87" t="s">
        <v>434</v>
      </c>
      <c r="H799" s="87" t="s">
        <v>2048</v>
      </c>
      <c r="I799" s="87"/>
      <c r="J799" s="87" t="s">
        <v>2015</v>
      </c>
      <c r="K799" s="88" t="str">
        <f t="shared" si="36"/>
        <v>Д</v>
      </c>
      <c r="L799" s="88" t="str">
        <f t="shared" si="37"/>
        <v>М</v>
      </c>
      <c r="M799" s="89" t="str">
        <f t="shared" si="38"/>
        <v>Международная торговля [язык реализации –Английский]</v>
      </c>
      <c r="N799" s="89" t="s">
        <v>301</v>
      </c>
    </row>
    <row r="800" spans="1:14" customFormat="1" ht="30" hidden="1" customHeight="1" x14ac:dyDescent="0.25">
      <c r="A800" s="62" t="s">
        <v>2049</v>
      </c>
      <c r="B800" s="84" t="s">
        <v>433</v>
      </c>
      <c r="C800" s="85" t="s">
        <v>295</v>
      </c>
      <c r="D800" s="85" t="s">
        <v>296</v>
      </c>
      <c r="E800" s="84" t="s">
        <v>330</v>
      </c>
      <c r="F800" s="86" t="s">
        <v>331</v>
      </c>
      <c r="G800" s="87" t="s">
        <v>434</v>
      </c>
      <c r="H800" s="87" t="s">
        <v>2048</v>
      </c>
      <c r="I800" s="87" t="s">
        <v>2050</v>
      </c>
      <c r="J800" s="87" t="s">
        <v>2015</v>
      </c>
      <c r="K800" s="88" t="str">
        <f t="shared" si="36"/>
        <v>Д</v>
      </c>
      <c r="L800" s="88" t="str">
        <f t="shared" si="37"/>
        <v>М</v>
      </c>
      <c r="M800" s="89" t="str">
        <f t="shared" si="38"/>
        <v>Международная торговля (Вуз-партнёр – Дипломатическая академия Министерства иностранных дел Кыргызской Республики им. К. Дикамбаева)</v>
      </c>
      <c r="N800" s="89" t="s">
        <v>301</v>
      </c>
    </row>
    <row r="801" spans="1:14" customFormat="1" ht="30" hidden="1" customHeight="1" x14ac:dyDescent="0.25">
      <c r="A801" s="62" t="s">
        <v>2051</v>
      </c>
      <c r="B801" s="84" t="s">
        <v>433</v>
      </c>
      <c r="C801" s="85" t="s">
        <v>295</v>
      </c>
      <c r="D801" s="85" t="s">
        <v>296</v>
      </c>
      <c r="E801" s="84" t="s">
        <v>330</v>
      </c>
      <c r="F801" s="86" t="s">
        <v>331</v>
      </c>
      <c r="G801" s="87" t="s">
        <v>434</v>
      </c>
      <c r="H801" s="87" t="s">
        <v>2048</v>
      </c>
      <c r="I801" s="87" t="s">
        <v>1167</v>
      </c>
      <c r="J801" s="87" t="s">
        <v>2015</v>
      </c>
      <c r="K801" s="88" t="str">
        <f t="shared" si="36"/>
        <v>Д</v>
      </c>
      <c r="L801" s="88" t="str">
        <f t="shared" si="37"/>
        <v>М</v>
      </c>
      <c r="M801" s="89" t="str">
        <f t="shared" si="38"/>
        <v>Международная торговля (Вуз-партнёр – Евразийский национальный университет им. Л.Н. Гумилева)</v>
      </c>
      <c r="N801" s="89" t="s">
        <v>301</v>
      </c>
    </row>
    <row r="802" spans="1:14" customFormat="1" ht="30" hidden="1" customHeight="1" x14ac:dyDescent="0.25">
      <c r="A802" s="62" t="s">
        <v>2052</v>
      </c>
      <c r="B802" s="84" t="s">
        <v>433</v>
      </c>
      <c r="C802" s="85" t="s">
        <v>295</v>
      </c>
      <c r="D802" s="85" t="s">
        <v>296</v>
      </c>
      <c r="E802" s="84" t="s">
        <v>330</v>
      </c>
      <c r="F802" s="86" t="s">
        <v>331</v>
      </c>
      <c r="G802" s="87" t="s">
        <v>434</v>
      </c>
      <c r="H802" s="87" t="s">
        <v>2048</v>
      </c>
      <c r="I802" s="87" t="s">
        <v>516</v>
      </c>
      <c r="J802" s="87" t="s">
        <v>2015</v>
      </c>
      <c r="K802" s="88" t="str">
        <f t="shared" si="36"/>
        <v>Д</v>
      </c>
      <c r="L802" s="88" t="str">
        <f t="shared" si="37"/>
        <v>М</v>
      </c>
      <c r="M802" s="89" t="str">
        <f t="shared" si="38"/>
        <v>Международная торговля (Вуз-партнёр – Казахский национальный университет им. Аль-Фараби)</v>
      </c>
      <c r="N802" s="89" t="s">
        <v>301</v>
      </c>
    </row>
    <row r="803" spans="1:14" customFormat="1" ht="30" hidden="1" customHeight="1" x14ac:dyDescent="0.25">
      <c r="A803" s="62" t="s">
        <v>2053</v>
      </c>
      <c r="B803" s="84" t="s">
        <v>433</v>
      </c>
      <c r="C803" s="85" t="s">
        <v>295</v>
      </c>
      <c r="D803" s="85" t="s">
        <v>296</v>
      </c>
      <c r="E803" s="84" t="s">
        <v>330</v>
      </c>
      <c r="F803" s="86" t="s">
        <v>331</v>
      </c>
      <c r="G803" s="87" t="s">
        <v>434</v>
      </c>
      <c r="H803" s="87" t="s">
        <v>2048</v>
      </c>
      <c r="I803" s="87" t="s">
        <v>518</v>
      </c>
      <c r="J803" s="87" t="s">
        <v>2015</v>
      </c>
      <c r="K803" s="88" t="str">
        <f t="shared" si="36"/>
        <v>Д</v>
      </c>
      <c r="L803" s="88" t="str">
        <f t="shared" si="37"/>
        <v>М</v>
      </c>
      <c r="M803" s="89" t="str">
        <f t="shared" si="38"/>
        <v>Международная торговля (Вуз-партнёр – Кыргызский национальный университет им. Ж. Баласагына)</v>
      </c>
      <c r="N803" s="89" t="s">
        <v>301</v>
      </c>
    </row>
    <row r="804" spans="1:14" customFormat="1" ht="30" hidden="1" customHeight="1" x14ac:dyDescent="0.25">
      <c r="A804" s="62" t="s">
        <v>2054</v>
      </c>
      <c r="B804" s="84" t="s">
        <v>433</v>
      </c>
      <c r="C804" s="85" t="s">
        <v>295</v>
      </c>
      <c r="D804" s="85" t="s">
        <v>296</v>
      </c>
      <c r="E804" s="84" t="s">
        <v>330</v>
      </c>
      <c r="F804" s="86" t="s">
        <v>331</v>
      </c>
      <c r="G804" s="87" t="s">
        <v>434</v>
      </c>
      <c r="H804" s="87" t="s">
        <v>2048</v>
      </c>
      <c r="I804" s="87" t="s">
        <v>1079</v>
      </c>
      <c r="J804" s="87" t="s">
        <v>2015</v>
      </c>
      <c r="K804" s="88" t="str">
        <f t="shared" si="36"/>
        <v>Д</v>
      </c>
      <c r="L804" s="88" t="str">
        <f t="shared" si="37"/>
        <v>М</v>
      </c>
      <c r="M804" s="89" t="str">
        <f t="shared" si="38"/>
        <v>Международная торговля (Вуз-партнёр – Российско-Таджикский (Славянский) университет)</v>
      </c>
      <c r="N804" s="89" t="s">
        <v>301</v>
      </c>
    </row>
    <row r="805" spans="1:14" customFormat="1" ht="30" hidden="1" customHeight="1" x14ac:dyDescent="0.25">
      <c r="A805" s="62" t="s">
        <v>2055</v>
      </c>
      <c r="B805" s="84" t="s">
        <v>433</v>
      </c>
      <c r="C805" s="85" t="s">
        <v>295</v>
      </c>
      <c r="D805" s="85" t="s">
        <v>296</v>
      </c>
      <c r="E805" s="84" t="s">
        <v>330</v>
      </c>
      <c r="F805" s="86" t="s">
        <v>331</v>
      </c>
      <c r="G805" s="87" t="s">
        <v>434</v>
      </c>
      <c r="H805" s="87" t="s">
        <v>2048</v>
      </c>
      <c r="I805" s="87" t="s">
        <v>1952</v>
      </c>
      <c r="J805" s="87" t="s">
        <v>2015</v>
      </c>
      <c r="K805" s="88" t="str">
        <f t="shared" si="36"/>
        <v>Д</v>
      </c>
      <c r="L805" s="88" t="str">
        <f t="shared" si="37"/>
        <v>М</v>
      </c>
      <c r="M805" s="89" t="str">
        <f t="shared" si="38"/>
        <v>Международная торговля (Вуз-партнёр – Таджикский национальный университет)</v>
      </c>
      <c r="N805" s="89" t="s">
        <v>301</v>
      </c>
    </row>
    <row r="806" spans="1:14" customFormat="1" ht="30" hidden="1" customHeight="1" x14ac:dyDescent="0.25">
      <c r="A806" s="62" t="s">
        <v>2056</v>
      </c>
      <c r="B806" s="84" t="s">
        <v>433</v>
      </c>
      <c r="C806" s="85" t="s">
        <v>295</v>
      </c>
      <c r="D806" s="85" t="s">
        <v>296</v>
      </c>
      <c r="E806" s="84" t="s">
        <v>330</v>
      </c>
      <c r="F806" s="86" t="s">
        <v>331</v>
      </c>
      <c r="G806" s="87" t="s">
        <v>434</v>
      </c>
      <c r="H806" s="87" t="s">
        <v>2048</v>
      </c>
      <c r="I806" s="87" t="s">
        <v>1956</v>
      </c>
      <c r="J806" s="87" t="s">
        <v>2015</v>
      </c>
      <c r="K806" s="88" t="str">
        <f t="shared" si="36"/>
        <v>Д</v>
      </c>
      <c r="L806" s="88" t="str">
        <f t="shared" si="37"/>
        <v>М</v>
      </c>
      <c r="M806" s="89" t="str">
        <f t="shared" si="38"/>
        <v>Международная торговля (Вуз-партнёр – Донецкий национальный университет)</v>
      </c>
      <c r="N806" s="89" t="s">
        <v>301</v>
      </c>
    </row>
    <row r="807" spans="1:14" customFormat="1" ht="30" hidden="1" customHeight="1" x14ac:dyDescent="0.25">
      <c r="A807" s="62" t="s">
        <v>2057</v>
      </c>
      <c r="B807" s="84" t="s">
        <v>433</v>
      </c>
      <c r="C807" s="85" t="s">
        <v>295</v>
      </c>
      <c r="D807" s="85" t="s">
        <v>296</v>
      </c>
      <c r="E807" s="84" t="s">
        <v>330</v>
      </c>
      <c r="F807" s="86" t="s">
        <v>331</v>
      </c>
      <c r="G807" s="87" t="s">
        <v>434</v>
      </c>
      <c r="H807" s="87" t="s">
        <v>2048</v>
      </c>
      <c r="I807" s="87" t="s">
        <v>1076</v>
      </c>
      <c r="J807" s="87" t="s">
        <v>2015</v>
      </c>
      <c r="K807" s="88" t="str">
        <f t="shared" si="36"/>
        <v>Д</v>
      </c>
      <c r="L807" s="88" t="str">
        <f t="shared" si="37"/>
        <v>М</v>
      </c>
      <c r="M807" s="89" t="str">
        <f t="shared" si="38"/>
        <v>Международная торговля (Вуз-партнёр – Кыргызско-Российский (Славянский) Университет)</v>
      </c>
      <c r="N807" s="89" t="s">
        <v>301</v>
      </c>
    </row>
    <row r="808" spans="1:14" customFormat="1" ht="30" hidden="1" customHeight="1" x14ac:dyDescent="0.25">
      <c r="A808" s="62" t="s">
        <v>2058</v>
      </c>
      <c r="B808" s="84" t="s">
        <v>433</v>
      </c>
      <c r="C808" s="85" t="s">
        <v>295</v>
      </c>
      <c r="D808" s="85" t="s">
        <v>296</v>
      </c>
      <c r="E808" s="84" t="s">
        <v>330</v>
      </c>
      <c r="F808" s="86" t="s">
        <v>331</v>
      </c>
      <c r="G808" s="87" t="s">
        <v>434</v>
      </c>
      <c r="H808" s="87" t="s">
        <v>2048</v>
      </c>
      <c r="I808" s="87" t="s">
        <v>2059</v>
      </c>
      <c r="J808" s="87" t="s">
        <v>2015</v>
      </c>
      <c r="K808" s="88" t="str">
        <f t="shared" si="36"/>
        <v>Д</v>
      </c>
      <c r="L808" s="88" t="str">
        <f t="shared" si="37"/>
        <v>М</v>
      </c>
      <c r="M808" s="89" t="str">
        <f t="shared" si="38"/>
        <v>Международная торговля (Вуз-партнёр – Армянский государственный экономический университет)</v>
      </c>
      <c r="N808" s="89" t="s">
        <v>301</v>
      </c>
    </row>
    <row r="809" spans="1:14" customFormat="1" ht="30" hidden="1" customHeight="1" x14ac:dyDescent="0.25">
      <c r="A809" s="62" t="s">
        <v>2060</v>
      </c>
      <c r="B809" s="84" t="s">
        <v>433</v>
      </c>
      <c r="C809" s="85" t="s">
        <v>295</v>
      </c>
      <c r="D809" s="85" t="s">
        <v>296</v>
      </c>
      <c r="E809" s="84" t="s">
        <v>330</v>
      </c>
      <c r="F809" s="86" t="s">
        <v>331</v>
      </c>
      <c r="G809" s="87" t="s">
        <v>434</v>
      </c>
      <c r="H809" s="87" t="s">
        <v>2048</v>
      </c>
      <c r="I809" s="87" t="s">
        <v>2061</v>
      </c>
      <c r="J809" s="87" t="s">
        <v>2015</v>
      </c>
      <c r="K809" s="88" t="str">
        <f t="shared" si="36"/>
        <v>Д</v>
      </c>
      <c r="L809" s="88" t="str">
        <f t="shared" si="37"/>
        <v>М</v>
      </c>
      <c r="M809" s="89" t="str">
        <f t="shared" si="38"/>
        <v>Международная торговля (Вуз-партнёр – Ошский государственный университет)</v>
      </c>
      <c r="N809" s="89" t="s">
        <v>301</v>
      </c>
    </row>
    <row r="810" spans="1:14" customFormat="1" ht="30" hidden="1" customHeight="1" x14ac:dyDescent="0.25">
      <c r="A810" s="62" t="s">
        <v>2062</v>
      </c>
      <c r="B810" s="84" t="s">
        <v>433</v>
      </c>
      <c r="C810" s="85" t="s">
        <v>295</v>
      </c>
      <c r="D810" s="85" t="s">
        <v>296</v>
      </c>
      <c r="E810" s="84" t="s">
        <v>330</v>
      </c>
      <c r="F810" s="86" t="s">
        <v>331</v>
      </c>
      <c r="G810" s="87" t="s">
        <v>434</v>
      </c>
      <c r="H810" s="87" t="s">
        <v>2048</v>
      </c>
      <c r="I810" s="87"/>
      <c r="J810" s="87" t="s">
        <v>2015</v>
      </c>
      <c r="K810" s="88" t="str">
        <f t="shared" si="36"/>
        <v>Д</v>
      </c>
      <c r="L810" s="88" t="str">
        <f t="shared" si="37"/>
        <v>М</v>
      </c>
      <c r="M810" s="89" t="str">
        <f t="shared" si="38"/>
        <v>Международная торговля</v>
      </c>
      <c r="N810" s="89" t="s">
        <v>301</v>
      </c>
    </row>
    <row r="811" spans="1:14" customFormat="1" ht="30" hidden="1" customHeight="1" x14ac:dyDescent="0.25">
      <c r="A811" s="62" t="s">
        <v>2063</v>
      </c>
      <c r="B811" s="84" t="s">
        <v>433</v>
      </c>
      <c r="C811" s="85" t="s">
        <v>295</v>
      </c>
      <c r="D811" s="85" t="s">
        <v>296</v>
      </c>
      <c r="E811" s="84" t="s">
        <v>330</v>
      </c>
      <c r="F811" s="86" t="s">
        <v>331</v>
      </c>
      <c r="G811" s="87" t="s">
        <v>434</v>
      </c>
      <c r="H811" s="87" t="s">
        <v>2048</v>
      </c>
      <c r="I811" s="87" t="s">
        <v>2064</v>
      </c>
      <c r="J811" s="87" t="s">
        <v>2015</v>
      </c>
      <c r="K811" s="88" t="str">
        <f t="shared" si="36"/>
        <v>Д</v>
      </c>
      <c r="L811" s="88" t="str">
        <f t="shared" si="37"/>
        <v>М</v>
      </c>
      <c r="M811" s="89" t="str">
        <f t="shared" si="38"/>
        <v>Международная торговля (Вуз-партнёр – Национальный университет наук, технологий и менеджмента)</v>
      </c>
      <c r="N811" s="89" t="s">
        <v>301</v>
      </c>
    </row>
    <row r="812" spans="1:14" customFormat="1" ht="30" hidden="1" customHeight="1" x14ac:dyDescent="0.25">
      <c r="A812" s="62" t="s">
        <v>2065</v>
      </c>
      <c r="B812" s="84" t="s">
        <v>433</v>
      </c>
      <c r="C812" s="85" t="s">
        <v>295</v>
      </c>
      <c r="D812" s="85" t="s">
        <v>296</v>
      </c>
      <c r="E812" s="84" t="s">
        <v>330</v>
      </c>
      <c r="F812" s="86" t="s">
        <v>331</v>
      </c>
      <c r="G812" s="87" t="s">
        <v>434</v>
      </c>
      <c r="H812" s="87" t="s">
        <v>2048</v>
      </c>
      <c r="I812" s="87" t="s">
        <v>1954</v>
      </c>
      <c r="J812" s="87" t="s">
        <v>2015</v>
      </c>
      <c r="K812" s="88" t="str">
        <f t="shared" si="36"/>
        <v>Д</v>
      </c>
      <c r="L812" s="88" t="str">
        <f t="shared" si="37"/>
        <v>М</v>
      </c>
      <c r="M812" s="89" t="str">
        <f t="shared" si="38"/>
        <v>Международная торговля (Вуз-партнёр – Днепропетровский национальный университет им. О. Гончара)</v>
      </c>
      <c r="N812" s="89" t="s">
        <v>301</v>
      </c>
    </row>
    <row r="813" spans="1:14" customFormat="1" ht="30" hidden="1" customHeight="1" x14ac:dyDescent="0.25">
      <c r="A813" s="62" t="s">
        <v>2066</v>
      </c>
      <c r="B813" s="84" t="s">
        <v>433</v>
      </c>
      <c r="C813" s="85" t="s">
        <v>295</v>
      </c>
      <c r="D813" s="85" t="s">
        <v>296</v>
      </c>
      <c r="E813" s="84" t="s">
        <v>330</v>
      </c>
      <c r="F813" s="86" t="s">
        <v>331</v>
      </c>
      <c r="G813" s="87" t="s">
        <v>434</v>
      </c>
      <c r="H813" s="87" t="s">
        <v>2067</v>
      </c>
      <c r="I813" s="87"/>
      <c r="J813" s="87" t="s">
        <v>2015</v>
      </c>
      <c r="K813" s="88" t="str">
        <f t="shared" si="36"/>
        <v>Д</v>
      </c>
      <c r="L813" s="88" t="str">
        <f t="shared" si="37"/>
        <v>М</v>
      </c>
      <c r="M813" s="89" t="str">
        <f t="shared" si="38"/>
        <v>Экономика фирмы и отраслевых рынков</v>
      </c>
      <c r="N813" s="89" t="s">
        <v>301</v>
      </c>
    </row>
    <row r="814" spans="1:14" customFormat="1" ht="30" hidden="1" customHeight="1" x14ac:dyDescent="0.25">
      <c r="A814" s="62" t="s">
        <v>2068</v>
      </c>
      <c r="B814" s="84" t="s">
        <v>433</v>
      </c>
      <c r="C814" s="85" t="s">
        <v>295</v>
      </c>
      <c r="D814" s="85" t="s">
        <v>296</v>
      </c>
      <c r="E814" s="84" t="s">
        <v>330</v>
      </c>
      <c r="F814" s="86" t="s">
        <v>331</v>
      </c>
      <c r="G814" s="87" t="s">
        <v>434</v>
      </c>
      <c r="H814" s="87" t="s">
        <v>2069</v>
      </c>
      <c r="I814" s="87" t="s">
        <v>1079</v>
      </c>
      <c r="J814" s="87" t="s">
        <v>2015</v>
      </c>
      <c r="K814" s="88" t="str">
        <f t="shared" si="36"/>
        <v>Д</v>
      </c>
      <c r="L814" s="88" t="str">
        <f t="shared" si="37"/>
        <v>М</v>
      </c>
      <c r="M814" s="89" t="str">
        <f t="shared" si="38"/>
        <v>Бухгалтерский учет, внутренний контроль и аудит (Вуз-партнёр – Российско-Таджикский (Славянский) университет)</v>
      </c>
      <c r="N814" s="89" t="s">
        <v>301</v>
      </c>
    </row>
    <row r="815" spans="1:14" customFormat="1" ht="30" hidden="1" customHeight="1" x14ac:dyDescent="0.25">
      <c r="A815" s="62" t="s">
        <v>2070</v>
      </c>
      <c r="B815" s="84" t="s">
        <v>433</v>
      </c>
      <c r="C815" s="85" t="s">
        <v>295</v>
      </c>
      <c r="D815" s="85" t="s">
        <v>296</v>
      </c>
      <c r="E815" s="84" t="s">
        <v>330</v>
      </c>
      <c r="F815" s="86" t="s">
        <v>331</v>
      </c>
      <c r="G815" s="87" t="s">
        <v>434</v>
      </c>
      <c r="H815" s="87" t="s">
        <v>2069</v>
      </c>
      <c r="I815" s="87" t="s">
        <v>2024</v>
      </c>
      <c r="J815" s="87" t="s">
        <v>2015</v>
      </c>
      <c r="K815" s="88" t="str">
        <f t="shared" si="36"/>
        <v>Д</v>
      </c>
      <c r="L815" s="88" t="str">
        <f t="shared" si="37"/>
        <v>М</v>
      </c>
      <c r="M815" s="89" t="str">
        <f t="shared" si="38"/>
        <v>Бухгалтерский учет, внутренний контроль и аудит (Вуз-партнёр – Хэнаньский университет экономики и права)</v>
      </c>
      <c r="N815" s="89" t="s">
        <v>301</v>
      </c>
    </row>
    <row r="816" spans="1:14" customFormat="1" ht="30" hidden="1" customHeight="1" x14ac:dyDescent="0.25">
      <c r="A816" s="62" t="s">
        <v>2071</v>
      </c>
      <c r="B816" s="84" t="s">
        <v>433</v>
      </c>
      <c r="C816" s="85" t="s">
        <v>295</v>
      </c>
      <c r="D816" s="85" t="s">
        <v>296</v>
      </c>
      <c r="E816" s="84" t="s">
        <v>330</v>
      </c>
      <c r="F816" s="86" t="s">
        <v>331</v>
      </c>
      <c r="G816" s="87" t="s">
        <v>434</v>
      </c>
      <c r="H816" s="87" t="s">
        <v>2069</v>
      </c>
      <c r="I816" s="87"/>
      <c r="J816" s="87" t="s">
        <v>2015</v>
      </c>
      <c r="K816" s="88" t="str">
        <f t="shared" si="36"/>
        <v>Д</v>
      </c>
      <c r="L816" s="88" t="str">
        <f t="shared" si="37"/>
        <v>М</v>
      </c>
      <c r="M816" s="89" t="str">
        <f t="shared" si="38"/>
        <v>Бухгалтерский учет, внутренний контроль и аудит</v>
      </c>
      <c r="N816" s="89" t="s">
        <v>301</v>
      </c>
    </row>
    <row r="817" spans="1:14" customFormat="1" ht="30" hidden="1" customHeight="1" x14ac:dyDescent="0.25">
      <c r="A817" s="62" t="s">
        <v>2072</v>
      </c>
      <c r="B817" s="84" t="s">
        <v>433</v>
      </c>
      <c r="C817" s="85" t="s">
        <v>295</v>
      </c>
      <c r="D817" s="85" t="s">
        <v>296</v>
      </c>
      <c r="E817" s="84" t="s">
        <v>330</v>
      </c>
      <c r="F817" s="86" t="s">
        <v>331</v>
      </c>
      <c r="G817" s="87" t="s">
        <v>434</v>
      </c>
      <c r="H817" s="87" t="s">
        <v>2069</v>
      </c>
      <c r="I817" s="87" t="s">
        <v>514</v>
      </c>
      <c r="J817" s="87" t="s">
        <v>2015</v>
      </c>
      <c r="K817" s="88" t="str">
        <f t="shared" si="36"/>
        <v>Д</v>
      </c>
      <c r="L817" s="88" t="str">
        <f t="shared" si="37"/>
        <v>М</v>
      </c>
      <c r="M817" s="89" t="str">
        <f t="shared" si="38"/>
        <v>Бухгалтерский учет, внутренний контроль и аудит (Вуз-партнёр – Евразийский национальный университет имени Л. Н. Гумилёва)</v>
      </c>
      <c r="N817" s="89" t="s">
        <v>301</v>
      </c>
    </row>
    <row r="818" spans="1:14" customFormat="1" ht="30" hidden="1" customHeight="1" x14ac:dyDescent="0.25">
      <c r="A818" s="62" t="s">
        <v>2073</v>
      </c>
      <c r="B818" s="84" t="s">
        <v>433</v>
      </c>
      <c r="C818" s="85" t="s">
        <v>295</v>
      </c>
      <c r="D818" s="85" t="s">
        <v>296</v>
      </c>
      <c r="E818" s="84" t="s">
        <v>330</v>
      </c>
      <c r="F818" s="86" t="s">
        <v>331</v>
      </c>
      <c r="G818" s="87" t="s">
        <v>434</v>
      </c>
      <c r="H818" s="87" t="s">
        <v>2069</v>
      </c>
      <c r="I818" s="87" t="s">
        <v>518</v>
      </c>
      <c r="J818" s="87" t="s">
        <v>2015</v>
      </c>
      <c r="K818" s="88" t="str">
        <f t="shared" si="36"/>
        <v>Д</v>
      </c>
      <c r="L818" s="88" t="str">
        <f t="shared" si="37"/>
        <v>М</v>
      </c>
      <c r="M818" s="89" t="str">
        <f t="shared" si="38"/>
        <v>Бухгалтерский учет, внутренний контроль и аудит (Вуз-партнёр – Кыргызский национальный университет им. Ж. Баласагына)</v>
      </c>
      <c r="N818" s="89" t="s">
        <v>301</v>
      </c>
    </row>
    <row r="819" spans="1:14" customFormat="1" ht="30" hidden="1" customHeight="1" x14ac:dyDescent="0.25">
      <c r="A819" s="62" t="s">
        <v>2074</v>
      </c>
      <c r="B819" s="84" t="s">
        <v>433</v>
      </c>
      <c r="C819" s="85" t="s">
        <v>295</v>
      </c>
      <c r="D819" s="85" t="s">
        <v>296</v>
      </c>
      <c r="E819" s="84" t="s">
        <v>330</v>
      </c>
      <c r="F819" s="86" t="s">
        <v>331</v>
      </c>
      <c r="G819" s="87" t="s">
        <v>434</v>
      </c>
      <c r="H819" s="87" t="s">
        <v>2069</v>
      </c>
      <c r="I819" s="87" t="s">
        <v>1952</v>
      </c>
      <c r="J819" s="87" t="s">
        <v>2015</v>
      </c>
      <c r="K819" s="88" t="str">
        <f t="shared" si="36"/>
        <v>Д</v>
      </c>
      <c r="L819" s="88" t="str">
        <f t="shared" si="37"/>
        <v>М</v>
      </c>
      <c r="M819" s="89" t="str">
        <f t="shared" si="38"/>
        <v>Бухгалтерский учет, внутренний контроль и аудит (Вуз-партнёр – Таджикский национальный университет)</v>
      </c>
      <c r="N819" s="89" t="s">
        <v>301</v>
      </c>
    </row>
    <row r="820" spans="1:14" customFormat="1" ht="30" hidden="1" customHeight="1" x14ac:dyDescent="0.25">
      <c r="A820" s="62" t="s">
        <v>2075</v>
      </c>
      <c r="B820" s="84" t="s">
        <v>433</v>
      </c>
      <c r="C820" s="85" t="s">
        <v>295</v>
      </c>
      <c r="D820" s="85" t="s">
        <v>304</v>
      </c>
      <c r="E820" s="84" t="s">
        <v>330</v>
      </c>
      <c r="F820" s="86" t="s">
        <v>331</v>
      </c>
      <c r="G820" s="87" t="s">
        <v>434</v>
      </c>
      <c r="H820" s="87" t="s">
        <v>2076</v>
      </c>
      <c r="I820" s="87"/>
      <c r="J820" s="87" t="s">
        <v>2015</v>
      </c>
      <c r="K820" s="88" t="str">
        <f t="shared" si="36"/>
        <v>Д</v>
      </c>
      <c r="L820" s="88" t="str">
        <f t="shared" si="37"/>
        <v>М</v>
      </c>
      <c r="M820" s="89" t="str">
        <f t="shared" si="38"/>
        <v>Международный бизнес [язык реализации –Английский]</v>
      </c>
      <c r="N820" s="89" t="s">
        <v>301</v>
      </c>
    </row>
    <row r="821" spans="1:14" customFormat="1" ht="30" hidden="1" customHeight="1" x14ac:dyDescent="0.25">
      <c r="A821" s="62" t="s">
        <v>2077</v>
      </c>
      <c r="B821" s="84" t="s">
        <v>433</v>
      </c>
      <c r="C821" s="85" t="s">
        <v>295</v>
      </c>
      <c r="D821" s="85" t="s">
        <v>2078</v>
      </c>
      <c r="E821" s="84" t="s">
        <v>330</v>
      </c>
      <c r="F821" s="86" t="s">
        <v>331</v>
      </c>
      <c r="G821" s="87" t="s">
        <v>434</v>
      </c>
      <c r="H821" s="87" t="s">
        <v>2079</v>
      </c>
      <c r="I821" s="87"/>
      <c r="J821" s="87" t="s">
        <v>2015</v>
      </c>
      <c r="K821" s="88" t="str">
        <f t="shared" si="36"/>
        <v>Д</v>
      </c>
      <c r="L821" s="88" t="str">
        <f t="shared" si="37"/>
        <v>М</v>
      </c>
      <c r="M821" s="89" t="str">
        <f t="shared" si="38"/>
        <v>Современные исследования Латинской Америки [язык реализации –Испанский]</v>
      </c>
      <c r="N821" s="89" t="s">
        <v>301</v>
      </c>
    </row>
    <row r="822" spans="1:14" customFormat="1" ht="30" hidden="1" customHeight="1" x14ac:dyDescent="0.25">
      <c r="A822" s="62" t="s">
        <v>2080</v>
      </c>
      <c r="B822" s="84" t="s">
        <v>433</v>
      </c>
      <c r="C822" s="85" t="s">
        <v>295</v>
      </c>
      <c r="D822" s="85" t="s">
        <v>296</v>
      </c>
      <c r="E822" s="84" t="s">
        <v>330</v>
      </c>
      <c r="F822" s="86" t="s">
        <v>331</v>
      </c>
      <c r="G822" s="87" t="s">
        <v>434</v>
      </c>
      <c r="H822" s="87" t="s">
        <v>2081</v>
      </c>
      <c r="I822" s="87" t="s">
        <v>514</v>
      </c>
      <c r="J822" s="87" t="s">
        <v>2015</v>
      </c>
      <c r="K822" s="88" t="str">
        <f t="shared" si="36"/>
        <v>Д</v>
      </c>
      <c r="L822" s="88" t="str">
        <f t="shared" si="37"/>
        <v>М</v>
      </c>
      <c r="M822" s="89" t="str">
        <f t="shared" si="38"/>
        <v>Международная логистика (Вуз-партнёр – Евразийский национальный университет имени Л. Н. Гумилёва)</v>
      </c>
      <c r="N822" s="89" t="s">
        <v>301</v>
      </c>
    </row>
    <row r="823" spans="1:14" customFormat="1" ht="30" hidden="1" customHeight="1" x14ac:dyDescent="0.25">
      <c r="A823" s="62" t="s">
        <v>2082</v>
      </c>
      <c r="B823" s="84" t="s">
        <v>433</v>
      </c>
      <c r="C823" s="85" t="s">
        <v>295</v>
      </c>
      <c r="D823" s="85" t="s">
        <v>296</v>
      </c>
      <c r="E823" s="84" t="s">
        <v>330</v>
      </c>
      <c r="F823" s="86" t="s">
        <v>331</v>
      </c>
      <c r="G823" s="87" t="s">
        <v>434</v>
      </c>
      <c r="H823" s="87" t="s">
        <v>2081</v>
      </c>
      <c r="I823" s="87"/>
      <c r="J823" s="87" t="s">
        <v>2015</v>
      </c>
      <c r="K823" s="88" t="str">
        <f t="shared" si="36"/>
        <v>Д</v>
      </c>
      <c r="L823" s="88" t="str">
        <f t="shared" si="37"/>
        <v>М</v>
      </c>
      <c r="M823" s="89" t="str">
        <f t="shared" si="38"/>
        <v>Международная логистика</v>
      </c>
      <c r="N823" s="89" t="s">
        <v>301</v>
      </c>
    </row>
    <row r="824" spans="1:14" customFormat="1" ht="30" hidden="1" customHeight="1" x14ac:dyDescent="0.25">
      <c r="A824" s="62" t="s">
        <v>2083</v>
      </c>
      <c r="B824" s="84" t="s">
        <v>433</v>
      </c>
      <c r="C824" s="85" t="s">
        <v>295</v>
      </c>
      <c r="D824" s="85" t="s">
        <v>296</v>
      </c>
      <c r="E824" s="84" t="s">
        <v>330</v>
      </c>
      <c r="F824" s="86" t="s">
        <v>331</v>
      </c>
      <c r="G824" s="87" t="s">
        <v>434</v>
      </c>
      <c r="H824" s="87" t="s">
        <v>2081</v>
      </c>
      <c r="I824" s="87" t="s">
        <v>516</v>
      </c>
      <c r="J824" s="87" t="s">
        <v>2015</v>
      </c>
      <c r="K824" s="88" t="str">
        <f t="shared" si="36"/>
        <v>Д</v>
      </c>
      <c r="L824" s="88" t="str">
        <f t="shared" si="37"/>
        <v>М</v>
      </c>
      <c r="M824" s="89" t="str">
        <f t="shared" si="38"/>
        <v>Международная логистика (Вуз-партнёр – Казахский национальный университет им. Аль-Фараби)</v>
      </c>
      <c r="N824" s="89" t="s">
        <v>301</v>
      </c>
    </row>
    <row r="825" spans="1:14" customFormat="1" ht="30" hidden="1" customHeight="1" x14ac:dyDescent="0.25">
      <c r="A825" s="62" t="s">
        <v>2084</v>
      </c>
      <c r="B825" s="84" t="s">
        <v>433</v>
      </c>
      <c r="C825" s="85" t="s">
        <v>295</v>
      </c>
      <c r="D825" s="85" t="s">
        <v>296</v>
      </c>
      <c r="E825" s="84" t="s">
        <v>330</v>
      </c>
      <c r="F825" s="86" t="s">
        <v>331</v>
      </c>
      <c r="G825" s="87" t="s">
        <v>434</v>
      </c>
      <c r="H825" s="87" t="s">
        <v>2085</v>
      </c>
      <c r="I825" s="87"/>
      <c r="J825" s="87" t="s">
        <v>2015</v>
      </c>
      <c r="K825" s="88" t="str">
        <f t="shared" si="36"/>
        <v>Д</v>
      </c>
      <c r="L825" s="88" t="str">
        <f t="shared" si="37"/>
        <v>М</v>
      </c>
      <c r="M825" s="89" t="str">
        <f t="shared" si="38"/>
        <v>Корпоративная экономика и управление бизнесом</v>
      </c>
      <c r="N825" s="89" t="s">
        <v>301</v>
      </c>
    </row>
    <row r="826" spans="1:14" customFormat="1" ht="30" hidden="1" customHeight="1" x14ac:dyDescent="0.25">
      <c r="A826" s="62" t="s">
        <v>2086</v>
      </c>
      <c r="B826" s="84" t="s">
        <v>433</v>
      </c>
      <c r="C826" s="85" t="s">
        <v>295</v>
      </c>
      <c r="D826" s="85" t="s">
        <v>296</v>
      </c>
      <c r="E826" s="84" t="s">
        <v>330</v>
      </c>
      <c r="F826" s="86" t="s">
        <v>331</v>
      </c>
      <c r="G826" s="87" t="s">
        <v>434</v>
      </c>
      <c r="H826" s="87" t="s">
        <v>2087</v>
      </c>
      <c r="I826" s="87"/>
      <c r="J826" s="87" t="s">
        <v>2015</v>
      </c>
      <c r="K826" s="88" t="str">
        <f t="shared" si="36"/>
        <v>Д</v>
      </c>
      <c r="L826" s="88" t="str">
        <f t="shared" si="37"/>
        <v>ЦМ</v>
      </c>
      <c r="M826" s="89" t="str">
        <f t="shared" si="38"/>
        <v>Управление на основе анализа данных и бизнес-аналитика</v>
      </c>
      <c r="N826" s="89" t="s">
        <v>484</v>
      </c>
    </row>
    <row r="827" spans="1:14" customFormat="1" ht="30" hidden="1" customHeight="1" x14ac:dyDescent="0.25">
      <c r="A827" s="62" t="s">
        <v>2088</v>
      </c>
      <c r="B827" s="84" t="s">
        <v>488</v>
      </c>
      <c r="C827" s="85" t="s">
        <v>295</v>
      </c>
      <c r="D827" s="85" t="s">
        <v>296</v>
      </c>
      <c r="E827" s="84" t="s">
        <v>330</v>
      </c>
      <c r="F827" s="86" t="s">
        <v>331</v>
      </c>
      <c r="G827" s="87" t="s">
        <v>449</v>
      </c>
      <c r="H827" s="87" t="s">
        <v>1027</v>
      </c>
      <c r="I827" s="87" t="s">
        <v>2050</v>
      </c>
      <c r="J827" s="87" t="s">
        <v>2015</v>
      </c>
      <c r="K827" s="88" t="str">
        <f t="shared" si="36"/>
        <v>Д</v>
      </c>
      <c r="L827" s="88" t="str">
        <f t="shared" si="37"/>
        <v>М</v>
      </c>
      <c r="M827" s="89" t="str">
        <f t="shared" si="38"/>
        <v>Международный менеджмент (Вуз-партнёр – Дипломатическая академия Министерства иностранных дел Кыргызской Республики им. К. Дикамбаева)</v>
      </c>
      <c r="N827" s="89" t="s">
        <v>301</v>
      </c>
    </row>
    <row r="828" spans="1:14" customFormat="1" ht="30" hidden="1" customHeight="1" x14ac:dyDescent="0.25">
      <c r="A828" s="62" t="s">
        <v>2089</v>
      </c>
      <c r="B828" s="84" t="s">
        <v>488</v>
      </c>
      <c r="C828" s="85" t="s">
        <v>295</v>
      </c>
      <c r="D828" s="85" t="s">
        <v>296</v>
      </c>
      <c r="E828" s="84" t="s">
        <v>330</v>
      </c>
      <c r="F828" s="86" t="s">
        <v>331</v>
      </c>
      <c r="G828" s="87" t="s">
        <v>449</v>
      </c>
      <c r="H828" s="87" t="s">
        <v>1027</v>
      </c>
      <c r="I828" s="87" t="s">
        <v>1167</v>
      </c>
      <c r="J828" s="87" t="s">
        <v>2015</v>
      </c>
      <c r="K828" s="88" t="str">
        <f t="shared" si="36"/>
        <v>Д</v>
      </c>
      <c r="L828" s="88" t="str">
        <f t="shared" si="37"/>
        <v>М</v>
      </c>
      <c r="M828" s="89" t="str">
        <f t="shared" si="38"/>
        <v>Международный менеджмент (Вуз-партнёр – Евразийский национальный университет им. Л.Н. Гумилева)</v>
      </c>
      <c r="N828" s="89" t="s">
        <v>301</v>
      </c>
    </row>
    <row r="829" spans="1:14" customFormat="1" ht="30" hidden="1" customHeight="1" x14ac:dyDescent="0.25">
      <c r="A829" s="62" t="s">
        <v>2090</v>
      </c>
      <c r="B829" s="84" t="s">
        <v>488</v>
      </c>
      <c r="C829" s="85" t="s">
        <v>295</v>
      </c>
      <c r="D829" s="85" t="s">
        <v>296</v>
      </c>
      <c r="E829" s="84" t="s">
        <v>330</v>
      </c>
      <c r="F829" s="86" t="s">
        <v>331</v>
      </c>
      <c r="G829" s="87" t="s">
        <v>449</v>
      </c>
      <c r="H829" s="87" t="s">
        <v>1027</v>
      </c>
      <c r="I829" s="87" t="s">
        <v>516</v>
      </c>
      <c r="J829" s="87" t="s">
        <v>2015</v>
      </c>
      <c r="K829" s="88" t="str">
        <f t="shared" si="36"/>
        <v>Д</v>
      </c>
      <c r="L829" s="88" t="str">
        <f t="shared" si="37"/>
        <v>М</v>
      </c>
      <c r="M829" s="89" t="str">
        <f t="shared" si="38"/>
        <v>Международный менеджмент (Вуз-партнёр – Казахский национальный университет им. Аль-Фараби)</v>
      </c>
      <c r="N829" s="89" t="s">
        <v>301</v>
      </c>
    </row>
    <row r="830" spans="1:14" customFormat="1" ht="30" hidden="1" customHeight="1" x14ac:dyDescent="0.25">
      <c r="A830" s="62" t="s">
        <v>2091</v>
      </c>
      <c r="B830" s="84" t="s">
        <v>488</v>
      </c>
      <c r="C830" s="85" t="s">
        <v>295</v>
      </c>
      <c r="D830" s="85" t="s">
        <v>296</v>
      </c>
      <c r="E830" s="84" t="s">
        <v>330</v>
      </c>
      <c r="F830" s="86" t="s">
        <v>331</v>
      </c>
      <c r="G830" s="87" t="s">
        <v>449</v>
      </c>
      <c r="H830" s="87" t="s">
        <v>1027</v>
      </c>
      <c r="I830" s="87" t="s">
        <v>518</v>
      </c>
      <c r="J830" s="87" t="s">
        <v>2015</v>
      </c>
      <c r="K830" s="88" t="str">
        <f t="shared" si="36"/>
        <v>Д</v>
      </c>
      <c r="L830" s="88" t="str">
        <f t="shared" si="37"/>
        <v>М</v>
      </c>
      <c r="M830" s="89" t="str">
        <f t="shared" si="38"/>
        <v>Международный менеджмент (Вуз-партнёр – Кыргызский национальный университет им. Ж. Баласагына)</v>
      </c>
      <c r="N830" s="89" t="s">
        <v>301</v>
      </c>
    </row>
    <row r="831" spans="1:14" customFormat="1" ht="30" hidden="1" customHeight="1" x14ac:dyDescent="0.25">
      <c r="A831" s="62" t="s">
        <v>2092</v>
      </c>
      <c r="B831" s="84" t="s">
        <v>488</v>
      </c>
      <c r="C831" s="85" t="s">
        <v>295</v>
      </c>
      <c r="D831" s="85" t="s">
        <v>296</v>
      </c>
      <c r="E831" s="84" t="s">
        <v>330</v>
      </c>
      <c r="F831" s="86" t="s">
        <v>331</v>
      </c>
      <c r="G831" s="87" t="s">
        <v>449</v>
      </c>
      <c r="H831" s="87" t="s">
        <v>1027</v>
      </c>
      <c r="I831" s="87" t="s">
        <v>512</v>
      </c>
      <c r="J831" s="87" t="s">
        <v>2015</v>
      </c>
      <c r="K831" s="88" t="str">
        <f t="shared" si="36"/>
        <v>Д</v>
      </c>
      <c r="L831" s="88" t="str">
        <f t="shared" si="37"/>
        <v>М</v>
      </c>
      <c r="M831" s="89" t="str">
        <f t="shared" si="38"/>
        <v>Международный менеджмент (Вуз-партнёр – Южно-Казахстанский государственный университет им. М.Ауэзова)</v>
      </c>
      <c r="N831" s="89" t="s">
        <v>301</v>
      </c>
    </row>
    <row r="832" spans="1:14" customFormat="1" ht="30" hidden="1" customHeight="1" x14ac:dyDescent="0.25">
      <c r="A832" s="62" t="s">
        <v>2093</v>
      </c>
      <c r="B832" s="84" t="s">
        <v>488</v>
      </c>
      <c r="C832" s="85" t="s">
        <v>295</v>
      </c>
      <c r="D832" s="85" t="s">
        <v>296</v>
      </c>
      <c r="E832" s="84" t="s">
        <v>330</v>
      </c>
      <c r="F832" s="86" t="s">
        <v>331</v>
      </c>
      <c r="G832" s="87" t="s">
        <v>449</v>
      </c>
      <c r="H832" s="87" t="s">
        <v>1027</v>
      </c>
      <c r="I832" s="87" t="s">
        <v>1956</v>
      </c>
      <c r="J832" s="87" t="s">
        <v>2015</v>
      </c>
      <c r="K832" s="88" t="str">
        <f t="shared" si="36"/>
        <v>Д</v>
      </c>
      <c r="L832" s="88" t="str">
        <f t="shared" si="37"/>
        <v>М</v>
      </c>
      <c r="M832" s="89" t="str">
        <f t="shared" si="38"/>
        <v>Международный менеджмент (Вуз-партнёр – Донецкий национальный университет)</v>
      </c>
      <c r="N832" s="89" t="s">
        <v>301</v>
      </c>
    </row>
    <row r="833" spans="1:14" customFormat="1" ht="30" hidden="1" customHeight="1" x14ac:dyDescent="0.25">
      <c r="A833" s="62" t="s">
        <v>2094</v>
      </c>
      <c r="B833" s="84" t="s">
        <v>488</v>
      </c>
      <c r="C833" s="85" t="s">
        <v>295</v>
      </c>
      <c r="D833" s="85" t="s">
        <v>296</v>
      </c>
      <c r="E833" s="84" t="s">
        <v>330</v>
      </c>
      <c r="F833" s="86" t="s">
        <v>331</v>
      </c>
      <c r="G833" s="87" t="s">
        <v>449</v>
      </c>
      <c r="H833" s="87" t="s">
        <v>1027</v>
      </c>
      <c r="I833" s="87" t="s">
        <v>1076</v>
      </c>
      <c r="J833" s="87" t="s">
        <v>2015</v>
      </c>
      <c r="K833" s="88" t="str">
        <f t="shared" si="36"/>
        <v>Д</v>
      </c>
      <c r="L833" s="88" t="str">
        <f t="shared" si="37"/>
        <v>М</v>
      </c>
      <c r="M833" s="89" t="str">
        <f t="shared" si="38"/>
        <v>Международный менеджмент (Вуз-партнёр – Кыргызско-Российский (Славянский) Университет)</v>
      </c>
      <c r="N833" s="89" t="s">
        <v>301</v>
      </c>
    </row>
    <row r="834" spans="1:14" customFormat="1" ht="30" hidden="1" customHeight="1" x14ac:dyDescent="0.25">
      <c r="A834" s="62" t="s">
        <v>2095</v>
      </c>
      <c r="B834" s="84" t="s">
        <v>488</v>
      </c>
      <c r="C834" s="85" t="s">
        <v>295</v>
      </c>
      <c r="D834" s="85" t="s">
        <v>296</v>
      </c>
      <c r="E834" s="84" t="s">
        <v>330</v>
      </c>
      <c r="F834" s="86" t="s">
        <v>331</v>
      </c>
      <c r="G834" s="87" t="s">
        <v>449</v>
      </c>
      <c r="H834" s="87" t="s">
        <v>1027</v>
      </c>
      <c r="I834" s="87"/>
      <c r="J834" s="87" t="s">
        <v>2015</v>
      </c>
      <c r="K834" s="88" t="str">
        <f t="shared" si="36"/>
        <v>Д</v>
      </c>
      <c r="L834" s="88" t="str">
        <f t="shared" si="37"/>
        <v>М</v>
      </c>
      <c r="M834" s="89" t="str">
        <f t="shared" si="38"/>
        <v>Международный менеджмент</v>
      </c>
      <c r="N834" s="89" t="s">
        <v>301</v>
      </c>
    </row>
    <row r="835" spans="1:14" customFormat="1" ht="30" hidden="1" customHeight="1" x14ac:dyDescent="0.25">
      <c r="A835" s="62" t="s">
        <v>2096</v>
      </c>
      <c r="B835" s="84" t="s">
        <v>488</v>
      </c>
      <c r="C835" s="85" t="s">
        <v>295</v>
      </c>
      <c r="D835" s="85" t="s">
        <v>296</v>
      </c>
      <c r="E835" s="84" t="s">
        <v>330</v>
      </c>
      <c r="F835" s="86" t="s">
        <v>331</v>
      </c>
      <c r="G835" s="87" t="s">
        <v>449</v>
      </c>
      <c r="H835" s="87" t="s">
        <v>1027</v>
      </c>
      <c r="I835" s="87" t="s">
        <v>1954</v>
      </c>
      <c r="J835" s="87" t="s">
        <v>2015</v>
      </c>
      <c r="K835" s="88" t="str">
        <f t="shared" ref="K835:K898" si="39">IF(C835="очная","Д",IF(C835="Очно-заочная","В",IF(C835="Заочная","З","-")))</f>
        <v>Д</v>
      </c>
      <c r="L835" s="88" t="str">
        <f t="shared" ref="L835:L898" si="40">IF(N835="да","ЦМ",LEFT(F835,1))</f>
        <v>М</v>
      </c>
      <c r="M835" s="89" t="str">
        <f t="shared" ref="M835:M898" si="41">CONCATENATE(H835,IF(I835&gt;0,CONCATENATE(" (Вуз-партнёр – ",I835,")"),IF(D835=$D$3,"",CONCATENATE(" [язык реализации –",D835,"]"))))</f>
        <v>Международный менеджмент (Вуз-партнёр – Днепропетровский национальный университет им. О. Гончара)</v>
      </c>
      <c r="N835" s="89" t="s">
        <v>301</v>
      </c>
    </row>
    <row r="836" spans="1:14" customFormat="1" ht="30" hidden="1" customHeight="1" x14ac:dyDescent="0.25">
      <c r="A836" s="62" t="s">
        <v>2097</v>
      </c>
      <c r="B836" s="84" t="s">
        <v>488</v>
      </c>
      <c r="C836" s="85" t="s">
        <v>295</v>
      </c>
      <c r="D836" s="85" t="s">
        <v>304</v>
      </c>
      <c r="E836" s="84" t="s">
        <v>330</v>
      </c>
      <c r="F836" s="86" t="s">
        <v>331</v>
      </c>
      <c r="G836" s="87" t="s">
        <v>449</v>
      </c>
      <c r="H836" s="87" t="s">
        <v>2098</v>
      </c>
      <c r="I836" s="87" t="s">
        <v>2099</v>
      </c>
      <c r="J836" s="87" t="s">
        <v>2015</v>
      </c>
      <c r="K836" s="88" t="str">
        <f t="shared" si="39"/>
        <v>Д</v>
      </c>
      <c r="L836" s="88" t="str">
        <f t="shared" si="40"/>
        <v>М</v>
      </c>
      <c r="M836" s="89" t="str">
        <f t="shared" si="41"/>
        <v>Международный маркетинг и бизнес (Вуз-партнёр – Федеральный университет Минас-Жерайс)</v>
      </c>
      <c r="N836" s="89" t="s">
        <v>301</v>
      </c>
    </row>
    <row r="837" spans="1:14" customFormat="1" ht="30" hidden="1" customHeight="1" x14ac:dyDescent="0.25">
      <c r="A837" s="62" t="s">
        <v>2100</v>
      </c>
      <c r="B837" s="84" t="s">
        <v>488</v>
      </c>
      <c r="C837" s="85" t="s">
        <v>295</v>
      </c>
      <c r="D837" s="85" t="s">
        <v>304</v>
      </c>
      <c r="E837" s="84" t="s">
        <v>330</v>
      </c>
      <c r="F837" s="86" t="s">
        <v>331</v>
      </c>
      <c r="G837" s="87" t="s">
        <v>449</v>
      </c>
      <c r="H837" s="87" t="s">
        <v>2101</v>
      </c>
      <c r="I837" s="87" t="s">
        <v>2102</v>
      </c>
      <c r="J837" s="87" t="s">
        <v>2015</v>
      </c>
      <c r="K837" s="88" t="str">
        <f t="shared" si="39"/>
        <v>Д</v>
      </c>
      <c r="L837" s="88" t="str">
        <f t="shared" si="40"/>
        <v>М</v>
      </c>
      <c r="M837" s="89" t="str">
        <f t="shared" si="41"/>
        <v>Международный маркетинг - менеджмент (Вуз-партнёр – Федеральный университет Флуминенсе)</v>
      </c>
      <c r="N837" s="89" t="s">
        <v>301</v>
      </c>
    </row>
    <row r="838" spans="1:14" customFormat="1" ht="30" hidden="1" customHeight="1" x14ac:dyDescent="0.25">
      <c r="A838" s="62" t="s">
        <v>2103</v>
      </c>
      <c r="B838" s="84" t="s">
        <v>488</v>
      </c>
      <c r="C838" s="85" t="s">
        <v>295</v>
      </c>
      <c r="D838" s="85" t="s">
        <v>304</v>
      </c>
      <c r="E838" s="84" t="s">
        <v>330</v>
      </c>
      <c r="F838" s="86" t="s">
        <v>331</v>
      </c>
      <c r="G838" s="87" t="s">
        <v>449</v>
      </c>
      <c r="H838" s="87" t="s">
        <v>2104</v>
      </c>
      <c r="I838" s="87"/>
      <c r="J838" s="87" t="s">
        <v>2015</v>
      </c>
      <c r="K838" s="88" t="str">
        <f t="shared" si="39"/>
        <v>Д</v>
      </c>
      <c r="L838" s="88" t="str">
        <f t="shared" si="40"/>
        <v>М</v>
      </c>
      <c r="M838" s="89" t="str">
        <f t="shared" si="41"/>
        <v>Международный маркетинг [язык реализации –Английский]</v>
      </c>
      <c r="N838" s="89" t="s">
        <v>301</v>
      </c>
    </row>
    <row r="839" spans="1:14" customFormat="1" ht="30" hidden="1" customHeight="1" x14ac:dyDescent="0.25">
      <c r="A839" s="62" t="s">
        <v>2105</v>
      </c>
      <c r="B839" s="84" t="s">
        <v>488</v>
      </c>
      <c r="C839" s="85" t="s">
        <v>295</v>
      </c>
      <c r="D839" s="85" t="s">
        <v>296</v>
      </c>
      <c r="E839" s="84" t="s">
        <v>330</v>
      </c>
      <c r="F839" s="86" t="s">
        <v>331</v>
      </c>
      <c r="G839" s="87" t="s">
        <v>449</v>
      </c>
      <c r="H839" s="87" t="s">
        <v>2104</v>
      </c>
      <c r="I839" s="87" t="s">
        <v>518</v>
      </c>
      <c r="J839" s="87" t="s">
        <v>2015</v>
      </c>
      <c r="K839" s="88" t="str">
        <f t="shared" si="39"/>
        <v>Д</v>
      </c>
      <c r="L839" s="88" t="str">
        <f t="shared" si="40"/>
        <v>М</v>
      </c>
      <c r="M839" s="89" t="str">
        <f t="shared" si="41"/>
        <v>Международный маркетинг (Вуз-партнёр – Кыргызский национальный университет им. Ж. Баласагына)</v>
      </c>
      <c r="N839" s="89" t="s">
        <v>301</v>
      </c>
    </row>
    <row r="840" spans="1:14" customFormat="1" ht="30" hidden="1" customHeight="1" x14ac:dyDescent="0.25">
      <c r="A840" s="62" t="s">
        <v>2106</v>
      </c>
      <c r="B840" s="84" t="s">
        <v>488</v>
      </c>
      <c r="C840" s="85" t="s">
        <v>295</v>
      </c>
      <c r="D840" s="85" t="s">
        <v>296</v>
      </c>
      <c r="E840" s="84" t="s">
        <v>330</v>
      </c>
      <c r="F840" s="86" t="s">
        <v>331</v>
      </c>
      <c r="G840" s="87" t="s">
        <v>449</v>
      </c>
      <c r="H840" s="87" t="s">
        <v>2104</v>
      </c>
      <c r="I840" s="87" t="s">
        <v>2024</v>
      </c>
      <c r="J840" s="87" t="s">
        <v>2015</v>
      </c>
      <c r="K840" s="88" t="str">
        <f t="shared" si="39"/>
        <v>Д</v>
      </c>
      <c r="L840" s="88" t="str">
        <f t="shared" si="40"/>
        <v>М</v>
      </c>
      <c r="M840" s="89" t="str">
        <f t="shared" si="41"/>
        <v>Международный маркетинг (Вуз-партнёр – Хэнаньский университет экономики и права)</v>
      </c>
      <c r="N840" s="89" t="s">
        <v>301</v>
      </c>
    </row>
    <row r="841" spans="1:14" customFormat="1" ht="30" hidden="1" customHeight="1" x14ac:dyDescent="0.25">
      <c r="A841" s="62" t="s">
        <v>2107</v>
      </c>
      <c r="B841" s="84" t="s">
        <v>488</v>
      </c>
      <c r="C841" s="85" t="s">
        <v>295</v>
      </c>
      <c r="D841" s="85" t="s">
        <v>296</v>
      </c>
      <c r="E841" s="84" t="s">
        <v>330</v>
      </c>
      <c r="F841" s="86" t="s">
        <v>331</v>
      </c>
      <c r="G841" s="87" t="s">
        <v>449</v>
      </c>
      <c r="H841" s="87" t="s">
        <v>2104</v>
      </c>
      <c r="I841" s="87"/>
      <c r="J841" s="87" t="s">
        <v>2015</v>
      </c>
      <c r="K841" s="88" t="str">
        <f t="shared" si="39"/>
        <v>Д</v>
      </c>
      <c r="L841" s="88" t="str">
        <f t="shared" si="40"/>
        <v>М</v>
      </c>
      <c r="M841" s="89" t="str">
        <f t="shared" si="41"/>
        <v>Международный маркетинг</v>
      </c>
      <c r="N841" s="89" t="s">
        <v>301</v>
      </c>
    </row>
    <row r="842" spans="1:14" customFormat="1" ht="30" hidden="1" customHeight="1" x14ac:dyDescent="0.25">
      <c r="A842" s="62" t="s">
        <v>2108</v>
      </c>
      <c r="B842" s="84" t="s">
        <v>488</v>
      </c>
      <c r="C842" s="85" t="s">
        <v>295</v>
      </c>
      <c r="D842" s="85" t="s">
        <v>296</v>
      </c>
      <c r="E842" s="84" t="s">
        <v>330</v>
      </c>
      <c r="F842" s="86" t="s">
        <v>331</v>
      </c>
      <c r="G842" s="87" t="s">
        <v>449</v>
      </c>
      <c r="H842" s="87" t="s">
        <v>2104</v>
      </c>
      <c r="I842" s="87" t="s">
        <v>516</v>
      </c>
      <c r="J842" s="87" t="s">
        <v>2015</v>
      </c>
      <c r="K842" s="88" t="str">
        <f t="shared" si="39"/>
        <v>Д</v>
      </c>
      <c r="L842" s="88" t="str">
        <f t="shared" si="40"/>
        <v>М</v>
      </c>
      <c r="M842" s="89" t="str">
        <f t="shared" si="41"/>
        <v>Международный маркетинг (Вуз-партнёр – Казахский национальный университет им. Аль-Фараби)</v>
      </c>
      <c r="N842" s="89" t="s">
        <v>301</v>
      </c>
    </row>
    <row r="843" spans="1:14" customFormat="1" ht="30" hidden="1" customHeight="1" x14ac:dyDescent="0.25">
      <c r="A843" s="62" t="s">
        <v>2109</v>
      </c>
      <c r="B843" s="84" t="s">
        <v>488</v>
      </c>
      <c r="C843" s="85" t="s">
        <v>295</v>
      </c>
      <c r="D843" s="85" t="s">
        <v>296</v>
      </c>
      <c r="E843" s="84" t="s">
        <v>330</v>
      </c>
      <c r="F843" s="86" t="s">
        <v>331</v>
      </c>
      <c r="G843" s="87" t="s">
        <v>449</v>
      </c>
      <c r="H843" s="87" t="s">
        <v>2110</v>
      </c>
      <c r="I843" s="87" t="s">
        <v>2050</v>
      </c>
      <c r="J843" s="87" t="s">
        <v>2015</v>
      </c>
      <c r="K843" s="88" t="str">
        <f t="shared" si="39"/>
        <v>Д</v>
      </c>
      <c r="L843" s="88" t="str">
        <f t="shared" si="40"/>
        <v>М</v>
      </c>
      <c r="M843" s="89" t="str">
        <f t="shared" si="41"/>
        <v>Управление международными проектами (Вуз-партнёр – Дипломатическая академия Министерства иностранных дел Кыргызской Республики им. К. Дикамбаева)</v>
      </c>
      <c r="N843" s="89" t="s">
        <v>301</v>
      </c>
    </row>
    <row r="844" spans="1:14" customFormat="1" ht="30" hidden="1" customHeight="1" x14ac:dyDescent="0.25">
      <c r="A844" s="62" t="s">
        <v>2111</v>
      </c>
      <c r="B844" s="84" t="s">
        <v>488</v>
      </c>
      <c r="C844" s="85" t="s">
        <v>295</v>
      </c>
      <c r="D844" s="85" t="s">
        <v>296</v>
      </c>
      <c r="E844" s="84" t="s">
        <v>330</v>
      </c>
      <c r="F844" s="86" t="s">
        <v>331</v>
      </c>
      <c r="G844" s="87" t="s">
        <v>449</v>
      </c>
      <c r="H844" s="87" t="s">
        <v>2110</v>
      </c>
      <c r="I844" s="87" t="s">
        <v>1167</v>
      </c>
      <c r="J844" s="87" t="s">
        <v>2015</v>
      </c>
      <c r="K844" s="88" t="str">
        <f t="shared" si="39"/>
        <v>Д</v>
      </c>
      <c r="L844" s="88" t="str">
        <f t="shared" si="40"/>
        <v>М</v>
      </c>
      <c r="M844" s="89" t="str">
        <f t="shared" si="41"/>
        <v>Управление международными проектами (Вуз-партнёр – Евразийский национальный университет им. Л.Н. Гумилева)</v>
      </c>
      <c r="N844" s="89" t="s">
        <v>301</v>
      </c>
    </row>
    <row r="845" spans="1:14" customFormat="1" ht="30" hidden="1" customHeight="1" x14ac:dyDescent="0.25">
      <c r="A845" s="62" t="s">
        <v>2112</v>
      </c>
      <c r="B845" s="84" t="s">
        <v>488</v>
      </c>
      <c r="C845" s="85" t="s">
        <v>295</v>
      </c>
      <c r="D845" s="85" t="s">
        <v>296</v>
      </c>
      <c r="E845" s="84" t="s">
        <v>330</v>
      </c>
      <c r="F845" s="86" t="s">
        <v>331</v>
      </c>
      <c r="G845" s="87" t="s">
        <v>449</v>
      </c>
      <c r="H845" s="87" t="s">
        <v>2110</v>
      </c>
      <c r="I845" s="87" t="s">
        <v>516</v>
      </c>
      <c r="J845" s="87" t="s">
        <v>2015</v>
      </c>
      <c r="K845" s="88" t="str">
        <f t="shared" si="39"/>
        <v>Д</v>
      </c>
      <c r="L845" s="88" t="str">
        <f t="shared" si="40"/>
        <v>М</v>
      </c>
      <c r="M845" s="89" t="str">
        <f t="shared" si="41"/>
        <v>Управление международными проектами (Вуз-партнёр – Казахский национальный университет им. Аль-Фараби)</v>
      </c>
      <c r="N845" s="89" t="s">
        <v>301</v>
      </c>
    </row>
    <row r="846" spans="1:14" customFormat="1" ht="30" hidden="1" customHeight="1" x14ac:dyDescent="0.25">
      <c r="A846" s="62" t="s">
        <v>2113</v>
      </c>
      <c r="B846" s="84" t="s">
        <v>488</v>
      </c>
      <c r="C846" s="85" t="s">
        <v>295</v>
      </c>
      <c r="D846" s="85" t="s">
        <v>296</v>
      </c>
      <c r="E846" s="84" t="s">
        <v>330</v>
      </c>
      <c r="F846" s="86" t="s">
        <v>331</v>
      </c>
      <c r="G846" s="87" t="s">
        <v>449</v>
      </c>
      <c r="H846" s="87" t="s">
        <v>2110</v>
      </c>
      <c r="I846" s="87" t="s">
        <v>518</v>
      </c>
      <c r="J846" s="87" t="s">
        <v>2015</v>
      </c>
      <c r="K846" s="88" t="str">
        <f t="shared" si="39"/>
        <v>Д</v>
      </c>
      <c r="L846" s="88" t="str">
        <f t="shared" si="40"/>
        <v>М</v>
      </c>
      <c r="M846" s="89" t="str">
        <f t="shared" si="41"/>
        <v>Управление международными проектами (Вуз-партнёр – Кыргызский национальный университет им. Ж. Баласагына)</v>
      </c>
      <c r="N846" s="89" t="s">
        <v>301</v>
      </c>
    </row>
    <row r="847" spans="1:14" customFormat="1" ht="30" hidden="1" customHeight="1" x14ac:dyDescent="0.25">
      <c r="A847" s="62" t="s">
        <v>2114</v>
      </c>
      <c r="B847" s="84" t="s">
        <v>488</v>
      </c>
      <c r="C847" s="85" t="s">
        <v>295</v>
      </c>
      <c r="D847" s="85" t="s">
        <v>296</v>
      </c>
      <c r="E847" s="84" t="s">
        <v>330</v>
      </c>
      <c r="F847" s="86" t="s">
        <v>331</v>
      </c>
      <c r="G847" s="87" t="s">
        <v>449</v>
      </c>
      <c r="H847" s="87" t="s">
        <v>2110</v>
      </c>
      <c r="I847" s="87" t="s">
        <v>1079</v>
      </c>
      <c r="J847" s="87" t="s">
        <v>2015</v>
      </c>
      <c r="K847" s="88" t="str">
        <f t="shared" si="39"/>
        <v>Д</v>
      </c>
      <c r="L847" s="88" t="str">
        <f t="shared" si="40"/>
        <v>М</v>
      </c>
      <c r="M847" s="89" t="str">
        <f t="shared" si="41"/>
        <v>Управление международными проектами (Вуз-партнёр – Российско-Таджикский (Славянский) университет)</v>
      </c>
      <c r="N847" s="89" t="s">
        <v>301</v>
      </c>
    </row>
    <row r="848" spans="1:14" customFormat="1" ht="30" hidden="1" customHeight="1" x14ac:dyDescent="0.25">
      <c r="A848" s="62" t="s">
        <v>2115</v>
      </c>
      <c r="B848" s="84" t="s">
        <v>488</v>
      </c>
      <c r="C848" s="85" t="s">
        <v>295</v>
      </c>
      <c r="D848" s="85" t="s">
        <v>296</v>
      </c>
      <c r="E848" s="84" t="s">
        <v>330</v>
      </c>
      <c r="F848" s="86" t="s">
        <v>331</v>
      </c>
      <c r="G848" s="87" t="s">
        <v>449</v>
      </c>
      <c r="H848" s="87" t="s">
        <v>2110</v>
      </c>
      <c r="I848" s="87" t="s">
        <v>1949</v>
      </c>
      <c r="J848" s="87" t="s">
        <v>2015</v>
      </c>
      <c r="K848" s="88" t="str">
        <f t="shared" si="39"/>
        <v>Д</v>
      </c>
      <c r="L848" s="88" t="str">
        <f t="shared" si="40"/>
        <v>М</v>
      </c>
      <c r="M848" s="89" t="str">
        <f t="shared" si="41"/>
        <v>Управление международными проектами (Вуз-партнёр – Славянский университет)</v>
      </c>
      <c r="N848" s="89" t="s">
        <v>301</v>
      </c>
    </row>
    <row r="849" spans="1:14" customFormat="1" ht="30" hidden="1" customHeight="1" x14ac:dyDescent="0.25">
      <c r="A849" s="62" t="s">
        <v>2116</v>
      </c>
      <c r="B849" s="84" t="s">
        <v>488</v>
      </c>
      <c r="C849" s="85" t="s">
        <v>295</v>
      </c>
      <c r="D849" s="85" t="s">
        <v>296</v>
      </c>
      <c r="E849" s="84" t="s">
        <v>330</v>
      </c>
      <c r="F849" s="86" t="s">
        <v>331</v>
      </c>
      <c r="G849" s="87" t="s">
        <v>449</v>
      </c>
      <c r="H849" s="87" t="s">
        <v>2110</v>
      </c>
      <c r="I849" s="87" t="s">
        <v>1954</v>
      </c>
      <c r="J849" s="87" t="s">
        <v>2015</v>
      </c>
      <c r="K849" s="88" t="str">
        <f t="shared" si="39"/>
        <v>Д</v>
      </c>
      <c r="L849" s="88" t="str">
        <f t="shared" si="40"/>
        <v>М</v>
      </c>
      <c r="M849" s="89" t="str">
        <f t="shared" si="41"/>
        <v>Управление международными проектами (Вуз-партнёр – Днепропетровский национальный университет им. О. Гончара)</v>
      </c>
      <c r="N849" s="89" t="s">
        <v>301</v>
      </c>
    </row>
    <row r="850" spans="1:14" customFormat="1" ht="30" hidden="1" customHeight="1" x14ac:dyDescent="0.25">
      <c r="A850" s="62" t="s">
        <v>2117</v>
      </c>
      <c r="B850" s="84" t="s">
        <v>488</v>
      </c>
      <c r="C850" s="85" t="s">
        <v>295</v>
      </c>
      <c r="D850" s="85" t="s">
        <v>296</v>
      </c>
      <c r="E850" s="84" t="s">
        <v>330</v>
      </c>
      <c r="F850" s="86" t="s">
        <v>331</v>
      </c>
      <c r="G850" s="87" t="s">
        <v>449</v>
      </c>
      <c r="H850" s="87" t="s">
        <v>2110</v>
      </c>
      <c r="I850" s="87" t="s">
        <v>1956</v>
      </c>
      <c r="J850" s="87" t="s">
        <v>2015</v>
      </c>
      <c r="K850" s="88" t="str">
        <f t="shared" si="39"/>
        <v>Д</v>
      </c>
      <c r="L850" s="88" t="str">
        <f t="shared" si="40"/>
        <v>М</v>
      </c>
      <c r="M850" s="89" t="str">
        <f t="shared" si="41"/>
        <v>Управление международными проектами (Вуз-партнёр – Донецкий национальный университет)</v>
      </c>
      <c r="N850" s="89" t="s">
        <v>301</v>
      </c>
    </row>
    <row r="851" spans="1:14" customFormat="1" ht="30" hidden="1" customHeight="1" x14ac:dyDescent="0.25">
      <c r="A851" s="62" t="s">
        <v>2118</v>
      </c>
      <c r="B851" s="84" t="s">
        <v>488</v>
      </c>
      <c r="C851" s="85" t="s">
        <v>295</v>
      </c>
      <c r="D851" s="85" t="s">
        <v>296</v>
      </c>
      <c r="E851" s="84" t="s">
        <v>330</v>
      </c>
      <c r="F851" s="86" t="s">
        <v>331</v>
      </c>
      <c r="G851" s="87" t="s">
        <v>449</v>
      </c>
      <c r="H851" s="87" t="s">
        <v>2110</v>
      </c>
      <c r="I851" s="87"/>
      <c r="J851" s="87" t="s">
        <v>2015</v>
      </c>
      <c r="K851" s="88" t="str">
        <f t="shared" si="39"/>
        <v>Д</v>
      </c>
      <c r="L851" s="88" t="str">
        <f t="shared" si="40"/>
        <v>М</v>
      </c>
      <c r="M851" s="89" t="str">
        <f t="shared" si="41"/>
        <v>Управление международными проектами</v>
      </c>
      <c r="N851" s="89" t="s">
        <v>301</v>
      </c>
    </row>
    <row r="852" spans="1:14" customFormat="1" ht="30" hidden="1" customHeight="1" x14ac:dyDescent="0.25">
      <c r="A852" s="62" t="s">
        <v>2119</v>
      </c>
      <c r="B852" s="84" t="s">
        <v>488</v>
      </c>
      <c r="C852" s="85" t="s">
        <v>295</v>
      </c>
      <c r="D852" s="85" t="s">
        <v>296</v>
      </c>
      <c r="E852" s="84" t="s">
        <v>330</v>
      </c>
      <c r="F852" s="86" t="s">
        <v>331</v>
      </c>
      <c r="G852" s="87" t="s">
        <v>449</v>
      </c>
      <c r="H852" s="87" t="s">
        <v>2110</v>
      </c>
      <c r="I852" s="87" t="s">
        <v>2064</v>
      </c>
      <c r="J852" s="87" t="s">
        <v>2015</v>
      </c>
      <c r="K852" s="88" t="str">
        <f t="shared" si="39"/>
        <v>Д</v>
      </c>
      <c r="L852" s="88" t="str">
        <f t="shared" si="40"/>
        <v>М</v>
      </c>
      <c r="M852" s="89" t="str">
        <f t="shared" si="41"/>
        <v>Управление международными проектами (Вуз-партнёр – Национальный университет наук, технологий и менеджмента)</v>
      </c>
      <c r="N852" s="89" t="s">
        <v>301</v>
      </c>
    </row>
    <row r="853" spans="1:14" customFormat="1" ht="30" hidden="1" customHeight="1" x14ac:dyDescent="0.25">
      <c r="A853" s="62" t="s">
        <v>2120</v>
      </c>
      <c r="B853" s="84" t="s">
        <v>488</v>
      </c>
      <c r="C853" s="85" t="s">
        <v>295</v>
      </c>
      <c r="D853" s="85" t="s">
        <v>296</v>
      </c>
      <c r="E853" s="84" t="s">
        <v>330</v>
      </c>
      <c r="F853" s="86" t="s">
        <v>331</v>
      </c>
      <c r="G853" s="87" t="s">
        <v>449</v>
      </c>
      <c r="H853" s="87" t="s">
        <v>2110</v>
      </c>
      <c r="I853" s="87" t="s">
        <v>512</v>
      </c>
      <c r="J853" s="87" t="s">
        <v>2015</v>
      </c>
      <c r="K853" s="88" t="str">
        <f t="shared" si="39"/>
        <v>Д</v>
      </c>
      <c r="L853" s="88" t="str">
        <f t="shared" si="40"/>
        <v>М</v>
      </c>
      <c r="M853" s="89" t="str">
        <f t="shared" si="41"/>
        <v>Управление международными проектами (Вуз-партнёр – Южно-Казахстанский государственный университет им. М.Ауэзова)</v>
      </c>
      <c r="N853" s="89" t="s">
        <v>301</v>
      </c>
    </row>
    <row r="854" spans="1:14" customFormat="1" ht="30" hidden="1" customHeight="1" x14ac:dyDescent="0.25">
      <c r="A854" s="62" t="s">
        <v>2121</v>
      </c>
      <c r="B854" s="84" t="s">
        <v>488</v>
      </c>
      <c r="C854" s="85" t="s">
        <v>295</v>
      </c>
      <c r="D854" s="85" t="s">
        <v>296</v>
      </c>
      <c r="E854" s="84" t="s">
        <v>330</v>
      </c>
      <c r="F854" s="86" t="s">
        <v>331</v>
      </c>
      <c r="G854" s="87" t="s">
        <v>449</v>
      </c>
      <c r="H854" s="87" t="s">
        <v>2087</v>
      </c>
      <c r="I854" s="87"/>
      <c r="J854" s="87" t="s">
        <v>2015</v>
      </c>
      <c r="K854" s="88" t="str">
        <f t="shared" si="39"/>
        <v>Д</v>
      </c>
      <c r="L854" s="88" t="str">
        <f t="shared" si="40"/>
        <v>ЦМ</v>
      </c>
      <c r="M854" s="89" t="str">
        <f t="shared" si="41"/>
        <v>Управление на основе анализа данных и бизнес-аналитика</v>
      </c>
      <c r="N854" s="89" t="s">
        <v>484</v>
      </c>
    </row>
    <row r="855" spans="1:14" customFormat="1" ht="30" hidden="1" customHeight="1" x14ac:dyDescent="0.25">
      <c r="A855" s="62" t="s">
        <v>2122</v>
      </c>
      <c r="B855" s="84" t="s">
        <v>2123</v>
      </c>
      <c r="C855" s="85" t="s">
        <v>295</v>
      </c>
      <c r="D855" s="85" t="s">
        <v>296</v>
      </c>
      <c r="E855" s="84" t="s">
        <v>330</v>
      </c>
      <c r="F855" s="86" t="s">
        <v>331</v>
      </c>
      <c r="G855" s="87" t="s">
        <v>2124</v>
      </c>
      <c r="H855" s="87" t="s">
        <v>2125</v>
      </c>
      <c r="I855" s="87"/>
      <c r="J855" s="87" t="s">
        <v>2015</v>
      </c>
      <c r="K855" s="88" t="str">
        <f t="shared" si="39"/>
        <v>Д</v>
      </c>
      <c r="L855" s="88" t="str">
        <f t="shared" si="40"/>
        <v>М</v>
      </c>
      <c r="M855" s="89" t="str">
        <f t="shared" si="41"/>
        <v>Управление персоналом в кросс-культурной среде</v>
      </c>
      <c r="N855" s="89" t="s">
        <v>301</v>
      </c>
    </row>
    <row r="856" spans="1:14" customFormat="1" ht="30" hidden="1" customHeight="1" x14ac:dyDescent="0.25">
      <c r="A856" s="62" t="s">
        <v>2126</v>
      </c>
      <c r="B856" s="84" t="s">
        <v>2127</v>
      </c>
      <c r="C856" s="85" t="s">
        <v>295</v>
      </c>
      <c r="D856" s="85" t="s">
        <v>296</v>
      </c>
      <c r="E856" s="84" t="s">
        <v>330</v>
      </c>
      <c r="F856" s="86" t="s">
        <v>331</v>
      </c>
      <c r="G856" s="87" t="s">
        <v>2023</v>
      </c>
      <c r="H856" s="87" t="s">
        <v>2128</v>
      </c>
      <c r="I856" s="87"/>
      <c r="J856" s="87" t="s">
        <v>2015</v>
      </c>
      <c r="K856" s="88" t="str">
        <f t="shared" si="39"/>
        <v>Д</v>
      </c>
      <c r="L856" s="88" t="str">
        <f t="shared" si="40"/>
        <v>М</v>
      </c>
      <c r="M856" s="89" t="str">
        <f t="shared" si="41"/>
        <v>Современные финансовые технологии в инвестировании и банковском бизнесе</v>
      </c>
      <c r="N856" s="89" t="s">
        <v>301</v>
      </c>
    </row>
    <row r="857" spans="1:14" customFormat="1" ht="30" hidden="1" customHeight="1" x14ac:dyDescent="0.25">
      <c r="A857" s="62" t="s">
        <v>2129</v>
      </c>
      <c r="B857" s="84" t="s">
        <v>2127</v>
      </c>
      <c r="C857" s="85" t="s">
        <v>295</v>
      </c>
      <c r="D857" s="85" t="s">
        <v>296</v>
      </c>
      <c r="E857" s="84" t="s">
        <v>330</v>
      </c>
      <c r="F857" s="86" t="s">
        <v>331</v>
      </c>
      <c r="G857" s="87" t="s">
        <v>2023</v>
      </c>
      <c r="H857" s="87" t="s">
        <v>2130</v>
      </c>
      <c r="I857" s="87"/>
      <c r="J857" s="87" t="s">
        <v>2015</v>
      </c>
      <c r="K857" s="88" t="str">
        <f t="shared" si="39"/>
        <v>Д</v>
      </c>
      <c r="L857" s="88" t="str">
        <f t="shared" si="40"/>
        <v>М</v>
      </c>
      <c r="M857" s="89" t="str">
        <f t="shared" si="41"/>
        <v>Финансовые рынки и инвестиции</v>
      </c>
      <c r="N857" s="89" t="s">
        <v>301</v>
      </c>
    </row>
    <row r="858" spans="1:14" customFormat="1" ht="30" hidden="1" customHeight="1" x14ac:dyDescent="0.25">
      <c r="A858" s="62" t="s">
        <v>2131</v>
      </c>
      <c r="B858" s="84" t="s">
        <v>2132</v>
      </c>
      <c r="C858" s="85" t="s">
        <v>295</v>
      </c>
      <c r="D858" s="85" t="s">
        <v>296</v>
      </c>
      <c r="E858" s="84" t="s">
        <v>393</v>
      </c>
      <c r="F858" s="86" t="s">
        <v>368</v>
      </c>
      <c r="G858" s="87" t="s">
        <v>2133</v>
      </c>
      <c r="H858" s="87" t="s">
        <v>2133</v>
      </c>
      <c r="I858" s="87"/>
      <c r="J858" s="87" t="s">
        <v>2015</v>
      </c>
      <c r="K858" s="88" t="str">
        <f t="shared" si="39"/>
        <v>Д</v>
      </c>
      <c r="L858" s="88" t="str">
        <f t="shared" si="40"/>
        <v>А</v>
      </c>
      <c r="M858" s="89" t="str">
        <f t="shared" si="41"/>
        <v>Экономическая теория</v>
      </c>
      <c r="N858" s="89" t="s">
        <v>301</v>
      </c>
    </row>
    <row r="859" spans="1:14" customFormat="1" ht="30" hidden="1" customHeight="1" x14ac:dyDescent="0.25">
      <c r="A859" s="62" t="s">
        <v>2134</v>
      </c>
      <c r="B859" s="84" t="s">
        <v>528</v>
      </c>
      <c r="C859" s="85" t="s">
        <v>295</v>
      </c>
      <c r="D859" s="85" t="s">
        <v>304</v>
      </c>
      <c r="E859" s="84" t="s">
        <v>393</v>
      </c>
      <c r="F859" s="86" t="s">
        <v>368</v>
      </c>
      <c r="G859" s="87" t="s">
        <v>529</v>
      </c>
      <c r="H859" s="87" t="s">
        <v>529</v>
      </c>
      <c r="I859" s="87"/>
      <c r="J859" s="87" t="s">
        <v>2015</v>
      </c>
      <c r="K859" s="88" t="str">
        <f t="shared" si="39"/>
        <v>Д</v>
      </c>
      <c r="L859" s="88" t="str">
        <f t="shared" si="40"/>
        <v>А</v>
      </c>
      <c r="M859" s="89" t="str">
        <f t="shared" si="41"/>
        <v>Региональная и отраслевая экономика [язык реализации –Английский]</v>
      </c>
      <c r="N859" s="89" t="s">
        <v>301</v>
      </c>
    </row>
    <row r="860" spans="1:14" customFormat="1" ht="30" hidden="1" customHeight="1" x14ac:dyDescent="0.25">
      <c r="A860" s="62" t="s">
        <v>2135</v>
      </c>
      <c r="B860" s="84" t="s">
        <v>528</v>
      </c>
      <c r="C860" s="85" t="s">
        <v>295</v>
      </c>
      <c r="D860" s="85" t="s">
        <v>296</v>
      </c>
      <c r="E860" s="84" t="s">
        <v>393</v>
      </c>
      <c r="F860" s="86" t="s">
        <v>368</v>
      </c>
      <c r="G860" s="87" t="s">
        <v>529</v>
      </c>
      <c r="H860" s="87" t="s">
        <v>529</v>
      </c>
      <c r="I860" s="87"/>
      <c r="J860" s="87" t="s">
        <v>2015</v>
      </c>
      <c r="K860" s="88" t="str">
        <f t="shared" si="39"/>
        <v>Д</v>
      </c>
      <c r="L860" s="88" t="str">
        <f t="shared" si="40"/>
        <v>А</v>
      </c>
      <c r="M860" s="89" t="str">
        <f t="shared" si="41"/>
        <v>Региональная и отраслевая экономика</v>
      </c>
      <c r="N860" s="89" t="s">
        <v>301</v>
      </c>
    </row>
    <row r="861" spans="1:14" customFormat="1" ht="30" hidden="1" customHeight="1" x14ac:dyDescent="0.25">
      <c r="A861" s="62" t="s">
        <v>2136</v>
      </c>
      <c r="B861" s="84" t="s">
        <v>2137</v>
      </c>
      <c r="C861" s="85" t="s">
        <v>295</v>
      </c>
      <c r="D861" s="85" t="s">
        <v>304</v>
      </c>
      <c r="E861" s="84" t="s">
        <v>393</v>
      </c>
      <c r="F861" s="86" t="s">
        <v>368</v>
      </c>
      <c r="G861" s="87" t="s">
        <v>2138</v>
      </c>
      <c r="H861" s="87" t="s">
        <v>2139</v>
      </c>
      <c r="I861" s="87"/>
      <c r="J861" s="87" t="s">
        <v>2015</v>
      </c>
      <c r="K861" s="88" t="str">
        <f t="shared" si="39"/>
        <v>Д</v>
      </c>
      <c r="L861" s="88" t="str">
        <f t="shared" si="40"/>
        <v>А</v>
      </c>
      <c r="M861" s="89" t="str">
        <f t="shared" si="41"/>
        <v>Финансы, денежное обращение и кредит [язык реализации –Английский]</v>
      </c>
      <c r="N861" s="89" t="s">
        <v>301</v>
      </c>
    </row>
    <row r="862" spans="1:14" customFormat="1" ht="30" hidden="1" customHeight="1" x14ac:dyDescent="0.25">
      <c r="A862" s="62" t="s">
        <v>2140</v>
      </c>
      <c r="B862" s="84" t="s">
        <v>2137</v>
      </c>
      <c r="C862" s="85" t="s">
        <v>295</v>
      </c>
      <c r="D862" s="85" t="s">
        <v>296</v>
      </c>
      <c r="E862" s="84" t="s">
        <v>393</v>
      </c>
      <c r="F862" s="86" t="s">
        <v>368</v>
      </c>
      <c r="G862" s="87" t="s">
        <v>2138</v>
      </c>
      <c r="H862" s="87" t="s">
        <v>2139</v>
      </c>
      <c r="I862" s="87"/>
      <c r="J862" s="87" t="s">
        <v>2015</v>
      </c>
      <c r="K862" s="88" t="str">
        <f t="shared" si="39"/>
        <v>Д</v>
      </c>
      <c r="L862" s="88" t="str">
        <f t="shared" si="40"/>
        <v>А</v>
      </c>
      <c r="M862" s="89" t="str">
        <f t="shared" si="41"/>
        <v>Финансы, денежное обращение и кредит</v>
      </c>
      <c r="N862" s="89" t="s">
        <v>301</v>
      </c>
    </row>
    <row r="863" spans="1:14" customFormat="1" ht="30" hidden="1" customHeight="1" x14ac:dyDescent="0.25">
      <c r="A863" s="62" t="s">
        <v>2141</v>
      </c>
      <c r="B863" s="84" t="s">
        <v>2142</v>
      </c>
      <c r="C863" s="85" t="s">
        <v>295</v>
      </c>
      <c r="D863" s="85" t="s">
        <v>304</v>
      </c>
      <c r="E863" s="84" t="s">
        <v>393</v>
      </c>
      <c r="F863" s="86" t="s">
        <v>368</v>
      </c>
      <c r="G863" s="87" t="s">
        <v>1014</v>
      </c>
      <c r="H863" s="87" t="s">
        <v>1014</v>
      </c>
      <c r="I863" s="87"/>
      <c r="J863" s="87" t="s">
        <v>2015</v>
      </c>
      <c r="K863" s="88" t="str">
        <f t="shared" si="39"/>
        <v>Д</v>
      </c>
      <c r="L863" s="88" t="str">
        <f t="shared" si="40"/>
        <v>А</v>
      </c>
      <c r="M863" s="89" t="str">
        <f t="shared" si="41"/>
        <v>Мировая экономика [язык реализации –Английский]</v>
      </c>
      <c r="N863" s="89" t="s">
        <v>301</v>
      </c>
    </row>
    <row r="864" spans="1:14" customFormat="1" ht="30" hidden="1" customHeight="1" x14ac:dyDescent="0.25">
      <c r="A864" s="62" t="s">
        <v>2143</v>
      </c>
      <c r="B864" s="84" t="s">
        <v>2142</v>
      </c>
      <c r="C864" s="85" t="s">
        <v>295</v>
      </c>
      <c r="D864" s="85" t="s">
        <v>296</v>
      </c>
      <c r="E864" s="84" t="s">
        <v>393</v>
      </c>
      <c r="F864" s="86" t="s">
        <v>368</v>
      </c>
      <c r="G864" s="87" t="s">
        <v>1014</v>
      </c>
      <c r="H864" s="87" t="s">
        <v>1014</v>
      </c>
      <c r="I864" s="87"/>
      <c r="J864" s="87" t="s">
        <v>2015</v>
      </c>
      <c r="K864" s="88" t="str">
        <f t="shared" si="39"/>
        <v>Д</v>
      </c>
      <c r="L864" s="88" t="str">
        <f t="shared" si="40"/>
        <v>А</v>
      </c>
      <c r="M864" s="89" t="str">
        <f t="shared" si="41"/>
        <v>Мировая экономика</v>
      </c>
      <c r="N864" s="89" t="s">
        <v>301</v>
      </c>
    </row>
    <row r="865" spans="1:14" customFormat="1" ht="30" hidden="1" customHeight="1" x14ac:dyDescent="0.25">
      <c r="A865" s="62" t="s">
        <v>2144</v>
      </c>
      <c r="B865" s="84" t="s">
        <v>535</v>
      </c>
      <c r="C865" s="85" t="s">
        <v>295</v>
      </c>
      <c r="D865" s="85" t="s">
        <v>296</v>
      </c>
      <c r="E865" s="84" t="s">
        <v>393</v>
      </c>
      <c r="F865" s="86" t="s">
        <v>368</v>
      </c>
      <c r="G865" s="87" t="s">
        <v>449</v>
      </c>
      <c r="H865" s="87" t="s">
        <v>449</v>
      </c>
      <c r="I865" s="87"/>
      <c r="J865" s="87" t="s">
        <v>2015</v>
      </c>
      <c r="K865" s="88" t="str">
        <f t="shared" si="39"/>
        <v>Д</v>
      </c>
      <c r="L865" s="88" t="str">
        <f t="shared" si="40"/>
        <v>А</v>
      </c>
      <c r="M865" s="89" t="str">
        <f t="shared" si="41"/>
        <v>Менеджмент</v>
      </c>
      <c r="N865" s="89" t="s">
        <v>301</v>
      </c>
    </row>
    <row r="866" spans="1:14" customFormat="1" ht="30" hidden="1" customHeight="1" x14ac:dyDescent="0.25">
      <c r="A866" s="62" t="s">
        <v>2145</v>
      </c>
      <c r="B866" s="84" t="s">
        <v>2012</v>
      </c>
      <c r="C866" s="85" t="s">
        <v>403</v>
      </c>
      <c r="D866" s="85" t="s">
        <v>296</v>
      </c>
      <c r="E866" s="84" t="s">
        <v>1240</v>
      </c>
      <c r="F866" s="86" t="s">
        <v>298</v>
      </c>
      <c r="G866" s="87" t="s">
        <v>2013</v>
      </c>
      <c r="H866" s="87" t="s">
        <v>2014</v>
      </c>
      <c r="I866" s="87"/>
      <c r="J866" s="87" t="s">
        <v>2015</v>
      </c>
      <c r="K866" s="88" t="str">
        <f t="shared" si="39"/>
        <v>В</v>
      </c>
      <c r="L866" s="88" t="str">
        <f t="shared" si="40"/>
        <v>С</v>
      </c>
      <c r="M866" s="89" t="str">
        <f t="shared" si="41"/>
        <v>Экономико-правовое обеспечение экономической безопасности</v>
      </c>
      <c r="N866" s="89" t="s">
        <v>301</v>
      </c>
    </row>
    <row r="867" spans="1:14" customFormat="1" ht="30" hidden="1" customHeight="1" x14ac:dyDescent="0.25">
      <c r="A867" s="62" t="s">
        <v>2146</v>
      </c>
      <c r="B867" s="84" t="s">
        <v>2017</v>
      </c>
      <c r="C867" s="85" t="s">
        <v>403</v>
      </c>
      <c r="D867" s="85" t="s">
        <v>296</v>
      </c>
      <c r="E867" s="84" t="s">
        <v>311</v>
      </c>
      <c r="F867" s="86" t="s">
        <v>312</v>
      </c>
      <c r="G867" s="87" t="s">
        <v>2018</v>
      </c>
      <c r="H867" s="87" t="s">
        <v>2019</v>
      </c>
      <c r="I867" s="87"/>
      <c r="J867" s="87" t="s">
        <v>2015</v>
      </c>
      <c r="K867" s="88" t="str">
        <f t="shared" si="39"/>
        <v>В</v>
      </c>
      <c r="L867" s="88" t="str">
        <f t="shared" si="40"/>
        <v>Б</v>
      </c>
      <c r="M867" s="89" t="str">
        <f t="shared" si="41"/>
        <v>Экономика и управление (УГСН)</v>
      </c>
      <c r="N867" s="89" t="s">
        <v>301</v>
      </c>
    </row>
    <row r="868" spans="1:14" customFormat="1" ht="30" hidden="1" customHeight="1" x14ac:dyDescent="0.25">
      <c r="A868" s="62" t="s">
        <v>2147</v>
      </c>
      <c r="B868" s="84" t="s">
        <v>1013</v>
      </c>
      <c r="C868" s="85" t="s">
        <v>403</v>
      </c>
      <c r="D868" s="85" t="s">
        <v>296</v>
      </c>
      <c r="E868" s="84" t="s">
        <v>297</v>
      </c>
      <c r="F868" s="86" t="s">
        <v>312</v>
      </c>
      <c r="G868" s="87" t="s">
        <v>434</v>
      </c>
      <c r="H868" s="87" t="s">
        <v>2023</v>
      </c>
      <c r="I868" s="87"/>
      <c r="J868" s="87" t="s">
        <v>2015</v>
      </c>
      <c r="K868" s="88" t="str">
        <f t="shared" si="39"/>
        <v>В</v>
      </c>
      <c r="L868" s="88" t="str">
        <f t="shared" si="40"/>
        <v>Б</v>
      </c>
      <c r="M868" s="89" t="str">
        <f t="shared" si="41"/>
        <v>Финансы и кредит</v>
      </c>
      <c r="N868" s="89" t="s">
        <v>301</v>
      </c>
    </row>
    <row r="869" spans="1:14" customFormat="1" ht="30" hidden="1" customHeight="1" x14ac:dyDescent="0.25">
      <c r="A869" s="62" t="s">
        <v>2148</v>
      </c>
      <c r="B869" s="84" t="s">
        <v>1013</v>
      </c>
      <c r="C869" s="85" t="s">
        <v>403</v>
      </c>
      <c r="D869" s="85" t="s">
        <v>296</v>
      </c>
      <c r="E869" s="84" t="s">
        <v>297</v>
      </c>
      <c r="F869" s="86" t="s">
        <v>312</v>
      </c>
      <c r="G869" s="87" t="s">
        <v>434</v>
      </c>
      <c r="H869" s="87" t="s">
        <v>2033</v>
      </c>
      <c r="I869" s="87"/>
      <c r="J869" s="87" t="s">
        <v>2015</v>
      </c>
      <c r="K869" s="88" t="str">
        <f t="shared" si="39"/>
        <v>В</v>
      </c>
      <c r="L869" s="88" t="str">
        <f t="shared" si="40"/>
        <v>Б</v>
      </c>
      <c r="M869" s="89" t="str">
        <f t="shared" si="41"/>
        <v>Экономика предприятия и предпринимательство</v>
      </c>
      <c r="N869" s="89" t="s">
        <v>301</v>
      </c>
    </row>
    <row r="870" spans="1:14" customFormat="1" ht="30" hidden="1" customHeight="1" x14ac:dyDescent="0.25">
      <c r="A870" s="62" t="s">
        <v>2149</v>
      </c>
      <c r="B870" s="84" t="s">
        <v>1013</v>
      </c>
      <c r="C870" s="85" t="s">
        <v>403</v>
      </c>
      <c r="D870" s="85" t="s">
        <v>296</v>
      </c>
      <c r="E870" s="84" t="s">
        <v>297</v>
      </c>
      <c r="F870" s="86" t="s">
        <v>312</v>
      </c>
      <c r="G870" s="87" t="s">
        <v>434</v>
      </c>
      <c r="H870" s="87" t="s">
        <v>2150</v>
      </c>
      <c r="I870" s="87"/>
      <c r="J870" s="87" t="s">
        <v>2015</v>
      </c>
      <c r="K870" s="88" t="str">
        <f t="shared" si="39"/>
        <v>В</v>
      </c>
      <c r="L870" s="88" t="str">
        <f t="shared" si="40"/>
        <v>Б</v>
      </c>
      <c r="M870" s="89" t="str">
        <f t="shared" si="41"/>
        <v>Общий профиль</v>
      </c>
      <c r="N870" s="89" t="s">
        <v>301</v>
      </c>
    </row>
    <row r="871" spans="1:14" customFormat="1" ht="30" hidden="1" customHeight="1" x14ac:dyDescent="0.25">
      <c r="A871" s="62" t="s">
        <v>2151</v>
      </c>
      <c r="B871" s="84" t="s">
        <v>448</v>
      </c>
      <c r="C871" s="85" t="s">
        <v>403</v>
      </c>
      <c r="D871" s="85" t="s">
        <v>296</v>
      </c>
      <c r="E871" s="84" t="s">
        <v>297</v>
      </c>
      <c r="F871" s="86" t="s">
        <v>312</v>
      </c>
      <c r="G871" s="87" t="s">
        <v>449</v>
      </c>
      <c r="H871" s="87" t="s">
        <v>2037</v>
      </c>
      <c r="I871" s="87"/>
      <c r="J871" s="87" t="s">
        <v>2015</v>
      </c>
      <c r="K871" s="88" t="str">
        <f t="shared" si="39"/>
        <v>В</v>
      </c>
      <c r="L871" s="88" t="str">
        <f t="shared" si="40"/>
        <v>Б</v>
      </c>
      <c r="M871" s="89" t="str">
        <f t="shared" si="41"/>
        <v>Маркетинг</v>
      </c>
      <c r="N871" s="89" t="s">
        <v>301</v>
      </c>
    </row>
    <row r="872" spans="1:14" customFormat="1" ht="30" hidden="1" customHeight="1" x14ac:dyDescent="0.25">
      <c r="A872" s="62" t="s">
        <v>2152</v>
      </c>
      <c r="B872" s="84" t="s">
        <v>448</v>
      </c>
      <c r="C872" s="85" t="s">
        <v>403</v>
      </c>
      <c r="D872" s="85" t="s">
        <v>296</v>
      </c>
      <c r="E872" s="84" t="s">
        <v>297</v>
      </c>
      <c r="F872" s="86" t="s">
        <v>312</v>
      </c>
      <c r="G872" s="87" t="s">
        <v>449</v>
      </c>
      <c r="H872" s="87" t="s">
        <v>2042</v>
      </c>
      <c r="I872" s="87"/>
      <c r="J872" s="87" t="s">
        <v>2015</v>
      </c>
      <c r="K872" s="88" t="str">
        <f t="shared" si="39"/>
        <v>В</v>
      </c>
      <c r="L872" s="88" t="str">
        <f t="shared" si="40"/>
        <v>Б</v>
      </c>
      <c r="M872" s="89" t="str">
        <f t="shared" si="41"/>
        <v>Управление бизнесом</v>
      </c>
      <c r="N872" s="89" t="s">
        <v>301</v>
      </c>
    </row>
    <row r="873" spans="1:14" customFormat="1" ht="30" hidden="1" customHeight="1" x14ac:dyDescent="0.25">
      <c r="A873" s="62" t="s">
        <v>2153</v>
      </c>
      <c r="B873" s="84" t="s">
        <v>1029</v>
      </c>
      <c r="C873" s="85" t="s">
        <v>403</v>
      </c>
      <c r="D873" s="85" t="s">
        <v>296</v>
      </c>
      <c r="E873" s="84" t="s">
        <v>297</v>
      </c>
      <c r="F873" s="86" t="s">
        <v>312</v>
      </c>
      <c r="G873" s="87" t="s">
        <v>1030</v>
      </c>
      <c r="H873" s="87" t="s">
        <v>1031</v>
      </c>
      <c r="I873" s="87"/>
      <c r="J873" s="87" t="s">
        <v>2015</v>
      </c>
      <c r="K873" s="88" t="str">
        <f t="shared" si="39"/>
        <v>В</v>
      </c>
      <c r="L873" s="88" t="str">
        <f t="shared" si="40"/>
        <v>Б</v>
      </c>
      <c r="M873" s="89" t="str">
        <f t="shared" si="41"/>
        <v>Реклама</v>
      </c>
      <c r="N873" s="89" t="s">
        <v>301</v>
      </c>
    </row>
    <row r="874" spans="1:14" customFormat="1" ht="30" hidden="1" customHeight="1" x14ac:dyDescent="0.25">
      <c r="A874" s="62" t="s">
        <v>2154</v>
      </c>
      <c r="B874" s="84" t="s">
        <v>433</v>
      </c>
      <c r="C874" s="85" t="s">
        <v>403</v>
      </c>
      <c r="D874" s="85" t="s">
        <v>296</v>
      </c>
      <c r="E874" s="84" t="s">
        <v>413</v>
      </c>
      <c r="F874" s="86" t="s">
        <v>331</v>
      </c>
      <c r="G874" s="87" t="s">
        <v>434</v>
      </c>
      <c r="H874" s="87" t="s">
        <v>2155</v>
      </c>
      <c r="I874" s="87"/>
      <c r="J874" s="87" t="s">
        <v>2015</v>
      </c>
      <c r="K874" s="88" t="str">
        <f t="shared" si="39"/>
        <v>В</v>
      </c>
      <c r="L874" s="88" t="str">
        <f t="shared" si="40"/>
        <v>М</v>
      </c>
      <c r="M874" s="89" t="str">
        <f t="shared" si="41"/>
        <v>Smart-бизнес</v>
      </c>
      <c r="N874" s="89" t="s">
        <v>301</v>
      </c>
    </row>
    <row r="875" spans="1:14" customFormat="1" ht="30" hidden="1" customHeight="1" x14ac:dyDescent="0.25">
      <c r="A875" s="62" t="s">
        <v>2156</v>
      </c>
      <c r="B875" s="84" t="s">
        <v>433</v>
      </c>
      <c r="C875" s="85" t="s">
        <v>403</v>
      </c>
      <c r="D875" s="85" t="s">
        <v>296</v>
      </c>
      <c r="E875" s="84" t="s">
        <v>413</v>
      </c>
      <c r="F875" s="86" t="s">
        <v>331</v>
      </c>
      <c r="G875" s="87" t="s">
        <v>434</v>
      </c>
      <c r="H875" s="87" t="s">
        <v>2085</v>
      </c>
      <c r="I875" s="87"/>
      <c r="J875" s="87" t="s">
        <v>2015</v>
      </c>
      <c r="K875" s="88" t="str">
        <f t="shared" si="39"/>
        <v>В</v>
      </c>
      <c r="L875" s="88" t="str">
        <f t="shared" si="40"/>
        <v>М</v>
      </c>
      <c r="M875" s="89" t="str">
        <f t="shared" si="41"/>
        <v>Корпоративная экономика и управление бизнесом</v>
      </c>
      <c r="N875" s="89" t="s">
        <v>301</v>
      </c>
    </row>
    <row r="876" spans="1:14" customFormat="1" ht="30" hidden="1" customHeight="1" x14ac:dyDescent="0.25">
      <c r="A876" s="62" t="s">
        <v>2157</v>
      </c>
      <c r="B876" s="84" t="s">
        <v>488</v>
      </c>
      <c r="C876" s="85" t="s">
        <v>403</v>
      </c>
      <c r="D876" s="85" t="s">
        <v>296</v>
      </c>
      <c r="E876" s="84" t="s">
        <v>413</v>
      </c>
      <c r="F876" s="86" t="s">
        <v>331</v>
      </c>
      <c r="G876" s="87" t="s">
        <v>449</v>
      </c>
      <c r="H876" s="87" t="s">
        <v>2158</v>
      </c>
      <c r="I876" s="87"/>
      <c r="J876" s="87" t="s">
        <v>2015</v>
      </c>
      <c r="K876" s="88" t="str">
        <f t="shared" si="39"/>
        <v>В</v>
      </c>
      <c r="L876" s="88" t="str">
        <f t="shared" si="40"/>
        <v>М</v>
      </c>
      <c r="M876" s="89" t="str">
        <f t="shared" si="41"/>
        <v>Финансовый менеджмент</v>
      </c>
      <c r="N876" s="89" t="s">
        <v>301</v>
      </c>
    </row>
    <row r="877" spans="1:14" customFormat="1" ht="30" hidden="1" customHeight="1" x14ac:dyDescent="0.25">
      <c r="A877" s="62" t="s">
        <v>2159</v>
      </c>
      <c r="B877" s="84" t="s">
        <v>488</v>
      </c>
      <c r="C877" s="85" t="s">
        <v>403</v>
      </c>
      <c r="D877" s="85" t="s">
        <v>296</v>
      </c>
      <c r="E877" s="84" t="s">
        <v>413</v>
      </c>
      <c r="F877" s="86" t="s">
        <v>331</v>
      </c>
      <c r="G877" s="87" t="s">
        <v>449</v>
      </c>
      <c r="H877" s="87" t="s">
        <v>2160</v>
      </c>
      <c r="I877" s="87"/>
      <c r="J877" s="87" t="s">
        <v>2015</v>
      </c>
      <c r="K877" s="88" t="str">
        <f t="shared" si="39"/>
        <v>В</v>
      </c>
      <c r="L877" s="88" t="str">
        <f t="shared" si="40"/>
        <v>М</v>
      </c>
      <c r="M877" s="89" t="str">
        <f t="shared" si="41"/>
        <v>Современный маркетинг и управление продажами</v>
      </c>
      <c r="N877" s="89" t="s">
        <v>301</v>
      </c>
    </row>
    <row r="878" spans="1:14" customFormat="1" ht="30" hidden="1" customHeight="1" x14ac:dyDescent="0.25">
      <c r="A878" s="62" t="s">
        <v>2161</v>
      </c>
      <c r="B878" s="84" t="s">
        <v>2127</v>
      </c>
      <c r="C878" s="85" t="s">
        <v>403</v>
      </c>
      <c r="D878" s="85" t="s">
        <v>296</v>
      </c>
      <c r="E878" s="84" t="s">
        <v>413</v>
      </c>
      <c r="F878" s="86" t="s">
        <v>331</v>
      </c>
      <c r="G878" s="87" t="s">
        <v>2023</v>
      </c>
      <c r="H878" s="87" t="s">
        <v>2128</v>
      </c>
      <c r="I878" s="87"/>
      <c r="J878" s="87" t="s">
        <v>2015</v>
      </c>
      <c r="K878" s="88" t="str">
        <f t="shared" si="39"/>
        <v>В</v>
      </c>
      <c r="L878" s="88" t="str">
        <f t="shared" si="40"/>
        <v>М</v>
      </c>
      <c r="M878" s="89" t="str">
        <f t="shared" si="41"/>
        <v>Современные финансовые технологии в инвестировании и банковском бизнесе</v>
      </c>
      <c r="N878" s="89" t="s">
        <v>301</v>
      </c>
    </row>
    <row r="879" spans="1:14" customFormat="1" ht="30" hidden="1" customHeight="1" x14ac:dyDescent="0.25">
      <c r="A879" s="62" t="s">
        <v>2162</v>
      </c>
      <c r="B879" s="84" t="s">
        <v>2127</v>
      </c>
      <c r="C879" s="85" t="s">
        <v>403</v>
      </c>
      <c r="D879" s="85" t="s">
        <v>296</v>
      </c>
      <c r="E879" s="84" t="s">
        <v>413</v>
      </c>
      <c r="F879" s="86" t="s">
        <v>331</v>
      </c>
      <c r="G879" s="87" t="s">
        <v>2023</v>
      </c>
      <c r="H879" s="87" t="s">
        <v>2130</v>
      </c>
      <c r="I879" s="87"/>
      <c r="J879" s="87" t="s">
        <v>2015</v>
      </c>
      <c r="K879" s="88" t="str">
        <f t="shared" si="39"/>
        <v>В</v>
      </c>
      <c r="L879" s="88" t="str">
        <f t="shared" si="40"/>
        <v>М</v>
      </c>
      <c r="M879" s="89" t="str">
        <f t="shared" si="41"/>
        <v>Финансовые рынки и инвестиции</v>
      </c>
      <c r="N879" s="89" t="s">
        <v>301</v>
      </c>
    </row>
    <row r="880" spans="1:14" customFormat="1" ht="30" hidden="1" customHeight="1" x14ac:dyDescent="0.25">
      <c r="A880" s="62" t="s">
        <v>2163</v>
      </c>
      <c r="B880" s="84" t="s">
        <v>433</v>
      </c>
      <c r="C880" s="85" t="s">
        <v>419</v>
      </c>
      <c r="D880" s="85" t="s">
        <v>296</v>
      </c>
      <c r="E880" s="84" t="s">
        <v>413</v>
      </c>
      <c r="F880" s="86" t="s">
        <v>331</v>
      </c>
      <c r="G880" s="87" t="s">
        <v>434</v>
      </c>
      <c r="H880" s="87" t="s">
        <v>2155</v>
      </c>
      <c r="I880" s="87"/>
      <c r="J880" s="87" t="s">
        <v>2015</v>
      </c>
      <c r="K880" s="88" t="str">
        <f t="shared" si="39"/>
        <v>З</v>
      </c>
      <c r="L880" s="88" t="str">
        <f t="shared" si="40"/>
        <v>М</v>
      </c>
      <c r="M880" s="89" t="str">
        <f t="shared" si="41"/>
        <v>Smart-бизнес</v>
      </c>
      <c r="N880" s="89" t="s">
        <v>301</v>
      </c>
    </row>
    <row r="881" spans="1:14" customFormat="1" ht="30" hidden="1" customHeight="1" x14ac:dyDescent="0.25">
      <c r="A881" s="62" t="s">
        <v>2164</v>
      </c>
      <c r="B881" s="84" t="s">
        <v>433</v>
      </c>
      <c r="C881" s="85" t="s">
        <v>419</v>
      </c>
      <c r="D881" s="85" t="s">
        <v>296</v>
      </c>
      <c r="E881" s="84" t="s">
        <v>413</v>
      </c>
      <c r="F881" s="86" t="s">
        <v>331</v>
      </c>
      <c r="G881" s="87" t="s">
        <v>434</v>
      </c>
      <c r="H881" s="87" t="s">
        <v>2085</v>
      </c>
      <c r="I881" s="87"/>
      <c r="J881" s="87" t="s">
        <v>2015</v>
      </c>
      <c r="K881" s="88" t="str">
        <f t="shared" si="39"/>
        <v>З</v>
      </c>
      <c r="L881" s="88" t="str">
        <f t="shared" si="40"/>
        <v>М</v>
      </c>
      <c r="M881" s="89" t="str">
        <f t="shared" si="41"/>
        <v>Корпоративная экономика и управление бизнесом</v>
      </c>
      <c r="N881" s="89" t="s">
        <v>301</v>
      </c>
    </row>
    <row r="882" spans="1:14" customFormat="1" ht="30" hidden="1" customHeight="1" x14ac:dyDescent="0.25">
      <c r="A882" s="62" t="s">
        <v>2165</v>
      </c>
      <c r="B882" s="84" t="s">
        <v>2166</v>
      </c>
      <c r="C882" s="85" t="s">
        <v>295</v>
      </c>
      <c r="D882" s="85" t="s">
        <v>296</v>
      </c>
      <c r="E882" s="84" t="s">
        <v>311</v>
      </c>
      <c r="F882" s="86" t="s">
        <v>312</v>
      </c>
      <c r="G882" s="87" t="s">
        <v>2167</v>
      </c>
      <c r="H882" s="87" t="s">
        <v>2167</v>
      </c>
      <c r="I882" s="87"/>
      <c r="J882" s="87" t="s">
        <v>2168</v>
      </c>
      <c r="K882" s="88" t="str">
        <f t="shared" si="39"/>
        <v>Д</v>
      </c>
      <c r="L882" s="88" t="str">
        <f t="shared" si="40"/>
        <v>Б</v>
      </c>
      <c r="M882" s="89" t="str">
        <f t="shared" si="41"/>
        <v>Юриспруденция</v>
      </c>
      <c r="N882" s="89" t="s">
        <v>301</v>
      </c>
    </row>
    <row r="883" spans="1:14" customFormat="1" ht="30" hidden="1" customHeight="1" x14ac:dyDescent="0.25">
      <c r="A883" s="62" t="s">
        <v>2169</v>
      </c>
      <c r="B883" s="84" t="s">
        <v>2166</v>
      </c>
      <c r="C883" s="85" t="s">
        <v>295</v>
      </c>
      <c r="D883" s="85" t="s">
        <v>296</v>
      </c>
      <c r="E883" s="84" t="s">
        <v>311</v>
      </c>
      <c r="F883" s="86" t="s">
        <v>312</v>
      </c>
      <c r="G883" s="87" t="s">
        <v>2167</v>
      </c>
      <c r="H883" s="87" t="s">
        <v>2170</v>
      </c>
      <c r="I883" s="87"/>
      <c r="J883" s="87" t="s">
        <v>2168</v>
      </c>
      <c r="K883" s="88" t="str">
        <f t="shared" si="39"/>
        <v>Д</v>
      </c>
      <c r="L883" s="88" t="str">
        <f t="shared" si="40"/>
        <v>Б</v>
      </c>
      <c r="M883" s="89" t="str">
        <f t="shared" si="41"/>
        <v>Международное право</v>
      </c>
      <c r="N883" s="89" t="s">
        <v>301</v>
      </c>
    </row>
    <row r="884" spans="1:14" customFormat="1" ht="30" hidden="1" customHeight="1" x14ac:dyDescent="0.25">
      <c r="A884" s="62" t="s">
        <v>2171</v>
      </c>
      <c r="B884" s="84" t="s">
        <v>2166</v>
      </c>
      <c r="C884" s="85" t="s">
        <v>295</v>
      </c>
      <c r="D884" s="85" t="s">
        <v>304</v>
      </c>
      <c r="E884" s="84" t="s">
        <v>311</v>
      </c>
      <c r="F884" s="86" t="s">
        <v>312</v>
      </c>
      <c r="G884" s="87" t="s">
        <v>2167</v>
      </c>
      <c r="H884" s="87" t="s">
        <v>2172</v>
      </c>
      <c r="I884" s="87"/>
      <c r="J884" s="87" t="s">
        <v>2168</v>
      </c>
      <c r="K884" s="88" t="str">
        <f t="shared" si="39"/>
        <v>Д</v>
      </c>
      <c r="L884" s="88" t="str">
        <f t="shared" si="40"/>
        <v>Б</v>
      </c>
      <c r="M884" s="89" t="str">
        <f t="shared" si="41"/>
        <v>Бакалавр права [язык реализации –Английский]</v>
      </c>
      <c r="N884" s="89" t="s">
        <v>301</v>
      </c>
    </row>
    <row r="885" spans="1:14" customFormat="1" ht="30" hidden="1" customHeight="1" x14ac:dyDescent="0.25">
      <c r="A885" s="62" t="s">
        <v>2173</v>
      </c>
      <c r="B885" s="84" t="s">
        <v>2166</v>
      </c>
      <c r="C885" s="85" t="s">
        <v>295</v>
      </c>
      <c r="D885" s="85" t="s">
        <v>296</v>
      </c>
      <c r="E885" s="84" t="s">
        <v>311</v>
      </c>
      <c r="F885" s="86" t="s">
        <v>312</v>
      </c>
      <c r="G885" s="87" t="s">
        <v>2167</v>
      </c>
      <c r="H885" s="87" t="s">
        <v>2174</v>
      </c>
      <c r="I885" s="87"/>
      <c r="J885" s="87" t="s">
        <v>2168</v>
      </c>
      <c r="K885" s="88" t="str">
        <f t="shared" si="39"/>
        <v>Д</v>
      </c>
      <c r="L885" s="88" t="str">
        <f t="shared" si="40"/>
        <v>Б</v>
      </c>
      <c r="M885" s="89" t="str">
        <f t="shared" si="41"/>
        <v>Бакалавр права и политики</v>
      </c>
      <c r="N885" s="89" t="s">
        <v>301</v>
      </c>
    </row>
    <row r="886" spans="1:14" customFormat="1" ht="30" hidden="1" customHeight="1" x14ac:dyDescent="0.25">
      <c r="A886" s="62" t="s">
        <v>2175</v>
      </c>
      <c r="B886" s="84" t="s">
        <v>1629</v>
      </c>
      <c r="C886" s="85" t="s">
        <v>295</v>
      </c>
      <c r="D886" s="85" t="s">
        <v>296</v>
      </c>
      <c r="E886" s="84" t="s">
        <v>311</v>
      </c>
      <c r="F886" s="86" t="s">
        <v>312</v>
      </c>
      <c r="G886" s="87" t="s">
        <v>1630</v>
      </c>
      <c r="H886" s="87" t="s">
        <v>2174</v>
      </c>
      <c r="I886" s="87"/>
      <c r="J886" s="87" t="s">
        <v>2168</v>
      </c>
      <c r="K886" s="88" t="str">
        <f t="shared" si="39"/>
        <v>Д</v>
      </c>
      <c r="L886" s="88" t="str">
        <f t="shared" si="40"/>
        <v>Б</v>
      </c>
      <c r="M886" s="89" t="str">
        <f t="shared" si="41"/>
        <v>Бакалавр права и политики</v>
      </c>
      <c r="N886" s="89" t="s">
        <v>301</v>
      </c>
    </row>
    <row r="887" spans="1:14" customFormat="1" ht="30" hidden="1" customHeight="1" x14ac:dyDescent="0.25">
      <c r="A887" s="62" t="s">
        <v>2176</v>
      </c>
      <c r="B887" s="84" t="s">
        <v>2127</v>
      </c>
      <c r="C887" s="85" t="s">
        <v>295</v>
      </c>
      <c r="D887" s="85" t="s">
        <v>296</v>
      </c>
      <c r="E887" s="84" t="s">
        <v>330</v>
      </c>
      <c r="F887" s="86" t="s">
        <v>331</v>
      </c>
      <c r="G887" s="87" t="s">
        <v>2023</v>
      </c>
      <c r="H887" s="87" t="s">
        <v>2177</v>
      </c>
      <c r="I887" s="87"/>
      <c r="J887" s="87" t="s">
        <v>2168</v>
      </c>
      <c r="K887" s="88" t="str">
        <f t="shared" si="39"/>
        <v>Д</v>
      </c>
      <c r="L887" s="88" t="str">
        <f t="shared" si="40"/>
        <v>М</v>
      </c>
      <c r="M887" s="89" t="str">
        <f t="shared" si="41"/>
        <v>Обеспечение финансовой безопасности</v>
      </c>
      <c r="N887" s="89" t="s">
        <v>301</v>
      </c>
    </row>
    <row r="888" spans="1:14" customFormat="1" ht="30" hidden="1" customHeight="1" x14ac:dyDescent="0.25">
      <c r="A888" s="62" t="s">
        <v>2178</v>
      </c>
      <c r="B888" s="84" t="s">
        <v>2179</v>
      </c>
      <c r="C888" s="85" t="s">
        <v>295</v>
      </c>
      <c r="D888" s="85" t="s">
        <v>296</v>
      </c>
      <c r="E888" s="84" t="s">
        <v>330</v>
      </c>
      <c r="F888" s="86" t="s">
        <v>331</v>
      </c>
      <c r="G888" s="87" t="s">
        <v>2167</v>
      </c>
      <c r="H888" s="87" t="s">
        <v>2170</v>
      </c>
      <c r="I888" s="87" t="s">
        <v>2050</v>
      </c>
      <c r="J888" s="87" t="s">
        <v>2168</v>
      </c>
      <c r="K888" s="88" t="str">
        <f t="shared" si="39"/>
        <v>Д</v>
      </c>
      <c r="L888" s="88" t="str">
        <f t="shared" si="40"/>
        <v>М</v>
      </c>
      <c r="M888" s="89" t="str">
        <f t="shared" si="41"/>
        <v>Международное право (Вуз-партнёр – Дипломатическая академия Министерства иностранных дел Кыргызской Республики им. К. Дикамбаева)</v>
      </c>
      <c r="N888" s="89" t="s">
        <v>301</v>
      </c>
    </row>
    <row r="889" spans="1:14" customFormat="1" ht="30" hidden="1" customHeight="1" x14ac:dyDescent="0.25">
      <c r="A889" s="62" t="s">
        <v>2180</v>
      </c>
      <c r="B889" s="84" t="s">
        <v>2179</v>
      </c>
      <c r="C889" s="85" t="s">
        <v>295</v>
      </c>
      <c r="D889" s="85" t="s">
        <v>296</v>
      </c>
      <c r="E889" s="84" t="s">
        <v>330</v>
      </c>
      <c r="F889" s="86" t="s">
        <v>331</v>
      </c>
      <c r="G889" s="87" t="s">
        <v>2167</v>
      </c>
      <c r="H889" s="87" t="s">
        <v>2170</v>
      </c>
      <c r="I889" s="87" t="s">
        <v>1167</v>
      </c>
      <c r="J889" s="87" t="s">
        <v>2168</v>
      </c>
      <c r="K889" s="88" t="str">
        <f t="shared" si="39"/>
        <v>Д</v>
      </c>
      <c r="L889" s="88" t="str">
        <f t="shared" si="40"/>
        <v>М</v>
      </c>
      <c r="M889" s="89" t="str">
        <f t="shared" si="41"/>
        <v>Международное право (Вуз-партнёр – Евразийский национальный университет им. Л.Н. Гумилева)</v>
      </c>
      <c r="N889" s="89" t="s">
        <v>301</v>
      </c>
    </row>
    <row r="890" spans="1:14" customFormat="1" ht="30" hidden="1" customHeight="1" x14ac:dyDescent="0.25">
      <c r="A890" s="62" t="s">
        <v>2181</v>
      </c>
      <c r="B890" s="84" t="s">
        <v>2179</v>
      </c>
      <c r="C890" s="85" t="s">
        <v>295</v>
      </c>
      <c r="D890" s="85" t="s">
        <v>296</v>
      </c>
      <c r="E890" s="84" t="s">
        <v>330</v>
      </c>
      <c r="F890" s="86" t="s">
        <v>331</v>
      </c>
      <c r="G890" s="87" t="s">
        <v>2167</v>
      </c>
      <c r="H890" s="87" t="s">
        <v>2170</v>
      </c>
      <c r="I890" s="87" t="s">
        <v>516</v>
      </c>
      <c r="J890" s="87" t="s">
        <v>2168</v>
      </c>
      <c r="K890" s="88" t="str">
        <f t="shared" si="39"/>
        <v>Д</v>
      </c>
      <c r="L890" s="88" t="str">
        <f t="shared" si="40"/>
        <v>М</v>
      </c>
      <c r="M890" s="89" t="str">
        <f t="shared" si="41"/>
        <v>Международное право (Вуз-партнёр – Казахский национальный университет им. Аль-Фараби)</v>
      </c>
      <c r="N890" s="89" t="s">
        <v>301</v>
      </c>
    </row>
    <row r="891" spans="1:14" customFormat="1" ht="30" hidden="1" customHeight="1" x14ac:dyDescent="0.25">
      <c r="A891" s="62" t="s">
        <v>2182</v>
      </c>
      <c r="B891" s="84" t="s">
        <v>2179</v>
      </c>
      <c r="C891" s="85" t="s">
        <v>295</v>
      </c>
      <c r="D891" s="85" t="s">
        <v>296</v>
      </c>
      <c r="E891" s="84" t="s">
        <v>330</v>
      </c>
      <c r="F891" s="86" t="s">
        <v>331</v>
      </c>
      <c r="G891" s="87" t="s">
        <v>2167</v>
      </c>
      <c r="H891" s="87" t="s">
        <v>2170</v>
      </c>
      <c r="I891" s="87" t="s">
        <v>518</v>
      </c>
      <c r="J891" s="87" t="s">
        <v>2168</v>
      </c>
      <c r="K891" s="88" t="str">
        <f t="shared" si="39"/>
        <v>Д</v>
      </c>
      <c r="L891" s="88" t="str">
        <f t="shared" si="40"/>
        <v>М</v>
      </c>
      <c r="M891" s="89" t="str">
        <f t="shared" si="41"/>
        <v>Международное право (Вуз-партнёр – Кыргызский национальный университет им. Ж. Баласагына)</v>
      </c>
      <c r="N891" s="89" t="s">
        <v>301</v>
      </c>
    </row>
    <row r="892" spans="1:14" customFormat="1" ht="30" hidden="1" customHeight="1" x14ac:dyDescent="0.25">
      <c r="A892" s="62" t="s">
        <v>2183</v>
      </c>
      <c r="B892" s="84" t="s">
        <v>2179</v>
      </c>
      <c r="C892" s="85" t="s">
        <v>295</v>
      </c>
      <c r="D892" s="85" t="s">
        <v>296</v>
      </c>
      <c r="E892" s="84" t="s">
        <v>330</v>
      </c>
      <c r="F892" s="86" t="s">
        <v>331</v>
      </c>
      <c r="G892" s="87" t="s">
        <v>2167</v>
      </c>
      <c r="H892" s="87" t="s">
        <v>2170</v>
      </c>
      <c r="I892" s="87" t="s">
        <v>1079</v>
      </c>
      <c r="J892" s="87" t="s">
        <v>2168</v>
      </c>
      <c r="K892" s="88" t="str">
        <f t="shared" si="39"/>
        <v>Д</v>
      </c>
      <c r="L892" s="88" t="str">
        <f t="shared" si="40"/>
        <v>М</v>
      </c>
      <c r="M892" s="89" t="str">
        <f t="shared" si="41"/>
        <v>Международное право (Вуз-партнёр – Российско-Таджикский (Славянский) университет)</v>
      </c>
      <c r="N892" s="89" t="s">
        <v>301</v>
      </c>
    </row>
    <row r="893" spans="1:14" customFormat="1" ht="30" hidden="1" customHeight="1" x14ac:dyDescent="0.25">
      <c r="A893" s="62" t="s">
        <v>2184</v>
      </c>
      <c r="B893" s="84" t="s">
        <v>2179</v>
      </c>
      <c r="C893" s="85" t="s">
        <v>295</v>
      </c>
      <c r="D893" s="85" t="s">
        <v>296</v>
      </c>
      <c r="E893" s="84" t="s">
        <v>330</v>
      </c>
      <c r="F893" s="86" t="s">
        <v>331</v>
      </c>
      <c r="G893" s="87" t="s">
        <v>2167</v>
      </c>
      <c r="H893" s="87" t="s">
        <v>2170</v>
      </c>
      <c r="I893" s="87" t="s">
        <v>1956</v>
      </c>
      <c r="J893" s="87" t="s">
        <v>2168</v>
      </c>
      <c r="K893" s="88" t="str">
        <f t="shared" si="39"/>
        <v>Д</v>
      </c>
      <c r="L893" s="88" t="str">
        <f t="shared" si="40"/>
        <v>М</v>
      </c>
      <c r="M893" s="89" t="str">
        <f t="shared" si="41"/>
        <v>Международное право (Вуз-партнёр – Донецкий национальный университет)</v>
      </c>
      <c r="N893" s="89" t="s">
        <v>301</v>
      </c>
    </row>
    <row r="894" spans="1:14" customFormat="1" ht="30" hidden="1" customHeight="1" x14ac:dyDescent="0.25">
      <c r="A894" s="62" t="s">
        <v>2185</v>
      </c>
      <c r="B894" s="84" t="s">
        <v>2179</v>
      </c>
      <c r="C894" s="85" t="s">
        <v>295</v>
      </c>
      <c r="D894" s="85" t="s">
        <v>296</v>
      </c>
      <c r="E894" s="84" t="s">
        <v>330</v>
      </c>
      <c r="F894" s="86" t="s">
        <v>331</v>
      </c>
      <c r="G894" s="87" t="s">
        <v>2167</v>
      </c>
      <c r="H894" s="87" t="s">
        <v>2170</v>
      </c>
      <c r="I894" s="87" t="s">
        <v>1076</v>
      </c>
      <c r="J894" s="87" t="s">
        <v>2168</v>
      </c>
      <c r="K894" s="88" t="str">
        <f t="shared" si="39"/>
        <v>Д</v>
      </c>
      <c r="L894" s="88" t="str">
        <f t="shared" si="40"/>
        <v>М</v>
      </c>
      <c r="M894" s="89" t="str">
        <f t="shared" si="41"/>
        <v>Международное право (Вуз-партнёр – Кыргызско-Российский (Славянский) Университет)</v>
      </c>
      <c r="N894" s="89" t="s">
        <v>301</v>
      </c>
    </row>
    <row r="895" spans="1:14" customFormat="1" ht="30" hidden="1" customHeight="1" x14ac:dyDescent="0.25">
      <c r="A895" s="62" t="s">
        <v>2186</v>
      </c>
      <c r="B895" s="84" t="s">
        <v>2179</v>
      </c>
      <c r="C895" s="85" t="s">
        <v>295</v>
      </c>
      <c r="D895" s="85" t="s">
        <v>296</v>
      </c>
      <c r="E895" s="84" t="s">
        <v>330</v>
      </c>
      <c r="F895" s="86" t="s">
        <v>331</v>
      </c>
      <c r="G895" s="87" t="s">
        <v>2167</v>
      </c>
      <c r="H895" s="87" t="s">
        <v>2170</v>
      </c>
      <c r="I895" s="87"/>
      <c r="J895" s="87" t="s">
        <v>2168</v>
      </c>
      <c r="K895" s="88" t="str">
        <f t="shared" si="39"/>
        <v>Д</v>
      </c>
      <c r="L895" s="88" t="str">
        <f t="shared" si="40"/>
        <v>М</v>
      </c>
      <c r="M895" s="89" t="str">
        <f t="shared" si="41"/>
        <v>Международное право</v>
      </c>
      <c r="N895" s="89" t="s">
        <v>301</v>
      </c>
    </row>
    <row r="896" spans="1:14" customFormat="1" ht="30" hidden="1" customHeight="1" x14ac:dyDescent="0.25">
      <c r="A896" s="62" t="s">
        <v>2187</v>
      </c>
      <c r="B896" s="84" t="s">
        <v>2179</v>
      </c>
      <c r="C896" s="85" t="s">
        <v>295</v>
      </c>
      <c r="D896" s="85" t="s">
        <v>296</v>
      </c>
      <c r="E896" s="84" t="s">
        <v>330</v>
      </c>
      <c r="F896" s="86" t="s">
        <v>331</v>
      </c>
      <c r="G896" s="87" t="s">
        <v>2167</v>
      </c>
      <c r="H896" s="87" t="s">
        <v>2170</v>
      </c>
      <c r="I896" s="87" t="s">
        <v>512</v>
      </c>
      <c r="J896" s="87" t="s">
        <v>2168</v>
      </c>
      <c r="K896" s="88" t="str">
        <f t="shared" si="39"/>
        <v>Д</v>
      </c>
      <c r="L896" s="88" t="str">
        <f t="shared" si="40"/>
        <v>М</v>
      </c>
      <c r="M896" s="89" t="str">
        <f t="shared" si="41"/>
        <v>Международное право (Вуз-партнёр – Южно-Казахстанский государственный университет им. М.Ауэзова)</v>
      </c>
      <c r="N896" s="89" t="s">
        <v>301</v>
      </c>
    </row>
    <row r="897" spans="1:14" customFormat="1" ht="30" hidden="1" customHeight="1" x14ac:dyDescent="0.25">
      <c r="A897" s="62" t="s">
        <v>2188</v>
      </c>
      <c r="B897" s="84" t="s">
        <v>2179</v>
      </c>
      <c r="C897" s="85" t="s">
        <v>295</v>
      </c>
      <c r="D897" s="85" t="s">
        <v>304</v>
      </c>
      <c r="E897" s="84" t="s">
        <v>330</v>
      </c>
      <c r="F897" s="86" t="s">
        <v>331</v>
      </c>
      <c r="G897" s="87" t="s">
        <v>2167</v>
      </c>
      <c r="H897" s="87" t="s">
        <v>2189</v>
      </c>
      <c r="I897" s="87"/>
      <c r="J897" s="87" t="s">
        <v>2168</v>
      </c>
      <c r="K897" s="88" t="str">
        <f t="shared" si="39"/>
        <v>Д</v>
      </c>
      <c r="L897" s="88" t="str">
        <f t="shared" si="40"/>
        <v>М</v>
      </c>
      <c r="M897" s="89" t="str">
        <f t="shared" si="41"/>
        <v>Международная защита прав человека [язык реализации –Английский]</v>
      </c>
      <c r="N897" s="89" t="s">
        <v>301</v>
      </c>
    </row>
    <row r="898" spans="1:14" customFormat="1" ht="30" hidden="1" customHeight="1" x14ac:dyDescent="0.25">
      <c r="A898" s="62" t="s">
        <v>2190</v>
      </c>
      <c r="B898" s="84" t="s">
        <v>2179</v>
      </c>
      <c r="C898" s="85" t="s">
        <v>295</v>
      </c>
      <c r="D898" s="85" t="s">
        <v>296</v>
      </c>
      <c r="E898" s="84" t="s">
        <v>330</v>
      </c>
      <c r="F898" s="86" t="s">
        <v>331</v>
      </c>
      <c r="G898" s="87" t="s">
        <v>2167</v>
      </c>
      <c r="H898" s="87" t="s">
        <v>2189</v>
      </c>
      <c r="I898" s="87"/>
      <c r="J898" s="87" t="s">
        <v>2168</v>
      </c>
      <c r="K898" s="88" t="str">
        <f t="shared" si="39"/>
        <v>Д</v>
      </c>
      <c r="L898" s="88" t="str">
        <f t="shared" si="40"/>
        <v>М</v>
      </c>
      <c r="M898" s="89" t="str">
        <f t="shared" si="41"/>
        <v>Международная защита прав человека</v>
      </c>
      <c r="N898" s="89" t="s">
        <v>301</v>
      </c>
    </row>
    <row r="899" spans="1:14" customFormat="1" ht="30" hidden="1" customHeight="1" x14ac:dyDescent="0.25">
      <c r="A899" s="62" t="s">
        <v>2191</v>
      </c>
      <c r="B899" s="84" t="s">
        <v>2179</v>
      </c>
      <c r="C899" s="85" t="s">
        <v>295</v>
      </c>
      <c r="D899" s="85" t="s">
        <v>296</v>
      </c>
      <c r="E899" s="84" t="s">
        <v>330</v>
      </c>
      <c r="F899" s="86" t="s">
        <v>331</v>
      </c>
      <c r="G899" s="87" t="s">
        <v>2167</v>
      </c>
      <c r="H899" s="87" t="s">
        <v>2192</v>
      </c>
      <c r="I899" s="87"/>
      <c r="J899" s="87" t="s">
        <v>2168</v>
      </c>
      <c r="K899" s="88" t="str">
        <f t="shared" ref="K899:K947" si="42">IF(C899="очная","Д",IF(C899="Очно-заочная","В",IF(C899="Заочная","З","-")))</f>
        <v>Д</v>
      </c>
      <c r="L899" s="88" t="str">
        <f t="shared" ref="L899:L947" si="43">IF(N899="да","ЦМ",LEFT(F899,1))</f>
        <v>М</v>
      </c>
      <c r="M899" s="89" t="str">
        <f t="shared" ref="M899:M947" si="44">CONCATENATE(H899,IF(I899&gt;0,CONCATENATE(" (Вуз-партнёр – ",I899,")"),IF(D899=$D$3,"",CONCATENATE(" [язык реализации –",D899,"]"))))</f>
        <v>Гражданское право, семейное право, предпринимательское право, международное частное право</v>
      </c>
      <c r="N899" s="89" t="s">
        <v>301</v>
      </c>
    </row>
    <row r="900" spans="1:14" customFormat="1" ht="30" hidden="1" customHeight="1" x14ac:dyDescent="0.25">
      <c r="A900" s="62" t="s">
        <v>2193</v>
      </c>
      <c r="B900" s="84" t="s">
        <v>2179</v>
      </c>
      <c r="C900" s="85" t="s">
        <v>295</v>
      </c>
      <c r="D900" s="85" t="s">
        <v>296</v>
      </c>
      <c r="E900" s="84" t="s">
        <v>330</v>
      </c>
      <c r="F900" s="86" t="s">
        <v>331</v>
      </c>
      <c r="G900" s="87" t="s">
        <v>2167</v>
      </c>
      <c r="H900" s="87" t="s">
        <v>2194</v>
      </c>
      <c r="I900" s="87"/>
      <c r="J900" s="87" t="s">
        <v>2168</v>
      </c>
      <c r="K900" s="88" t="str">
        <f t="shared" si="42"/>
        <v>Д</v>
      </c>
      <c r="L900" s="88" t="str">
        <f t="shared" si="43"/>
        <v>М</v>
      </c>
      <c r="M900" s="89" t="str">
        <f t="shared" si="44"/>
        <v>Гражданский процесс, арбитражный процесс</v>
      </c>
      <c r="N900" s="89" t="s">
        <v>301</v>
      </c>
    </row>
    <row r="901" spans="1:14" customFormat="1" ht="30" hidden="1" customHeight="1" x14ac:dyDescent="0.25">
      <c r="A901" s="62" t="s">
        <v>2195</v>
      </c>
      <c r="B901" s="84" t="s">
        <v>2179</v>
      </c>
      <c r="C901" s="85" t="s">
        <v>295</v>
      </c>
      <c r="D901" s="85" t="s">
        <v>304</v>
      </c>
      <c r="E901" s="84" t="s">
        <v>330</v>
      </c>
      <c r="F901" s="86" t="s">
        <v>331</v>
      </c>
      <c r="G901" s="87" t="s">
        <v>2167</v>
      </c>
      <c r="H901" s="87" t="s">
        <v>2196</v>
      </c>
      <c r="I901" s="87"/>
      <c r="J901" s="87" t="s">
        <v>2168</v>
      </c>
      <c r="K901" s="88" t="str">
        <f t="shared" si="42"/>
        <v>Д</v>
      </c>
      <c r="L901" s="88" t="str">
        <f t="shared" si="43"/>
        <v>М</v>
      </c>
      <c r="M901" s="89" t="str">
        <f t="shared" si="44"/>
        <v>Международное частное право [язык реализации –Английский]</v>
      </c>
      <c r="N901" s="89" t="s">
        <v>301</v>
      </c>
    </row>
    <row r="902" spans="1:14" customFormat="1" ht="30" hidden="1" customHeight="1" x14ac:dyDescent="0.25">
      <c r="A902" s="62" t="s">
        <v>2197</v>
      </c>
      <c r="B902" s="84" t="s">
        <v>2179</v>
      </c>
      <c r="C902" s="85" t="s">
        <v>295</v>
      </c>
      <c r="D902" s="85" t="s">
        <v>296</v>
      </c>
      <c r="E902" s="84" t="s">
        <v>330</v>
      </c>
      <c r="F902" s="86" t="s">
        <v>331</v>
      </c>
      <c r="G902" s="87" t="s">
        <v>2167</v>
      </c>
      <c r="H902" s="87" t="s">
        <v>2198</v>
      </c>
      <c r="I902" s="87"/>
      <c r="J902" s="87" t="s">
        <v>2168</v>
      </c>
      <c r="K902" s="88" t="str">
        <f t="shared" si="42"/>
        <v>Д</v>
      </c>
      <c r="L902" s="88" t="str">
        <f t="shared" si="43"/>
        <v>М</v>
      </c>
      <c r="M902" s="89" t="str">
        <f t="shared" si="44"/>
        <v>Административное право, административный процесс</v>
      </c>
      <c r="N902" s="89" t="s">
        <v>301</v>
      </c>
    </row>
    <row r="903" spans="1:14" customFormat="1" ht="30" hidden="1" customHeight="1" x14ac:dyDescent="0.25">
      <c r="A903" s="62" t="s">
        <v>2199</v>
      </c>
      <c r="B903" s="84" t="s">
        <v>2179</v>
      </c>
      <c r="C903" s="85" t="s">
        <v>295</v>
      </c>
      <c r="D903" s="85" t="s">
        <v>296</v>
      </c>
      <c r="E903" s="84" t="s">
        <v>330</v>
      </c>
      <c r="F903" s="86" t="s">
        <v>331</v>
      </c>
      <c r="G903" s="87" t="s">
        <v>2167</v>
      </c>
      <c r="H903" s="87" t="s">
        <v>2200</v>
      </c>
      <c r="I903" s="87"/>
      <c r="J903" s="87" t="s">
        <v>2168</v>
      </c>
      <c r="K903" s="88" t="str">
        <f t="shared" si="42"/>
        <v>Д</v>
      </c>
      <c r="L903" s="88" t="str">
        <f t="shared" si="43"/>
        <v>М</v>
      </c>
      <c r="M903" s="89" t="str">
        <f t="shared" si="44"/>
        <v>Уголовное право, уголовный процесс и криминалистика</v>
      </c>
      <c r="N903" s="89" t="s">
        <v>301</v>
      </c>
    </row>
    <row r="904" spans="1:14" customFormat="1" ht="30" hidden="1" customHeight="1" x14ac:dyDescent="0.25">
      <c r="A904" s="62" t="s">
        <v>2201</v>
      </c>
      <c r="B904" s="84" t="s">
        <v>2179</v>
      </c>
      <c r="C904" s="85" t="s">
        <v>295</v>
      </c>
      <c r="D904" s="85" t="s">
        <v>296</v>
      </c>
      <c r="E904" s="84" t="s">
        <v>330</v>
      </c>
      <c r="F904" s="86" t="s">
        <v>331</v>
      </c>
      <c r="G904" s="87" t="s">
        <v>2167</v>
      </c>
      <c r="H904" s="87" t="s">
        <v>2200</v>
      </c>
      <c r="I904" s="87" t="s">
        <v>514</v>
      </c>
      <c r="J904" s="87" t="s">
        <v>2168</v>
      </c>
      <c r="K904" s="88" t="str">
        <f t="shared" si="42"/>
        <v>Д</v>
      </c>
      <c r="L904" s="88" t="str">
        <f t="shared" si="43"/>
        <v>М</v>
      </c>
      <c r="M904" s="89" t="str">
        <f t="shared" si="44"/>
        <v>Уголовное право, уголовный процесс и криминалистика (Вуз-партнёр – Евразийский национальный университет имени Л. Н. Гумилёва)</v>
      </c>
      <c r="N904" s="89" t="s">
        <v>301</v>
      </c>
    </row>
    <row r="905" spans="1:14" customFormat="1" ht="30" hidden="1" customHeight="1" x14ac:dyDescent="0.25">
      <c r="A905" s="62" t="s">
        <v>2202</v>
      </c>
      <c r="B905" s="84" t="s">
        <v>2179</v>
      </c>
      <c r="C905" s="85" t="s">
        <v>295</v>
      </c>
      <c r="D905" s="85" t="s">
        <v>296</v>
      </c>
      <c r="E905" s="84" t="s">
        <v>330</v>
      </c>
      <c r="F905" s="86" t="s">
        <v>331</v>
      </c>
      <c r="G905" s="87" t="s">
        <v>2167</v>
      </c>
      <c r="H905" s="87" t="s">
        <v>2203</v>
      </c>
      <c r="I905" s="87"/>
      <c r="J905" s="87" t="s">
        <v>2168</v>
      </c>
      <c r="K905" s="88" t="str">
        <f t="shared" si="42"/>
        <v>Д</v>
      </c>
      <c r="L905" s="88" t="str">
        <f t="shared" si="43"/>
        <v>М</v>
      </c>
      <c r="M905" s="89" t="str">
        <f t="shared" si="44"/>
        <v>Корпоративный юрист</v>
      </c>
      <c r="N905" s="89" t="s">
        <v>301</v>
      </c>
    </row>
    <row r="906" spans="1:14" customFormat="1" ht="30" hidden="1" customHeight="1" x14ac:dyDescent="0.25">
      <c r="A906" s="62" t="s">
        <v>2204</v>
      </c>
      <c r="B906" s="84" t="s">
        <v>2179</v>
      </c>
      <c r="C906" s="85" t="s">
        <v>295</v>
      </c>
      <c r="D906" s="85" t="s">
        <v>296</v>
      </c>
      <c r="E906" s="84" t="s">
        <v>330</v>
      </c>
      <c r="F906" s="86" t="s">
        <v>331</v>
      </c>
      <c r="G906" s="87" t="s">
        <v>2167</v>
      </c>
      <c r="H906" s="87" t="s">
        <v>2205</v>
      </c>
      <c r="I906" s="87"/>
      <c r="J906" s="87" t="s">
        <v>2168</v>
      </c>
      <c r="K906" s="88" t="str">
        <f t="shared" si="42"/>
        <v>Д</v>
      </c>
      <c r="L906" s="88" t="str">
        <f t="shared" si="43"/>
        <v>М</v>
      </c>
      <c r="M906" s="89" t="str">
        <f t="shared" si="44"/>
        <v>Теория и история права и государства, сравнительно-правовые исследования</v>
      </c>
      <c r="N906" s="89" t="s">
        <v>301</v>
      </c>
    </row>
    <row r="907" spans="1:14" customFormat="1" ht="30" hidden="1" customHeight="1" x14ac:dyDescent="0.25">
      <c r="A907" s="62" t="s">
        <v>2206</v>
      </c>
      <c r="B907" s="84" t="s">
        <v>2179</v>
      </c>
      <c r="C907" s="85" t="s">
        <v>295</v>
      </c>
      <c r="D907" s="85" t="s">
        <v>296</v>
      </c>
      <c r="E907" s="84" t="s">
        <v>330</v>
      </c>
      <c r="F907" s="86" t="s">
        <v>331</v>
      </c>
      <c r="G907" s="87" t="s">
        <v>2167</v>
      </c>
      <c r="H907" s="87" t="s">
        <v>2205</v>
      </c>
      <c r="I907" s="87" t="s">
        <v>514</v>
      </c>
      <c r="J907" s="87" t="s">
        <v>2168</v>
      </c>
      <c r="K907" s="88" t="str">
        <f t="shared" si="42"/>
        <v>Д</v>
      </c>
      <c r="L907" s="88" t="str">
        <f t="shared" si="43"/>
        <v>М</v>
      </c>
      <c r="M907" s="89" t="str">
        <f t="shared" si="44"/>
        <v>Теория и история права и государства, сравнительно-правовые исследования (Вуз-партнёр – Евразийский национальный университет имени Л. Н. Гумилёва)</v>
      </c>
      <c r="N907" s="89" t="s">
        <v>301</v>
      </c>
    </row>
    <row r="908" spans="1:14" customFormat="1" ht="30" hidden="1" customHeight="1" x14ac:dyDescent="0.25">
      <c r="A908" s="62" t="s">
        <v>2207</v>
      </c>
      <c r="B908" s="84" t="s">
        <v>2179</v>
      </c>
      <c r="C908" s="85" t="s">
        <v>295</v>
      </c>
      <c r="D908" s="85" t="s">
        <v>296</v>
      </c>
      <c r="E908" s="84" t="s">
        <v>330</v>
      </c>
      <c r="F908" s="86" t="s">
        <v>331</v>
      </c>
      <c r="G908" s="87" t="s">
        <v>2167</v>
      </c>
      <c r="H908" s="87" t="s">
        <v>2208</v>
      </c>
      <c r="I908" s="87"/>
      <c r="J908" s="87" t="s">
        <v>2168</v>
      </c>
      <c r="K908" s="88" t="str">
        <f t="shared" si="42"/>
        <v>Д</v>
      </c>
      <c r="L908" s="88" t="str">
        <f t="shared" si="43"/>
        <v>М</v>
      </c>
      <c r="M908" s="89" t="str">
        <f t="shared" si="44"/>
        <v>Юрист в сфере финансовой деятельности</v>
      </c>
      <c r="N908" s="89" t="s">
        <v>301</v>
      </c>
    </row>
    <row r="909" spans="1:14" customFormat="1" ht="30" hidden="1" customHeight="1" x14ac:dyDescent="0.25">
      <c r="A909" s="62" t="s">
        <v>2209</v>
      </c>
      <c r="B909" s="84" t="s">
        <v>2179</v>
      </c>
      <c r="C909" s="85" t="s">
        <v>295</v>
      </c>
      <c r="D909" s="85" t="s">
        <v>296</v>
      </c>
      <c r="E909" s="84" t="s">
        <v>330</v>
      </c>
      <c r="F909" s="86" t="s">
        <v>331</v>
      </c>
      <c r="G909" s="87" t="s">
        <v>2167</v>
      </c>
      <c r="H909" s="87" t="s">
        <v>2210</v>
      </c>
      <c r="I909" s="87"/>
      <c r="J909" s="87" t="s">
        <v>2168</v>
      </c>
      <c r="K909" s="88" t="str">
        <f t="shared" si="42"/>
        <v>Д</v>
      </c>
      <c r="L909" s="88" t="str">
        <f t="shared" si="43"/>
        <v>М</v>
      </c>
      <c r="M909" s="89" t="str">
        <f t="shared" si="44"/>
        <v>Судебная власть, прокурорский надзор, организация правоохранительной деятельности, адвокатура, нотариат</v>
      </c>
      <c r="N909" s="89" t="s">
        <v>301</v>
      </c>
    </row>
    <row r="910" spans="1:14" customFormat="1" ht="30" hidden="1" customHeight="1" x14ac:dyDescent="0.25">
      <c r="A910" s="62" t="s">
        <v>2211</v>
      </c>
      <c r="B910" s="84" t="s">
        <v>2179</v>
      </c>
      <c r="C910" s="85" t="s">
        <v>295</v>
      </c>
      <c r="D910" s="85" t="s">
        <v>296</v>
      </c>
      <c r="E910" s="84" t="s">
        <v>330</v>
      </c>
      <c r="F910" s="86" t="s">
        <v>331</v>
      </c>
      <c r="G910" s="87" t="s">
        <v>2167</v>
      </c>
      <c r="H910" s="87" t="s">
        <v>2212</v>
      </c>
      <c r="I910" s="87"/>
      <c r="J910" s="87" t="s">
        <v>2168</v>
      </c>
      <c r="K910" s="88" t="str">
        <f t="shared" si="42"/>
        <v>Д</v>
      </c>
      <c r="L910" s="88" t="str">
        <f t="shared" si="43"/>
        <v>М</v>
      </c>
      <c r="M910" s="89" t="str">
        <f t="shared" si="44"/>
        <v>Судебно-экспертная деятельность в правоприменении</v>
      </c>
      <c r="N910" s="89" t="s">
        <v>301</v>
      </c>
    </row>
    <row r="911" spans="1:14" customFormat="1" ht="30" hidden="1" customHeight="1" x14ac:dyDescent="0.25">
      <c r="A911" s="62" t="s">
        <v>2213</v>
      </c>
      <c r="B911" s="84" t="s">
        <v>2179</v>
      </c>
      <c r="C911" s="85" t="s">
        <v>295</v>
      </c>
      <c r="D911" s="85" t="s">
        <v>296</v>
      </c>
      <c r="E911" s="84" t="s">
        <v>330</v>
      </c>
      <c r="F911" s="86" t="s">
        <v>331</v>
      </c>
      <c r="G911" s="87" t="s">
        <v>2167</v>
      </c>
      <c r="H911" s="87" t="s">
        <v>2214</v>
      </c>
      <c r="I911" s="87"/>
      <c r="J911" s="87" t="s">
        <v>2168</v>
      </c>
      <c r="K911" s="88" t="str">
        <f t="shared" si="42"/>
        <v>Д</v>
      </c>
      <c r="L911" s="88" t="str">
        <f t="shared" si="43"/>
        <v>М</v>
      </c>
      <c r="M911" s="89" t="str">
        <f t="shared" si="44"/>
        <v>Конституционное право и конституционное судопроизводство</v>
      </c>
      <c r="N911" s="89" t="s">
        <v>301</v>
      </c>
    </row>
    <row r="912" spans="1:14" customFormat="1" ht="30" hidden="1" customHeight="1" x14ac:dyDescent="0.25">
      <c r="A912" s="62" t="s">
        <v>2215</v>
      </c>
      <c r="B912" s="84" t="s">
        <v>2179</v>
      </c>
      <c r="C912" s="85" t="s">
        <v>295</v>
      </c>
      <c r="D912" s="85" t="s">
        <v>296</v>
      </c>
      <c r="E912" s="84" t="s">
        <v>330</v>
      </c>
      <c r="F912" s="86" t="s">
        <v>331</v>
      </c>
      <c r="G912" s="87" t="s">
        <v>2167</v>
      </c>
      <c r="H912" s="87" t="s">
        <v>2216</v>
      </c>
      <c r="I912" s="87"/>
      <c r="J912" s="87" t="s">
        <v>2168</v>
      </c>
      <c r="K912" s="88" t="str">
        <f t="shared" si="42"/>
        <v>Д</v>
      </c>
      <c r="L912" s="88" t="str">
        <f t="shared" si="43"/>
        <v>М</v>
      </c>
      <c r="M912" s="89" t="str">
        <f t="shared" si="44"/>
        <v>Правовое регулирование природоресурсных, земельно-имущественных отношений и градостроительной деятельности</v>
      </c>
      <c r="N912" s="89" t="s">
        <v>301</v>
      </c>
    </row>
    <row r="913" spans="1:14" customFormat="1" ht="30" hidden="1" customHeight="1" x14ac:dyDescent="0.25">
      <c r="A913" s="62" t="s">
        <v>2217</v>
      </c>
      <c r="B913" s="84" t="s">
        <v>2179</v>
      </c>
      <c r="C913" s="85" t="s">
        <v>295</v>
      </c>
      <c r="D913" s="85" t="s">
        <v>296</v>
      </c>
      <c r="E913" s="84" t="s">
        <v>330</v>
      </c>
      <c r="F913" s="86" t="s">
        <v>331</v>
      </c>
      <c r="G913" s="87" t="s">
        <v>2167</v>
      </c>
      <c r="H913" s="87" t="s">
        <v>2218</v>
      </c>
      <c r="I913" s="87"/>
      <c r="J913" s="87" t="s">
        <v>2168</v>
      </c>
      <c r="K913" s="88" t="str">
        <f t="shared" si="42"/>
        <v>Д</v>
      </c>
      <c r="L913" s="88" t="str">
        <f t="shared" si="43"/>
        <v>М</v>
      </c>
      <c r="M913" s="89" t="str">
        <f t="shared" si="44"/>
        <v>Правовое регулирование финансового мониторинга и Compliance System</v>
      </c>
      <c r="N913" s="89" t="s">
        <v>301</v>
      </c>
    </row>
    <row r="914" spans="1:14" customFormat="1" ht="30" hidden="1" customHeight="1" x14ac:dyDescent="0.25">
      <c r="A914" s="62" t="s">
        <v>2219</v>
      </c>
      <c r="B914" s="84" t="s">
        <v>2179</v>
      </c>
      <c r="C914" s="85" t="s">
        <v>295</v>
      </c>
      <c r="D914" s="85" t="s">
        <v>296</v>
      </c>
      <c r="E914" s="84" t="s">
        <v>330</v>
      </c>
      <c r="F914" s="86" t="s">
        <v>331</v>
      </c>
      <c r="G914" s="87" t="s">
        <v>2167</v>
      </c>
      <c r="H914" s="87" t="s">
        <v>2220</v>
      </c>
      <c r="I914" s="87"/>
      <c r="J914" s="87" t="s">
        <v>2168</v>
      </c>
      <c r="K914" s="88" t="str">
        <f t="shared" si="42"/>
        <v>Д</v>
      </c>
      <c r="L914" s="88" t="str">
        <f t="shared" si="43"/>
        <v>М</v>
      </c>
      <c r="M914" s="89" t="str">
        <f t="shared" si="44"/>
        <v>Правовое сопровождение бизнеса (бизнес-юрист)</v>
      </c>
      <c r="N914" s="89" t="s">
        <v>301</v>
      </c>
    </row>
    <row r="915" spans="1:14" customFormat="1" ht="30" hidden="1" customHeight="1" x14ac:dyDescent="0.25">
      <c r="A915" s="62" t="s">
        <v>2221</v>
      </c>
      <c r="B915" s="84" t="s">
        <v>2179</v>
      </c>
      <c r="C915" s="85" t="s">
        <v>295</v>
      </c>
      <c r="D915" s="85" t="s">
        <v>296</v>
      </c>
      <c r="E915" s="84" t="s">
        <v>330</v>
      </c>
      <c r="F915" s="86" t="s">
        <v>331</v>
      </c>
      <c r="G915" s="87" t="s">
        <v>2167</v>
      </c>
      <c r="H915" s="87" t="s">
        <v>2222</v>
      </c>
      <c r="I915" s="87"/>
      <c r="J915" s="87" t="s">
        <v>2168</v>
      </c>
      <c r="K915" s="88" t="str">
        <f t="shared" si="42"/>
        <v>Д</v>
      </c>
      <c r="L915" s="88" t="str">
        <f t="shared" si="43"/>
        <v>М</v>
      </c>
      <c r="M915" s="89" t="str">
        <f t="shared" si="44"/>
        <v>Медицинское право</v>
      </c>
      <c r="N915" s="89" t="s">
        <v>301</v>
      </c>
    </row>
    <row r="916" spans="1:14" customFormat="1" ht="30" hidden="1" customHeight="1" x14ac:dyDescent="0.25">
      <c r="A916" s="62" t="s">
        <v>2223</v>
      </c>
      <c r="B916" s="84" t="s">
        <v>2179</v>
      </c>
      <c r="C916" s="85" t="s">
        <v>295</v>
      </c>
      <c r="D916" s="85" t="s">
        <v>296</v>
      </c>
      <c r="E916" s="84" t="s">
        <v>330</v>
      </c>
      <c r="F916" s="86" t="s">
        <v>331</v>
      </c>
      <c r="G916" s="87" t="s">
        <v>2167</v>
      </c>
      <c r="H916" s="87" t="s">
        <v>2224</v>
      </c>
      <c r="I916" s="87"/>
      <c r="J916" s="87" t="s">
        <v>2168</v>
      </c>
      <c r="K916" s="88" t="str">
        <f t="shared" si="42"/>
        <v>Д</v>
      </c>
      <c r="L916" s="88" t="str">
        <f t="shared" si="43"/>
        <v>М</v>
      </c>
      <c r="M916" s="89" t="str">
        <f t="shared" si="44"/>
        <v>Исламское право</v>
      </c>
      <c r="N916" s="89" t="s">
        <v>301</v>
      </c>
    </row>
    <row r="917" spans="1:14" customFormat="1" ht="30" hidden="1" customHeight="1" x14ac:dyDescent="0.25">
      <c r="A917" s="62" t="s">
        <v>2225</v>
      </c>
      <c r="B917" s="84" t="s">
        <v>2179</v>
      </c>
      <c r="C917" s="85" t="s">
        <v>295</v>
      </c>
      <c r="D917" s="85" t="s">
        <v>296</v>
      </c>
      <c r="E917" s="84" t="s">
        <v>330</v>
      </c>
      <c r="F917" s="86" t="s">
        <v>331</v>
      </c>
      <c r="G917" s="87" t="s">
        <v>2167</v>
      </c>
      <c r="H917" s="87" t="s">
        <v>2226</v>
      </c>
      <c r="I917" s="87"/>
      <c r="J917" s="87" t="s">
        <v>2168</v>
      </c>
      <c r="K917" s="88" t="str">
        <f t="shared" si="42"/>
        <v>Д</v>
      </c>
      <c r="L917" s="88" t="str">
        <f t="shared" si="43"/>
        <v>М</v>
      </c>
      <c r="M917" s="89" t="str">
        <f t="shared" si="44"/>
        <v>Право в публичной политике</v>
      </c>
      <c r="N917" s="89" t="s">
        <v>301</v>
      </c>
    </row>
    <row r="918" spans="1:14" customFormat="1" ht="30" hidden="1" customHeight="1" x14ac:dyDescent="0.25">
      <c r="A918" s="62" t="s">
        <v>2227</v>
      </c>
      <c r="B918" s="84" t="s">
        <v>2179</v>
      </c>
      <c r="C918" s="85" t="s">
        <v>295</v>
      </c>
      <c r="D918" s="85" t="s">
        <v>296</v>
      </c>
      <c r="E918" s="84" t="s">
        <v>330</v>
      </c>
      <c r="F918" s="86" t="s">
        <v>331</v>
      </c>
      <c r="G918" s="87" t="s">
        <v>2167</v>
      </c>
      <c r="H918" s="87" t="s">
        <v>2228</v>
      </c>
      <c r="I918" s="87"/>
      <c r="J918" s="87" t="s">
        <v>2168</v>
      </c>
      <c r="K918" s="88" t="str">
        <f t="shared" si="42"/>
        <v>Д</v>
      </c>
      <c r="L918" s="88" t="str">
        <f t="shared" si="43"/>
        <v>М</v>
      </c>
      <c r="M918" s="89" t="str">
        <f t="shared" si="44"/>
        <v>Финансовое право и корпоративное налогообложение</v>
      </c>
      <c r="N918" s="89" t="s">
        <v>301</v>
      </c>
    </row>
    <row r="919" spans="1:14" customFormat="1" ht="30" hidden="1" customHeight="1" x14ac:dyDescent="0.25">
      <c r="A919" s="62" t="s">
        <v>2229</v>
      </c>
      <c r="B919" s="84" t="s">
        <v>2179</v>
      </c>
      <c r="C919" s="85" t="s">
        <v>295</v>
      </c>
      <c r="D919" s="85" t="s">
        <v>296</v>
      </c>
      <c r="E919" s="84" t="s">
        <v>330</v>
      </c>
      <c r="F919" s="86" t="s">
        <v>331</v>
      </c>
      <c r="G919" s="87" t="s">
        <v>2167</v>
      </c>
      <c r="H919" s="87" t="s">
        <v>2230</v>
      </c>
      <c r="I919" s="87" t="s">
        <v>2231</v>
      </c>
      <c r="J919" s="87" t="s">
        <v>2168</v>
      </c>
      <c r="K919" s="88" t="str">
        <f t="shared" si="42"/>
        <v>Д</v>
      </c>
      <c r="L919" s="88" t="str">
        <f t="shared" si="43"/>
        <v>М</v>
      </c>
      <c r="M919" s="89" t="str">
        <f t="shared" si="44"/>
        <v>Гражданское право, семейное право, международное частное право (Вуз-партнёр – Белорусский государственный университет)</v>
      </c>
      <c r="N919" s="89" t="s">
        <v>301</v>
      </c>
    </row>
    <row r="920" spans="1:14" customFormat="1" ht="30" hidden="1" customHeight="1" x14ac:dyDescent="0.25">
      <c r="A920" s="62" t="s">
        <v>2232</v>
      </c>
      <c r="B920" s="84" t="s">
        <v>2179</v>
      </c>
      <c r="C920" s="85" t="s">
        <v>295</v>
      </c>
      <c r="D920" s="85" t="s">
        <v>296</v>
      </c>
      <c r="E920" s="84" t="s">
        <v>330</v>
      </c>
      <c r="F920" s="86" t="s">
        <v>331</v>
      </c>
      <c r="G920" s="87" t="s">
        <v>2167</v>
      </c>
      <c r="H920" s="87" t="s">
        <v>2233</v>
      </c>
      <c r="I920" s="87"/>
      <c r="J920" s="87" t="s">
        <v>2168</v>
      </c>
      <c r="K920" s="88" t="str">
        <f t="shared" si="42"/>
        <v>Д</v>
      </c>
      <c r="L920" s="88" t="str">
        <f t="shared" si="43"/>
        <v>М</v>
      </c>
      <c r="M920" s="89" t="str">
        <f t="shared" si="44"/>
        <v>Юрист в органах муниципальной власти</v>
      </c>
      <c r="N920" s="89" t="s">
        <v>301</v>
      </c>
    </row>
    <row r="921" spans="1:14" customFormat="1" ht="30" hidden="1" customHeight="1" x14ac:dyDescent="0.25">
      <c r="A921" s="62" t="s">
        <v>2234</v>
      </c>
      <c r="B921" s="84" t="s">
        <v>2179</v>
      </c>
      <c r="C921" s="85" t="s">
        <v>295</v>
      </c>
      <c r="D921" s="85" t="s">
        <v>296</v>
      </c>
      <c r="E921" s="84" t="s">
        <v>330</v>
      </c>
      <c r="F921" s="86" t="s">
        <v>331</v>
      </c>
      <c r="G921" s="87" t="s">
        <v>2167</v>
      </c>
      <c r="H921" s="87" t="s">
        <v>2235</v>
      </c>
      <c r="I921" s="87"/>
      <c r="J921" s="87" t="s">
        <v>2168</v>
      </c>
      <c r="K921" s="88" t="str">
        <f t="shared" si="42"/>
        <v>Д</v>
      </c>
      <c r="L921" s="88" t="str">
        <f t="shared" si="43"/>
        <v>ЦМ</v>
      </c>
      <c r="M921" s="89" t="str">
        <f t="shared" si="44"/>
        <v>Сравнительные юридические стратегии в правовой политике</v>
      </c>
      <c r="N921" s="89" t="s">
        <v>484</v>
      </c>
    </row>
    <row r="922" spans="1:14" customFormat="1" ht="30" hidden="1" customHeight="1" x14ac:dyDescent="0.25">
      <c r="A922" s="62" t="s">
        <v>2236</v>
      </c>
      <c r="B922" s="84" t="s">
        <v>2179</v>
      </c>
      <c r="C922" s="85" t="s">
        <v>295</v>
      </c>
      <c r="D922" s="85" t="s">
        <v>296</v>
      </c>
      <c r="E922" s="84" t="s">
        <v>330</v>
      </c>
      <c r="F922" s="86" t="s">
        <v>331</v>
      </c>
      <c r="G922" s="87" t="s">
        <v>2167</v>
      </c>
      <c r="H922" s="87" t="s">
        <v>2237</v>
      </c>
      <c r="I922" s="87" t="s">
        <v>2238</v>
      </c>
      <c r="J922" s="87" t="s">
        <v>2168</v>
      </c>
      <c r="K922" s="88" t="str">
        <f t="shared" si="42"/>
        <v>Д</v>
      </c>
      <c r="L922" s="88" t="str">
        <f t="shared" si="43"/>
        <v>М</v>
      </c>
      <c r="M922" s="89" t="str">
        <f t="shared" si="44"/>
        <v>Цифровые финансовые технологии и право (FinTechLaw) (Вуз-партнёр – Московский государственный юридический университет имени О.Е. Кутафина)</v>
      </c>
      <c r="N922" s="89" t="s">
        <v>301</v>
      </c>
    </row>
    <row r="923" spans="1:14" customFormat="1" ht="30" hidden="1" customHeight="1" x14ac:dyDescent="0.25">
      <c r="A923" s="62" t="s">
        <v>2239</v>
      </c>
      <c r="B923" s="84" t="s">
        <v>2179</v>
      </c>
      <c r="C923" s="85" t="s">
        <v>295</v>
      </c>
      <c r="D923" s="85" t="s">
        <v>2078</v>
      </c>
      <c r="E923" s="84" t="s">
        <v>330</v>
      </c>
      <c r="F923" s="86" t="s">
        <v>331</v>
      </c>
      <c r="G923" s="87" t="s">
        <v>2167</v>
      </c>
      <c r="H923" s="87" t="s">
        <v>2240</v>
      </c>
      <c r="I923" s="87"/>
      <c r="J923" s="87" t="s">
        <v>2168</v>
      </c>
      <c r="K923" s="88" t="str">
        <f t="shared" si="42"/>
        <v>Д</v>
      </c>
      <c r="L923" s="88" t="str">
        <f t="shared" si="43"/>
        <v>М</v>
      </c>
      <c r="M923" s="89" t="str">
        <f t="shared" si="44"/>
        <v>Право и политика в контексте публичной власти [язык реализации –Испанский]</v>
      </c>
      <c r="N923" s="89" t="s">
        <v>301</v>
      </c>
    </row>
    <row r="924" spans="1:14" customFormat="1" ht="30" hidden="1" customHeight="1" x14ac:dyDescent="0.25">
      <c r="A924" s="62" t="s">
        <v>2241</v>
      </c>
      <c r="B924" s="84" t="s">
        <v>2179</v>
      </c>
      <c r="C924" s="85" t="s">
        <v>295</v>
      </c>
      <c r="D924" s="85" t="s">
        <v>296</v>
      </c>
      <c r="E924" s="84" t="s">
        <v>330</v>
      </c>
      <c r="F924" s="86" t="s">
        <v>331</v>
      </c>
      <c r="G924" s="87" t="s">
        <v>2167</v>
      </c>
      <c r="H924" s="87" t="s">
        <v>2177</v>
      </c>
      <c r="I924" s="87"/>
      <c r="J924" s="87" t="s">
        <v>2168</v>
      </c>
      <c r="K924" s="88" t="str">
        <f t="shared" si="42"/>
        <v>Д</v>
      </c>
      <c r="L924" s="88" t="str">
        <f t="shared" si="43"/>
        <v>М</v>
      </c>
      <c r="M924" s="89" t="str">
        <f t="shared" si="44"/>
        <v>Обеспечение финансовой безопасности</v>
      </c>
      <c r="N924" s="89" t="s">
        <v>301</v>
      </c>
    </row>
    <row r="925" spans="1:14" customFormat="1" ht="30" hidden="1" customHeight="1" x14ac:dyDescent="0.25">
      <c r="A925" s="62" t="s">
        <v>2242</v>
      </c>
      <c r="B925" s="84" t="s">
        <v>1678</v>
      </c>
      <c r="C925" s="85" t="s">
        <v>295</v>
      </c>
      <c r="D925" s="85" t="s">
        <v>296</v>
      </c>
      <c r="E925" s="84" t="s">
        <v>330</v>
      </c>
      <c r="F925" s="86" t="s">
        <v>331</v>
      </c>
      <c r="G925" s="87" t="s">
        <v>1630</v>
      </c>
      <c r="H925" s="87" t="s">
        <v>2226</v>
      </c>
      <c r="I925" s="87"/>
      <c r="J925" s="87" t="s">
        <v>2168</v>
      </c>
      <c r="K925" s="88" t="str">
        <f t="shared" si="42"/>
        <v>Д</v>
      </c>
      <c r="L925" s="88" t="str">
        <f t="shared" si="43"/>
        <v>М</v>
      </c>
      <c r="M925" s="89" t="str">
        <f t="shared" si="44"/>
        <v>Право в публичной политике</v>
      </c>
      <c r="N925" s="89" t="s">
        <v>301</v>
      </c>
    </row>
    <row r="926" spans="1:14" customFormat="1" ht="30" hidden="1" customHeight="1" x14ac:dyDescent="0.25">
      <c r="A926" s="62" t="s">
        <v>2243</v>
      </c>
      <c r="B926" s="84" t="s">
        <v>1678</v>
      </c>
      <c r="C926" s="85" t="s">
        <v>295</v>
      </c>
      <c r="D926" s="85" t="s">
        <v>296</v>
      </c>
      <c r="E926" s="84" t="s">
        <v>330</v>
      </c>
      <c r="F926" s="86" t="s">
        <v>331</v>
      </c>
      <c r="G926" s="87" t="s">
        <v>1630</v>
      </c>
      <c r="H926" s="87" t="s">
        <v>2235</v>
      </c>
      <c r="I926" s="87"/>
      <c r="J926" s="87" t="s">
        <v>2168</v>
      </c>
      <c r="K926" s="88" t="str">
        <f t="shared" si="42"/>
        <v>Д</v>
      </c>
      <c r="L926" s="88" t="str">
        <f t="shared" si="43"/>
        <v>ЦМ</v>
      </c>
      <c r="M926" s="89" t="str">
        <f t="shared" si="44"/>
        <v>Сравнительные юридические стратегии в правовой политике</v>
      </c>
      <c r="N926" s="89" t="s">
        <v>484</v>
      </c>
    </row>
    <row r="927" spans="1:14" customFormat="1" ht="30" hidden="1" customHeight="1" x14ac:dyDescent="0.25">
      <c r="A927" s="62" t="s">
        <v>2244</v>
      </c>
      <c r="B927" s="84" t="s">
        <v>1678</v>
      </c>
      <c r="C927" s="85" t="s">
        <v>295</v>
      </c>
      <c r="D927" s="85" t="s">
        <v>2078</v>
      </c>
      <c r="E927" s="84" t="s">
        <v>330</v>
      </c>
      <c r="F927" s="86" t="s">
        <v>331</v>
      </c>
      <c r="G927" s="87" t="s">
        <v>1630</v>
      </c>
      <c r="H927" s="87" t="s">
        <v>2240</v>
      </c>
      <c r="I927" s="87"/>
      <c r="J927" s="87" t="s">
        <v>2168</v>
      </c>
      <c r="K927" s="88" t="str">
        <f t="shared" si="42"/>
        <v>Д</v>
      </c>
      <c r="L927" s="88" t="str">
        <f t="shared" si="43"/>
        <v>М</v>
      </c>
      <c r="M927" s="89" t="str">
        <f t="shared" si="44"/>
        <v>Право и политика в контексте публичной власти [язык реализации –Испанский]</v>
      </c>
      <c r="N927" s="89" t="s">
        <v>301</v>
      </c>
    </row>
    <row r="928" spans="1:14" customFormat="1" ht="30" hidden="1" customHeight="1" x14ac:dyDescent="0.25">
      <c r="A928" s="62" t="s">
        <v>2245</v>
      </c>
      <c r="B928" s="84" t="s">
        <v>980</v>
      </c>
      <c r="C928" s="85" t="s">
        <v>295</v>
      </c>
      <c r="D928" s="85" t="s">
        <v>304</v>
      </c>
      <c r="E928" s="84" t="s">
        <v>330</v>
      </c>
      <c r="F928" s="86" t="s">
        <v>331</v>
      </c>
      <c r="G928" s="87" t="s">
        <v>970</v>
      </c>
      <c r="H928" s="87" t="s">
        <v>2246</v>
      </c>
      <c r="I928" s="87"/>
      <c r="J928" s="87" t="s">
        <v>2168</v>
      </c>
      <c r="K928" s="88" t="str">
        <f t="shared" si="42"/>
        <v>Д</v>
      </c>
      <c r="L928" s="88" t="str">
        <f t="shared" si="43"/>
        <v>М</v>
      </c>
      <c r="M928" s="89" t="str">
        <f t="shared" si="44"/>
        <v>Юридический перевод [язык реализации –Английский]</v>
      </c>
      <c r="N928" s="89" t="s">
        <v>301</v>
      </c>
    </row>
    <row r="929" spans="1:14" customFormat="1" ht="30" hidden="1" customHeight="1" x14ac:dyDescent="0.25">
      <c r="A929" s="62" t="s">
        <v>2247</v>
      </c>
      <c r="B929" s="84" t="s">
        <v>980</v>
      </c>
      <c r="C929" s="85" t="s">
        <v>295</v>
      </c>
      <c r="D929" s="85" t="s">
        <v>304</v>
      </c>
      <c r="E929" s="84" t="s">
        <v>330</v>
      </c>
      <c r="F929" s="86" t="s">
        <v>331</v>
      </c>
      <c r="G929" s="87" t="s">
        <v>970</v>
      </c>
      <c r="H929" s="87" t="s">
        <v>2248</v>
      </c>
      <c r="I929" s="87"/>
      <c r="J929" s="87" t="s">
        <v>2168</v>
      </c>
      <c r="K929" s="88" t="str">
        <f t="shared" si="42"/>
        <v>Д</v>
      </c>
      <c r="L929" s="88" t="str">
        <f t="shared" si="43"/>
        <v>М</v>
      </c>
      <c r="M929" s="89" t="str">
        <f t="shared" si="44"/>
        <v>Переводчик в системе государственных служб и учреждений [язык реализации –Английский]</v>
      </c>
      <c r="N929" s="89" t="s">
        <v>301</v>
      </c>
    </row>
    <row r="930" spans="1:14" customFormat="1" ht="30" hidden="1" customHeight="1" x14ac:dyDescent="0.25">
      <c r="A930" s="62" t="s">
        <v>2249</v>
      </c>
      <c r="B930" s="84" t="s">
        <v>2250</v>
      </c>
      <c r="C930" s="85" t="s">
        <v>295</v>
      </c>
      <c r="D930" s="85" t="s">
        <v>304</v>
      </c>
      <c r="E930" s="84" t="s">
        <v>393</v>
      </c>
      <c r="F930" s="86" t="s">
        <v>368</v>
      </c>
      <c r="G930" s="87" t="s">
        <v>2251</v>
      </c>
      <c r="H930" s="87" t="s">
        <v>2251</v>
      </c>
      <c r="I930" s="87"/>
      <c r="J930" s="87" t="s">
        <v>2168</v>
      </c>
      <c r="K930" s="88" t="str">
        <f t="shared" si="42"/>
        <v>Д</v>
      </c>
      <c r="L930" s="88" t="str">
        <f t="shared" si="43"/>
        <v>А</v>
      </c>
      <c r="M930" s="89" t="str">
        <f t="shared" si="44"/>
        <v>Теоретико-исторические правовые науки [язык реализации –Английский]</v>
      </c>
      <c r="N930" s="89" t="s">
        <v>301</v>
      </c>
    </row>
    <row r="931" spans="1:14" customFormat="1" ht="30" hidden="1" customHeight="1" x14ac:dyDescent="0.25">
      <c r="A931" s="62" t="s">
        <v>2252</v>
      </c>
      <c r="B931" s="84" t="s">
        <v>2250</v>
      </c>
      <c r="C931" s="85" t="s">
        <v>295</v>
      </c>
      <c r="D931" s="85" t="s">
        <v>296</v>
      </c>
      <c r="E931" s="84" t="s">
        <v>393</v>
      </c>
      <c r="F931" s="86" t="s">
        <v>368</v>
      </c>
      <c r="G931" s="87" t="s">
        <v>2251</v>
      </c>
      <c r="H931" s="87" t="s">
        <v>2251</v>
      </c>
      <c r="I931" s="87"/>
      <c r="J931" s="87" t="s">
        <v>2168</v>
      </c>
      <c r="K931" s="88" t="str">
        <f t="shared" si="42"/>
        <v>Д</v>
      </c>
      <c r="L931" s="88" t="str">
        <f t="shared" si="43"/>
        <v>А</v>
      </c>
      <c r="M931" s="89" t="str">
        <f t="shared" si="44"/>
        <v>Теоретико-исторические правовые науки</v>
      </c>
      <c r="N931" s="89" t="s">
        <v>301</v>
      </c>
    </row>
    <row r="932" spans="1:14" customFormat="1" ht="30" hidden="1" customHeight="1" x14ac:dyDescent="0.25">
      <c r="A932" s="62" t="s">
        <v>2253</v>
      </c>
      <c r="B932" s="84" t="s">
        <v>2254</v>
      </c>
      <c r="C932" s="85" t="s">
        <v>295</v>
      </c>
      <c r="D932" s="85" t="s">
        <v>296</v>
      </c>
      <c r="E932" s="84" t="s">
        <v>393</v>
      </c>
      <c r="F932" s="86" t="s">
        <v>368</v>
      </c>
      <c r="G932" s="87" t="s">
        <v>2255</v>
      </c>
      <c r="H932" s="87" t="s">
        <v>2255</v>
      </c>
      <c r="I932" s="87"/>
      <c r="J932" s="87" t="s">
        <v>2168</v>
      </c>
      <c r="K932" s="88" t="str">
        <f t="shared" si="42"/>
        <v>Д</v>
      </c>
      <c r="L932" s="88" t="str">
        <f t="shared" si="43"/>
        <v>А</v>
      </c>
      <c r="M932" s="89" t="str">
        <f t="shared" si="44"/>
        <v>Публично-правовые (государственно-правовые) науки</v>
      </c>
      <c r="N932" s="89" t="s">
        <v>301</v>
      </c>
    </row>
    <row r="933" spans="1:14" customFormat="1" ht="30" hidden="1" customHeight="1" x14ac:dyDescent="0.25">
      <c r="A933" s="62" t="s">
        <v>2256</v>
      </c>
      <c r="B933" s="84" t="s">
        <v>2257</v>
      </c>
      <c r="C933" s="85" t="s">
        <v>295</v>
      </c>
      <c r="D933" s="85" t="s">
        <v>296</v>
      </c>
      <c r="E933" s="84" t="s">
        <v>393</v>
      </c>
      <c r="F933" s="86" t="s">
        <v>368</v>
      </c>
      <c r="G933" s="87" t="s">
        <v>2258</v>
      </c>
      <c r="H933" s="87" t="s">
        <v>2258</v>
      </c>
      <c r="I933" s="87"/>
      <c r="J933" s="87" t="s">
        <v>2168</v>
      </c>
      <c r="K933" s="88" t="str">
        <f t="shared" si="42"/>
        <v>Д</v>
      </c>
      <c r="L933" s="88" t="str">
        <f t="shared" si="43"/>
        <v>А</v>
      </c>
      <c r="M933" s="89" t="str">
        <f t="shared" si="44"/>
        <v>Частно-правовые (цивилистические) науки</v>
      </c>
      <c r="N933" s="89" t="s">
        <v>301</v>
      </c>
    </row>
    <row r="934" spans="1:14" customFormat="1" ht="30" hidden="1" customHeight="1" x14ac:dyDescent="0.25">
      <c r="A934" s="62" t="s">
        <v>2259</v>
      </c>
      <c r="B934" s="84" t="s">
        <v>2260</v>
      </c>
      <c r="C934" s="85" t="s">
        <v>295</v>
      </c>
      <c r="D934" s="85" t="s">
        <v>296</v>
      </c>
      <c r="E934" s="84" t="s">
        <v>393</v>
      </c>
      <c r="F934" s="86" t="s">
        <v>368</v>
      </c>
      <c r="G934" s="87" t="s">
        <v>2261</v>
      </c>
      <c r="H934" s="87" t="s">
        <v>2261</v>
      </c>
      <c r="I934" s="87"/>
      <c r="J934" s="87" t="s">
        <v>2168</v>
      </c>
      <c r="K934" s="88" t="str">
        <f t="shared" si="42"/>
        <v>Д</v>
      </c>
      <c r="L934" s="88" t="str">
        <f t="shared" si="43"/>
        <v>А</v>
      </c>
      <c r="M934" s="89" t="str">
        <f t="shared" si="44"/>
        <v>Уголовно-правовые науки</v>
      </c>
      <c r="N934" s="89" t="s">
        <v>301</v>
      </c>
    </row>
    <row r="935" spans="1:14" customFormat="1" ht="30" hidden="1" customHeight="1" x14ac:dyDescent="0.25">
      <c r="A935" s="62" t="s">
        <v>2262</v>
      </c>
      <c r="B935" s="84" t="s">
        <v>2263</v>
      </c>
      <c r="C935" s="85" t="s">
        <v>295</v>
      </c>
      <c r="D935" s="85" t="s">
        <v>296</v>
      </c>
      <c r="E935" s="84" t="s">
        <v>393</v>
      </c>
      <c r="F935" s="86" t="s">
        <v>368</v>
      </c>
      <c r="G935" s="87" t="s">
        <v>2264</v>
      </c>
      <c r="H935" s="87" t="s">
        <v>2264</v>
      </c>
      <c r="I935" s="87"/>
      <c r="J935" s="87" t="s">
        <v>2168</v>
      </c>
      <c r="K935" s="88" t="str">
        <f t="shared" si="42"/>
        <v>Д</v>
      </c>
      <c r="L935" s="88" t="str">
        <f t="shared" si="43"/>
        <v>А</v>
      </c>
      <c r="M935" s="89" t="str">
        <f t="shared" si="44"/>
        <v>Международно-правовые науки</v>
      </c>
      <c r="N935" s="89" t="s">
        <v>301</v>
      </c>
    </row>
    <row r="936" spans="1:14" customFormat="1" ht="30" hidden="1" customHeight="1" x14ac:dyDescent="0.25">
      <c r="A936" s="62" t="s">
        <v>2265</v>
      </c>
      <c r="B936" s="84" t="s">
        <v>2263</v>
      </c>
      <c r="C936" s="85" t="s">
        <v>295</v>
      </c>
      <c r="D936" s="85" t="s">
        <v>304</v>
      </c>
      <c r="E936" s="84" t="s">
        <v>393</v>
      </c>
      <c r="F936" s="86" t="s">
        <v>368</v>
      </c>
      <c r="G936" s="87" t="s">
        <v>2264</v>
      </c>
      <c r="H936" s="87" t="s">
        <v>2266</v>
      </c>
      <c r="I936" s="87"/>
      <c r="J936" s="87" t="s">
        <v>2168</v>
      </c>
      <c r="K936" s="88" t="str">
        <f t="shared" si="42"/>
        <v>Д</v>
      </c>
      <c r="L936" s="88" t="str">
        <f t="shared" si="43"/>
        <v>А</v>
      </c>
      <c r="M936" s="89" t="str">
        <f t="shared" si="44"/>
        <v>Юридические науки: современное международное право [язык реализации –Английский]</v>
      </c>
      <c r="N936" s="89" t="s">
        <v>301</v>
      </c>
    </row>
    <row r="937" spans="1:14" customFormat="1" ht="30" hidden="1" customHeight="1" x14ac:dyDescent="0.25">
      <c r="A937" s="62" t="s">
        <v>2267</v>
      </c>
      <c r="B937" s="84" t="s">
        <v>1731</v>
      </c>
      <c r="C937" s="85" t="s">
        <v>295</v>
      </c>
      <c r="D937" s="85" t="s">
        <v>304</v>
      </c>
      <c r="E937" s="84" t="s">
        <v>393</v>
      </c>
      <c r="F937" s="86" t="s">
        <v>368</v>
      </c>
      <c r="G937" s="87" t="s">
        <v>1732</v>
      </c>
      <c r="H937" s="87" t="s">
        <v>1732</v>
      </c>
      <c r="I937" s="87"/>
      <c r="J937" s="87" t="s">
        <v>2168</v>
      </c>
      <c r="K937" s="88" t="str">
        <f t="shared" si="42"/>
        <v>Д</v>
      </c>
      <c r="L937" s="88" t="str">
        <f t="shared" si="43"/>
        <v>А</v>
      </c>
      <c r="M937" s="89" t="str">
        <f t="shared" si="44"/>
        <v>Политические институты, процессы, технологии [язык реализации –Английский]</v>
      </c>
      <c r="N937" s="89" t="s">
        <v>301</v>
      </c>
    </row>
    <row r="938" spans="1:14" customFormat="1" ht="30" hidden="1" customHeight="1" x14ac:dyDescent="0.25">
      <c r="A938" s="62" t="s">
        <v>2268</v>
      </c>
      <c r="B938" s="84" t="s">
        <v>1731</v>
      </c>
      <c r="C938" s="85" t="s">
        <v>295</v>
      </c>
      <c r="D938" s="85" t="s">
        <v>296</v>
      </c>
      <c r="E938" s="84" t="s">
        <v>393</v>
      </c>
      <c r="F938" s="86" t="s">
        <v>368</v>
      </c>
      <c r="G938" s="87" t="s">
        <v>1732</v>
      </c>
      <c r="H938" s="87" t="s">
        <v>1732</v>
      </c>
      <c r="I938" s="87"/>
      <c r="J938" s="87" t="s">
        <v>2168</v>
      </c>
      <c r="K938" s="88" t="str">
        <f t="shared" si="42"/>
        <v>Д</v>
      </c>
      <c r="L938" s="88" t="str">
        <f t="shared" si="43"/>
        <v>А</v>
      </c>
      <c r="M938" s="89" t="str">
        <f t="shared" si="44"/>
        <v>Политические институты, процессы, технологии</v>
      </c>
      <c r="N938" s="89" t="s">
        <v>301</v>
      </c>
    </row>
    <row r="939" spans="1:14" customFormat="1" ht="30" hidden="1" customHeight="1" x14ac:dyDescent="0.25">
      <c r="A939" s="62" t="s">
        <v>2269</v>
      </c>
      <c r="B939" s="84" t="s">
        <v>1735</v>
      </c>
      <c r="C939" s="85" t="s">
        <v>295</v>
      </c>
      <c r="D939" s="85" t="s">
        <v>296</v>
      </c>
      <c r="E939" s="84" t="s">
        <v>393</v>
      </c>
      <c r="F939" s="86" t="s">
        <v>368</v>
      </c>
      <c r="G939" s="87" t="s">
        <v>1736</v>
      </c>
      <c r="H939" s="87" t="s">
        <v>1633</v>
      </c>
      <c r="I939" s="87"/>
      <c r="J939" s="87" t="s">
        <v>2168</v>
      </c>
      <c r="K939" s="88" t="str">
        <f t="shared" si="42"/>
        <v>Д</v>
      </c>
      <c r="L939" s="88" t="str">
        <f t="shared" si="43"/>
        <v>А</v>
      </c>
      <c r="M939" s="89" t="str">
        <f t="shared" si="44"/>
        <v>Международные отношения</v>
      </c>
      <c r="N939" s="89" t="s">
        <v>301</v>
      </c>
    </row>
    <row r="940" spans="1:14" customFormat="1" ht="30" hidden="1" customHeight="1" x14ac:dyDescent="0.25">
      <c r="A940" s="62" t="s">
        <v>2270</v>
      </c>
      <c r="B940" s="84" t="s">
        <v>995</v>
      </c>
      <c r="C940" s="85" t="s">
        <v>295</v>
      </c>
      <c r="D940" s="85" t="s">
        <v>304</v>
      </c>
      <c r="E940" s="84" t="s">
        <v>393</v>
      </c>
      <c r="F940" s="86" t="s">
        <v>368</v>
      </c>
      <c r="G940" s="87" t="s">
        <v>996</v>
      </c>
      <c r="H940" s="87" t="s">
        <v>2271</v>
      </c>
      <c r="I940" s="87"/>
      <c r="J940" s="87" t="s">
        <v>2168</v>
      </c>
      <c r="K940" s="88" t="str">
        <f t="shared" si="42"/>
        <v>Д</v>
      </c>
      <c r="L940" s="88" t="str">
        <f t="shared" si="43"/>
        <v>А</v>
      </c>
      <c r="M940" s="89" t="str">
        <f t="shared" si="44"/>
        <v>Обучение профессионально-ориентированному иностранному языку и переводу в условиях цифровизации [язык реализации –Английский]</v>
      </c>
      <c r="N940" s="89" t="s">
        <v>301</v>
      </c>
    </row>
    <row r="941" spans="1:14" customFormat="1" ht="30" hidden="1" customHeight="1" x14ac:dyDescent="0.25">
      <c r="A941" s="62" t="s">
        <v>2272</v>
      </c>
      <c r="B941" s="84" t="s">
        <v>2166</v>
      </c>
      <c r="C941" s="85" t="s">
        <v>403</v>
      </c>
      <c r="D941" s="85" t="s">
        <v>296</v>
      </c>
      <c r="E941" s="84" t="s">
        <v>406</v>
      </c>
      <c r="F941" s="86" t="s">
        <v>312</v>
      </c>
      <c r="G941" s="87" t="s">
        <v>2167</v>
      </c>
      <c r="H941" s="87" t="s">
        <v>2167</v>
      </c>
      <c r="I941" s="87"/>
      <c r="J941" s="87" t="s">
        <v>2168</v>
      </c>
      <c r="K941" s="88" t="str">
        <f t="shared" si="42"/>
        <v>В</v>
      </c>
      <c r="L941" s="88" t="str">
        <f t="shared" si="43"/>
        <v>Б</v>
      </c>
      <c r="M941" s="89" t="str">
        <f t="shared" si="44"/>
        <v>Юриспруденция</v>
      </c>
      <c r="N941" s="89" t="s">
        <v>301</v>
      </c>
    </row>
    <row r="942" spans="1:14" customFormat="1" ht="30" hidden="1" customHeight="1" x14ac:dyDescent="0.25">
      <c r="A942" s="62" t="s">
        <v>2273</v>
      </c>
      <c r="B942" s="84" t="s">
        <v>2166</v>
      </c>
      <c r="C942" s="85" t="s">
        <v>403</v>
      </c>
      <c r="D942" s="85" t="s">
        <v>296</v>
      </c>
      <c r="E942" s="84" t="s">
        <v>406</v>
      </c>
      <c r="F942" s="86" t="s">
        <v>312</v>
      </c>
      <c r="G942" s="87" t="s">
        <v>2167</v>
      </c>
      <c r="H942" s="87" t="s">
        <v>2274</v>
      </c>
      <c r="I942" s="87"/>
      <c r="J942" s="87" t="s">
        <v>2168</v>
      </c>
      <c r="K942" s="88" t="str">
        <f t="shared" si="42"/>
        <v>В</v>
      </c>
      <c r="L942" s="88" t="str">
        <f t="shared" si="43"/>
        <v>Б</v>
      </c>
      <c r="M942" s="89" t="str">
        <f t="shared" si="44"/>
        <v>Международное право (с элементами электронного обучения)</v>
      </c>
      <c r="N942" s="89" t="s">
        <v>301</v>
      </c>
    </row>
    <row r="943" spans="1:14" customFormat="1" ht="30" hidden="1" customHeight="1" x14ac:dyDescent="0.25">
      <c r="A943" s="62" t="s">
        <v>2275</v>
      </c>
      <c r="B943" s="84" t="s">
        <v>2179</v>
      </c>
      <c r="C943" s="85" t="s">
        <v>403</v>
      </c>
      <c r="D943" s="85" t="s">
        <v>296</v>
      </c>
      <c r="E943" s="84" t="s">
        <v>413</v>
      </c>
      <c r="F943" s="86" t="s">
        <v>331</v>
      </c>
      <c r="G943" s="87" t="s">
        <v>2167</v>
      </c>
      <c r="H943" s="87" t="s">
        <v>2192</v>
      </c>
      <c r="I943" s="87"/>
      <c r="J943" s="87" t="s">
        <v>2168</v>
      </c>
      <c r="K943" s="88" t="str">
        <f t="shared" si="42"/>
        <v>В</v>
      </c>
      <c r="L943" s="88" t="str">
        <f t="shared" si="43"/>
        <v>М</v>
      </c>
      <c r="M943" s="89" t="str">
        <f t="shared" si="44"/>
        <v>Гражданское право, семейное право, предпринимательское право, международное частное право</v>
      </c>
      <c r="N943" s="89" t="s">
        <v>301</v>
      </c>
    </row>
    <row r="944" spans="1:14" customFormat="1" ht="30" hidden="1" customHeight="1" x14ac:dyDescent="0.25">
      <c r="A944" s="62" t="s">
        <v>2276</v>
      </c>
      <c r="B944" s="84" t="s">
        <v>2179</v>
      </c>
      <c r="C944" s="85" t="s">
        <v>419</v>
      </c>
      <c r="D944" s="85" t="s">
        <v>296</v>
      </c>
      <c r="E944" s="84" t="s">
        <v>1580</v>
      </c>
      <c r="F944" s="86" t="s">
        <v>331</v>
      </c>
      <c r="G944" s="87" t="s">
        <v>2167</v>
      </c>
      <c r="H944" s="87" t="s">
        <v>2170</v>
      </c>
      <c r="I944" s="87"/>
      <c r="J944" s="87" t="s">
        <v>2168</v>
      </c>
      <c r="K944" s="88" t="str">
        <f t="shared" si="42"/>
        <v>З</v>
      </c>
      <c r="L944" s="88" t="str">
        <f t="shared" si="43"/>
        <v>М</v>
      </c>
      <c r="M944" s="89" t="str">
        <f t="shared" si="44"/>
        <v>Международное право</v>
      </c>
      <c r="N944" s="89" t="s">
        <v>301</v>
      </c>
    </row>
    <row r="945" spans="1:14" s="92" customFormat="1" ht="30" hidden="1" customHeight="1" x14ac:dyDescent="0.25">
      <c r="A945" s="62" t="s">
        <v>2277</v>
      </c>
      <c r="B945" s="84" t="s">
        <v>2179</v>
      </c>
      <c r="C945" s="85" t="s">
        <v>419</v>
      </c>
      <c r="D945" s="85" t="s">
        <v>296</v>
      </c>
      <c r="E945" s="84" t="s">
        <v>1580</v>
      </c>
      <c r="F945" s="86" t="s">
        <v>331</v>
      </c>
      <c r="G945" s="87" t="s">
        <v>2167</v>
      </c>
      <c r="H945" s="87" t="s">
        <v>2198</v>
      </c>
      <c r="I945" s="87"/>
      <c r="J945" s="87" t="s">
        <v>2168</v>
      </c>
      <c r="K945" s="88" t="str">
        <f t="shared" si="42"/>
        <v>З</v>
      </c>
      <c r="L945" s="88" t="str">
        <f t="shared" si="43"/>
        <v>М</v>
      </c>
      <c r="M945" s="89" t="str">
        <f t="shared" si="44"/>
        <v>Административное право, административный процесс</v>
      </c>
      <c r="N945" s="89" t="s">
        <v>301</v>
      </c>
    </row>
    <row r="946" spans="1:14" ht="30" hidden="1" customHeight="1" x14ac:dyDescent="0.25">
      <c r="A946" s="62" t="s">
        <v>2278</v>
      </c>
      <c r="B946" s="84" t="s">
        <v>2179</v>
      </c>
      <c r="C946" s="85" t="s">
        <v>419</v>
      </c>
      <c r="D946" s="85" t="s">
        <v>296</v>
      </c>
      <c r="E946" s="84" t="s">
        <v>1580</v>
      </c>
      <c r="F946" s="86" t="s">
        <v>331</v>
      </c>
      <c r="G946" s="87" t="s">
        <v>2167</v>
      </c>
      <c r="H946" s="87" t="s">
        <v>2200</v>
      </c>
      <c r="I946" s="87"/>
      <c r="J946" s="87" t="s">
        <v>2168</v>
      </c>
      <c r="K946" s="88" t="str">
        <f t="shared" si="42"/>
        <v>З</v>
      </c>
      <c r="L946" s="88" t="str">
        <f t="shared" si="43"/>
        <v>М</v>
      </c>
      <c r="M946" s="89" t="str">
        <f t="shared" si="44"/>
        <v>Уголовное право, уголовный процесс и криминалистика</v>
      </c>
      <c r="N946" s="89" t="s">
        <v>301</v>
      </c>
    </row>
    <row r="947" spans="1:14" ht="30" hidden="1" customHeight="1" x14ac:dyDescent="0.25">
      <c r="A947" s="62" t="s">
        <v>2279</v>
      </c>
      <c r="B947" s="84" t="s">
        <v>2179</v>
      </c>
      <c r="C947" s="85" t="s">
        <v>419</v>
      </c>
      <c r="D947" s="85" t="s">
        <v>296</v>
      </c>
      <c r="E947" s="84" t="s">
        <v>1580</v>
      </c>
      <c r="F947" s="86" t="s">
        <v>331</v>
      </c>
      <c r="G947" s="87" t="s">
        <v>2167</v>
      </c>
      <c r="H947" s="87" t="s">
        <v>2222</v>
      </c>
      <c r="I947" s="87"/>
      <c r="J947" s="87" t="s">
        <v>2168</v>
      </c>
      <c r="K947" s="88" t="str">
        <f t="shared" si="42"/>
        <v>З</v>
      </c>
      <c r="L947" s="88" t="str">
        <f t="shared" si="43"/>
        <v>М</v>
      </c>
      <c r="M947" s="89" t="str">
        <f t="shared" si="44"/>
        <v>Медицинское право</v>
      </c>
      <c r="N947" s="89" t="s">
        <v>301</v>
      </c>
    </row>
    <row r="948" spans="1:14" ht="30" hidden="1" customHeight="1" x14ac:dyDescent="0.25">
      <c r="A948" s="62"/>
      <c r="B948" s="84"/>
      <c r="C948" s="85"/>
      <c r="D948" s="85"/>
      <c r="E948" s="84"/>
      <c r="F948" s="86"/>
      <c r="G948" s="87"/>
      <c r="H948" s="87"/>
      <c r="I948" s="87"/>
      <c r="J948" s="87"/>
      <c r="K948" s="88"/>
      <c r="L948" s="88"/>
      <c r="M948" s="89"/>
      <c r="N948" s="89"/>
    </row>
    <row r="949" spans="1:14" ht="30" hidden="1" customHeight="1" x14ac:dyDescent="0.25">
      <c r="A949" s="62"/>
      <c r="B949" s="84"/>
      <c r="C949" s="85"/>
      <c r="D949" s="85"/>
      <c r="E949" s="84"/>
      <c r="F949" s="86"/>
      <c r="G949" s="87"/>
      <c r="H949" s="87"/>
      <c r="I949" s="87"/>
      <c r="J949" s="87"/>
      <c r="K949" s="88"/>
      <c r="L949" s="88"/>
      <c r="M949" s="89"/>
      <c r="N949" s="89"/>
    </row>
    <row r="950" spans="1:14" ht="30" hidden="1" customHeight="1" x14ac:dyDescent="0.25">
      <c r="A950" s="62"/>
      <c r="B950" s="84"/>
      <c r="C950" s="85"/>
      <c r="D950" s="85"/>
      <c r="E950" s="84"/>
      <c r="F950" s="86"/>
      <c r="G950" s="87"/>
      <c r="H950" s="87"/>
      <c r="I950" s="87"/>
      <c r="J950" s="87"/>
      <c r="K950" s="88"/>
      <c r="L950" s="88"/>
      <c r="M950" s="89"/>
      <c r="N950" s="89"/>
    </row>
    <row r="951" spans="1:14" ht="30" hidden="1" customHeight="1" x14ac:dyDescent="0.25">
      <c r="A951" s="62"/>
      <c r="B951" s="84"/>
      <c r="C951" s="85"/>
      <c r="D951" s="85"/>
      <c r="E951" s="84"/>
      <c r="F951" s="86"/>
      <c r="G951" s="87"/>
      <c r="H951" s="87"/>
      <c r="I951" s="87"/>
      <c r="J951" s="87"/>
      <c r="K951" s="88"/>
      <c r="L951" s="88"/>
      <c r="M951" s="89"/>
      <c r="N951" s="89"/>
    </row>
    <row r="952" spans="1:14" ht="30" hidden="1" customHeight="1" x14ac:dyDescent="0.25">
      <c r="A952" s="62"/>
      <c r="B952" s="84"/>
      <c r="C952" s="85"/>
      <c r="D952" s="85"/>
      <c r="E952" s="84"/>
      <c r="F952" s="86"/>
      <c r="G952" s="87"/>
      <c r="H952" s="87"/>
      <c r="I952" s="87"/>
      <c r="J952" s="87"/>
      <c r="K952" s="88"/>
      <c r="L952" s="88"/>
      <c r="M952" s="89"/>
      <c r="N952" s="89"/>
    </row>
    <row r="953" spans="1:14" ht="30" hidden="1" customHeight="1" x14ac:dyDescent="0.25">
      <c r="A953" s="62"/>
      <c r="B953" s="84"/>
      <c r="C953" s="85"/>
      <c r="D953" s="85"/>
      <c r="E953" s="84"/>
      <c r="F953" s="86"/>
      <c r="G953" s="87"/>
      <c r="H953" s="87"/>
      <c r="I953" s="87"/>
      <c r="J953" s="87"/>
      <c r="K953" s="88"/>
      <c r="L953" s="88"/>
      <c r="M953" s="89"/>
      <c r="N953" s="89"/>
    </row>
    <row r="954" spans="1:14" ht="30" hidden="1" customHeight="1" x14ac:dyDescent="0.25">
      <c r="A954" s="62"/>
      <c r="B954" s="84"/>
      <c r="C954" s="85"/>
      <c r="D954" s="85"/>
      <c r="E954" s="84"/>
      <c r="F954" s="86"/>
      <c r="G954" s="87"/>
      <c r="H954" s="87"/>
      <c r="I954" s="87"/>
      <c r="J954" s="87"/>
      <c r="K954" s="88"/>
      <c r="L954" s="88"/>
      <c r="M954" s="89"/>
      <c r="N954" s="89"/>
    </row>
    <row r="955" spans="1:14" ht="30" hidden="1" customHeight="1" x14ac:dyDescent="0.25">
      <c r="A955" s="62"/>
      <c r="B955" s="84"/>
      <c r="C955" s="85"/>
      <c r="D955" s="85"/>
      <c r="E955" s="84"/>
      <c r="F955" s="86"/>
      <c r="G955" s="87"/>
      <c r="H955" s="87"/>
      <c r="I955" s="87"/>
      <c r="J955" s="87"/>
      <c r="K955" s="88"/>
      <c r="L955" s="88"/>
      <c r="M955" s="89"/>
      <c r="N955" s="89"/>
    </row>
    <row r="956" spans="1:14" ht="30" hidden="1" customHeight="1" x14ac:dyDescent="0.25">
      <c r="A956" s="62"/>
      <c r="B956" s="84"/>
      <c r="C956" s="85"/>
      <c r="D956" s="85"/>
      <c r="E956" s="84"/>
      <c r="F956" s="86"/>
      <c r="G956" s="87"/>
      <c r="H956" s="87"/>
      <c r="I956" s="87"/>
      <c r="J956" s="87"/>
      <c r="K956" s="88"/>
      <c r="L956" s="88"/>
      <c r="M956" s="89"/>
      <c r="N956" s="89"/>
    </row>
    <row r="957" spans="1:14" ht="30" hidden="1" customHeight="1" x14ac:dyDescent="0.25">
      <c r="A957" s="62"/>
      <c r="B957" s="84"/>
      <c r="C957" s="85"/>
      <c r="D957" s="85"/>
      <c r="E957" s="84"/>
      <c r="F957" s="86"/>
      <c r="G957" s="87"/>
      <c r="H957" s="87"/>
      <c r="I957" s="87"/>
      <c r="J957" s="87"/>
      <c r="K957" s="88"/>
      <c r="L957" s="88"/>
      <c r="M957" s="89"/>
      <c r="N957" s="89"/>
    </row>
    <row r="958" spans="1:14" ht="30" hidden="1" customHeight="1" x14ac:dyDescent="0.25">
      <c r="A958" s="62"/>
      <c r="B958" s="84"/>
      <c r="C958" s="85"/>
      <c r="D958" s="85"/>
      <c r="E958" s="84"/>
      <c r="F958" s="86"/>
      <c r="G958" s="87"/>
      <c r="H958" s="87"/>
      <c r="I958" s="87"/>
      <c r="J958" s="87"/>
      <c r="K958" s="88"/>
      <c r="L958" s="88"/>
      <c r="M958" s="89"/>
      <c r="N958" s="89"/>
    </row>
    <row r="959" spans="1:14" ht="30" hidden="1" customHeight="1" x14ac:dyDescent="0.25">
      <c r="A959" s="62"/>
      <c r="B959" s="84"/>
      <c r="C959" s="85"/>
      <c r="D959" s="85"/>
      <c r="E959" s="84"/>
      <c r="F959" s="86"/>
      <c r="G959" s="87"/>
      <c r="H959" s="87"/>
      <c r="I959" s="87"/>
      <c r="J959" s="87"/>
      <c r="K959" s="88"/>
      <c r="L959" s="88"/>
      <c r="M959" s="89"/>
      <c r="N959" s="89"/>
    </row>
    <row r="960" spans="1:14" ht="30" hidden="1" customHeight="1" x14ac:dyDescent="0.25">
      <c r="A960" s="62"/>
      <c r="B960" s="84"/>
      <c r="C960" s="85"/>
      <c r="D960" s="85"/>
      <c r="E960" s="84"/>
      <c r="F960" s="86"/>
      <c r="G960" s="87"/>
      <c r="H960" s="87"/>
      <c r="I960" s="87"/>
      <c r="J960" s="87"/>
      <c r="K960" s="88"/>
      <c r="L960" s="88"/>
      <c r="M960" s="89"/>
      <c r="N960" s="89"/>
    </row>
  </sheetData>
  <sheetProtection algorithmName="SHA-512" hashValue="ueFnM8Zfw8SbJyhbsOb5tVvK9bj+maSA3pCZ5GzSpNxy525wAOmQtndm2n9u9B5J0UsZeBjKqfHDkNjp3R5KtA==" saltValue="oFcFeEMUXP05CMkvmGYL/A==" spinCount="100000" sheet="1" formatColumns="0" formatRows="0" autoFilter="0"/>
  <autoFilter ref="A2:N960" xr:uid="{00000000-0009-0000-0000-000001000000}">
    <filterColumn colId="1">
      <filters>
        <filter val="'09.06.01"/>
      </filters>
    </filterColumn>
  </autoFilter>
  <pageMargins left="0.118055555555556" right="0" top="0.74791666666666701" bottom="0.74791666666666701" header="0.511811023622047" footer="0.511811023622047"/>
  <pageSetup paperSize="9" scale="9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4"/>
  <sheetViews>
    <sheetView showZeros="0" zoomScale="80" zoomScaleNormal="80" workbookViewId="0">
      <pane ySplit="1" topLeftCell="A234" activePane="bottomLeft" state="frozen"/>
      <selection pane="bottomLeft" activeCell="A2" sqref="A2"/>
    </sheetView>
  </sheetViews>
  <sheetFormatPr defaultColWidth="9.109375" defaultRowHeight="15" customHeight="1" x14ac:dyDescent="0.3"/>
  <cols>
    <col min="1" max="1" width="63" style="93" customWidth="1"/>
    <col min="2" max="2" width="104.6640625" style="93" customWidth="1"/>
    <col min="3" max="16384" width="9.109375" style="94"/>
  </cols>
  <sheetData>
    <row r="1" spans="1:2" ht="15" customHeight="1" x14ac:dyDescent="0.3">
      <c r="A1" s="95" t="s">
        <v>2280</v>
      </c>
      <c r="B1" s="95" t="s">
        <v>2281</v>
      </c>
    </row>
    <row r="2" spans="1:2" ht="15" customHeight="1" x14ac:dyDescent="0.3">
      <c r="A2" s="96" t="s">
        <v>300</v>
      </c>
      <c r="B2" s="96" t="s">
        <v>2282</v>
      </c>
    </row>
    <row r="3" spans="1:2" ht="15" customHeight="1" x14ac:dyDescent="0.3">
      <c r="A3" s="96" t="s">
        <v>300</v>
      </c>
      <c r="B3" s="96" t="s">
        <v>2283</v>
      </c>
    </row>
    <row r="4" spans="1:2" ht="15" customHeight="1" x14ac:dyDescent="0.3">
      <c r="A4" s="96" t="s">
        <v>300</v>
      </c>
      <c r="B4" s="96" t="s">
        <v>2284</v>
      </c>
    </row>
    <row r="5" spans="1:2" ht="15" customHeight="1" x14ac:dyDescent="0.3">
      <c r="A5" s="96" t="s">
        <v>300</v>
      </c>
      <c r="B5" s="96" t="s">
        <v>2285</v>
      </c>
    </row>
    <row r="6" spans="1:2" ht="15" customHeight="1" x14ac:dyDescent="0.3">
      <c r="A6" s="96" t="s">
        <v>300</v>
      </c>
      <c r="B6" s="96" t="s">
        <v>2286</v>
      </c>
    </row>
    <row r="7" spans="1:2" ht="15" customHeight="1" x14ac:dyDescent="0.3">
      <c r="A7" s="96" t="s">
        <v>300</v>
      </c>
      <c r="B7" s="96" t="s">
        <v>2287</v>
      </c>
    </row>
    <row r="8" spans="1:2" ht="15" customHeight="1" x14ac:dyDescent="0.3">
      <c r="A8" s="96" t="s">
        <v>300</v>
      </c>
      <c r="B8" s="96" t="s">
        <v>2288</v>
      </c>
    </row>
    <row r="9" spans="1:2" ht="15" customHeight="1" x14ac:dyDescent="0.3">
      <c r="A9" s="96" t="s">
        <v>2289</v>
      </c>
      <c r="B9" s="96" t="s">
        <v>2290</v>
      </c>
    </row>
    <row r="10" spans="1:2" ht="15" customHeight="1" x14ac:dyDescent="0.3">
      <c r="A10" s="96" t="s">
        <v>2289</v>
      </c>
      <c r="B10" s="96" t="s">
        <v>2291</v>
      </c>
    </row>
    <row r="11" spans="1:2" ht="15" customHeight="1" x14ac:dyDescent="0.3">
      <c r="A11" s="96" t="s">
        <v>2289</v>
      </c>
      <c r="B11" s="96" t="s">
        <v>2292</v>
      </c>
    </row>
    <row r="12" spans="1:2" ht="15" customHeight="1" x14ac:dyDescent="0.3">
      <c r="A12" s="96" t="s">
        <v>2289</v>
      </c>
      <c r="B12" s="96" t="s">
        <v>2293</v>
      </c>
    </row>
    <row r="13" spans="1:2" ht="15" customHeight="1" x14ac:dyDescent="0.3">
      <c r="A13" s="96" t="s">
        <v>2289</v>
      </c>
      <c r="B13" s="96" t="s">
        <v>2294</v>
      </c>
    </row>
    <row r="14" spans="1:2" ht="15" customHeight="1" x14ac:dyDescent="0.3">
      <c r="A14" s="96" t="s">
        <v>2289</v>
      </c>
      <c r="B14" s="96" t="s">
        <v>2295</v>
      </c>
    </row>
    <row r="15" spans="1:2" ht="15" customHeight="1" x14ac:dyDescent="0.3">
      <c r="A15" s="96" t="s">
        <v>2289</v>
      </c>
      <c r="B15" s="96" t="s">
        <v>2296</v>
      </c>
    </row>
    <row r="16" spans="1:2" ht="15" customHeight="1" x14ac:dyDescent="0.3">
      <c r="A16" s="96" t="s">
        <v>2289</v>
      </c>
      <c r="B16" s="96" t="s">
        <v>2297</v>
      </c>
    </row>
    <row r="17" spans="1:2" ht="15" customHeight="1" x14ac:dyDescent="0.3">
      <c r="A17" s="96" t="s">
        <v>2298</v>
      </c>
      <c r="B17" s="96" t="s">
        <v>2299</v>
      </c>
    </row>
    <row r="18" spans="1:2" ht="15" customHeight="1" x14ac:dyDescent="0.3">
      <c r="A18" s="96" t="s">
        <v>2298</v>
      </c>
      <c r="B18" s="96" t="s">
        <v>2300</v>
      </c>
    </row>
    <row r="19" spans="1:2" ht="15" customHeight="1" x14ac:dyDescent="0.3">
      <c r="A19" s="96" t="s">
        <v>2298</v>
      </c>
      <c r="B19" s="96" t="s">
        <v>2301</v>
      </c>
    </row>
    <row r="20" spans="1:2" ht="15" customHeight="1" x14ac:dyDescent="0.3">
      <c r="A20" s="96" t="s">
        <v>2298</v>
      </c>
      <c r="B20" s="96" t="s">
        <v>2302</v>
      </c>
    </row>
    <row r="21" spans="1:2" ht="15" customHeight="1" x14ac:dyDescent="0.3">
      <c r="A21" s="96" t="s">
        <v>2298</v>
      </c>
      <c r="B21" s="96" t="s">
        <v>2303</v>
      </c>
    </row>
    <row r="22" spans="1:2" ht="15" customHeight="1" x14ac:dyDescent="0.3">
      <c r="A22" s="96" t="s">
        <v>553</v>
      </c>
      <c r="B22" s="96" t="s">
        <v>2304</v>
      </c>
    </row>
    <row r="23" spans="1:2" ht="15" customHeight="1" x14ac:dyDescent="0.3">
      <c r="A23" s="96" t="s">
        <v>553</v>
      </c>
      <c r="B23" s="96" t="s">
        <v>2305</v>
      </c>
    </row>
    <row r="24" spans="1:2" ht="15" customHeight="1" x14ac:dyDescent="0.3">
      <c r="A24" s="96" t="s">
        <v>553</v>
      </c>
      <c r="B24" s="96" t="s">
        <v>2306</v>
      </c>
    </row>
    <row r="25" spans="1:2" ht="15" customHeight="1" x14ac:dyDescent="0.3">
      <c r="A25" s="96" t="s">
        <v>553</v>
      </c>
      <c r="B25" s="96" t="s">
        <v>2307</v>
      </c>
    </row>
    <row r="26" spans="1:2" ht="15" customHeight="1" x14ac:dyDescent="0.3">
      <c r="A26" s="96" t="s">
        <v>553</v>
      </c>
      <c r="B26" s="96" t="s">
        <v>2308</v>
      </c>
    </row>
    <row r="27" spans="1:2" ht="15" customHeight="1" x14ac:dyDescent="0.3">
      <c r="A27" s="96" t="s">
        <v>553</v>
      </c>
      <c r="B27" s="96" t="s">
        <v>2309</v>
      </c>
    </row>
    <row r="28" spans="1:2" ht="15" customHeight="1" x14ac:dyDescent="0.3">
      <c r="A28" s="96" t="s">
        <v>553</v>
      </c>
      <c r="B28" s="96" t="s">
        <v>2310</v>
      </c>
    </row>
    <row r="29" spans="1:2" ht="15" customHeight="1" x14ac:dyDescent="0.3">
      <c r="A29" s="96" t="s">
        <v>553</v>
      </c>
      <c r="B29" s="96" t="s">
        <v>2311</v>
      </c>
    </row>
    <row r="30" spans="1:2" ht="15" customHeight="1" x14ac:dyDescent="0.3">
      <c r="A30" s="96" t="s">
        <v>553</v>
      </c>
      <c r="B30" s="96" t="s">
        <v>2312</v>
      </c>
    </row>
    <row r="31" spans="1:2" ht="15" customHeight="1" x14ac:dyDescent="0.3">
      <c r="A31" s="96" t="s">
        <v>553</v>
      </c>
      <c r="B31" s="96" t="s">
        <v>2313</v>
      </c>
    </row>
    <row r="32" spans="1:2" ht="15" customHeight="1" x14ac:dyDescent="0.3">
      <c r="A32" s="96" t="s">
        <v>553</v>
      </c>
      <c r="B32" s="96" t="s">
        <v>2314</v>
      </c>
    </row>
    <row r="33" spans="1:2" ht="15" customHeight="1" x14ac:dyDescent="0.3">
      <c r="A33" s="96" t="s">
        <v>553</v>
      </c>
      <c r="B33" s="96" t="s">
        <v>2315</v>
      </c>
    </row>
    <row r="34" spans="1:2" ht="15" customHeight="1" x14ac:dyDescent="0.3">
      <c r="A34" s="96" t="s">
        <v>553</v>
      </c>
      <c r="B34" s="96" t="s">
        <v>2316</v>
      </c>
    </row>
    <row r="35" spans="1:2" ht="15" customHeight="1" x14ac:dyDescent="0.3">
      <c r="A35" s="96" t="s">
        <v>553</v>
      </c>
      <c r="B35" s="96" t="s">
        <v>2317</v>
      </c>
    </row>
    <row r="36" spans="1:2" ht="15" customHeight="1" x14ac:dyDescent="0.3">
      <c r="A36" s="96" t="s">
        <v>553</v>
      </c>
      <c r="B36" s="96" t="s">
        <v>2318</v>
      </c>
    </row>
    <row r="37" spans="1:2" ht="15" customHeight="1" x14ac:dyDescent="0.3">
      <c r="A37" s="96" t="s">
        <v>553</v>
      </c>
      <c r="B37" s="96" t="s">
        <v>2319</v>
      </c>
    </row>
    <row r="38" spans="1:2" ht="15" customHeight="1" x14ac:dyDescent="0.3">
      <c r="A38" s="96" t="s">
        <v>553</v>
      </c>
      <c r="B38" s="96" t="s">
        <v>2320</v>
      </c>
    </row>
    <row r="39" spans="1:2" ht="15" customHeight="1" x14ac:dyDescent="0.3">
      <c r="A39" s="96" t="s">
        <v>553</v>
      </c>
      <c r="B39" s="96" t="s">
        <v>2321</v>
      </c>
    </row>
    <row r="40" spans="1:2" ht="15" customHeight="1" x14ac:dyDescent="0.3">
      <c r="A40" s="96" t="s">
        <v>553</v>
      </c>
      <c r="B40" s="96" t="s">
        <v>2288</v>
      </c>
    </row>
    <row r="41" spans="1:2" ht="15" customHeight="1" x14ac:dyDescent="0.3">
      <c r="A41" s="96" t="s">
        <v>553</v>
      </c>
      <c r="B41" s="96" t="s">
        <v>2322</v>
      </c>
    </row>
    <row r="42" spans="1:2" ht="15" customHeight="1" x14ac:dyDescent="0.3">
      <c r="A42" s="96" t="s">
        <v>553</v>
      </c>
      <c r="B42" s="96" t="s">
        <v>2323</v>
      </c>
    </row>
    <row r="43" spans="1:2" ht="15" customHeight="1" x14ac:dyDescent="0.3">
      <c r="A43" s="96" t="s">
        <v>553</v>
      </c>
      <c r="B43" s="96" t="s">
        <v>2324</v>
      </c>
    </row>
    <row r="44" spans="1:2" ht="15" customHeight="1" x14ac:dyDescent="0.3">
      <c r="A44" s="96" t="s">
        <v>553</v>
      </c>
      <c r="B44" s="96" t="s">
        <v>2325</v>
      </c>
    </row>
    <row r="45" spans="1:2" ht="15" customHeight="1" x14ac:dyDescent="0.3">
      <c r="A45" s="96" t="s">
        <v>553</v>
      </c>
      <c r="B45" s="96" t="s">
        <v>2326</v>
      </c>
    </row>
    <row r="46" spans="1:2" ht="15" customHeight="1" x14ac:dyDescent="0.3">
      <c r="A46" s="96" t="s">
        <v>553</v>
      </c>
      <c r="B46" s="96" t="s">
        <v>2327</v>
      </c>
    </row>
    <row r="47" spans="1:2" ht="15" customHeight="1" x14ac:dyDescent="0.3">
      <c r="A47" s="96" t="s">
        <v>553</v>
      </c>
      <c r="B47" s="96" t="s">
        <v>2328</v>
      </c>
    </row>
    <row r="48" spans="1:2" ht="15" customHeight="1" x14ac:dyDescent="0.3">
      <c r="A48" s="96" t="s">
        <v>553</v>
      </c>
      <c r="B48" s="96" t="s">
        <v>2329</v>
      </c>
    </row>
    <row r="49" spans="1:2" ht="15" customHeight="1" x14ac:dyDescent="0.3">
      <c r="A49" s="96" t="s">
        <v>553</v>
      </c>
      <c r="B49" s="96" t="s">
        <v>2330</v>
      </c>
    </row>
    <row r="50" spans="1:2" ht="15" customHeight="1" x14ac:dyDescent="0.3">
      <c r="A50" s="96" t="s">
        <v>553</v>
      </c>
      <c r="B50" s="96" t="s">
        <v>2331</v>
      </c>
    </row>
    <row r="51" spans="1:2" ht="15" customHeight="1" x14ac:dyDescent="0.3">
      <c r="A51" s="96" t="s">
        <v>2332</v>
      </c>
      <c r="B51" s="96" t="s">
        <v>2332</v>
      </c>
    </row>
    <row r="52" spans="1:2" ht="15" customHeight="1" x14ac:dyDescent="0.3">
      <c r="A52" s="96" t="s">
        <v>953</v>
      </c>
      <c r="B52" s="96" t="s">
        <v>2333</v>
      </c>
    </row>
    <row r="53" spans="1:2" ht="15" customHeight="1" x14ac:dyDescent="0.3">
      <c r="A53" s="96" t="s">
        <v>953</v>
      </c>
      <c r="B53" s="96" t="s">
        <v>2334</v>
      </c>
    </row>
    <row r="54" spans="1:2" ht="15" customHeight="1" x14ac:dyDescent="0.3">
      <c r="A54" s="96" t="s">
        <v>2335</v>
      </c>
      <c r="B54" s="96" t="s">
        <v>2335</v>
      </c>
    </row>
    <row r="55" spans="1:2" ht="15" customHeight="1" x14ac:dyDescent="0.3">
      <c r="A55" s="96" t="s">
        <v>962</v>
      </c>
      <c r="B55" s="96" t="s">
        <v>962</v>
      </c>
    </row>
    <row r="56" spans="1:2" ht="15" customHeight="1" x14ac:dyDescent="0.3">
      <c r="A56" s="96" t="s">
        <v>962</v>
      </c>
      <c r="B56" s="96" t="s">
        <v>2336</v>
      </c>
    </row>
    <row r="57" spans="1:2" ht="15" customHeight="1" x14ac:dyDescent="0.3">
      <c r="A57" s="96" t="s">
        <v>962</v>
      </c>
      <c r="B57" s="96" t="s">
        <v>2337</v>
      </c>
    </row>
    <row r="58" spans="1:2" ht="15" customHeight="1" x14ac:dyDescent="0.3">
      <c r="A58" s="96" t="s">
        <v>2338</v>
      </c>
      <c r="B58" s="96" t="s">
        <v>2339</v>
      </c>
    </row>
    <row r="59" spans="1:2" ht="15" customHeight="1" x14ac:dyDescent="0.3">
      <c r="A59" s="96" t="s">
        <v>2338</v>
      </c>
      <c r="B59" s="96" t="s">
        <v>2340</v>
      </c>
    </row>
    <row r="60" spans="1:2" ht="15" customHeight="1" x14ac:dyDescent="0.3">
      <c r="A60" s="96" t="s">
        <v>2338</v>
      </c>
      <c r="B60" s="96" t="s">
        <v>2341</v>
      </c>
    </row>
    <row r="61" spans="1:2" ht="15" customHeight="1" x14ac:dyDescent="0.3">
      <c r="A61" s="96" t="s">
        <v>2338</v>
      </c>
      <c r="B61" s="96" t="s">
        <v>2342</v>
      </c>
    </row>
    <row r="62" spans="1:2" ht="15" customHeight="1" x14ac:dyDescent="0.3">
      <c r="A62" s="96" t="s">
        <v>2338</v>
      </c>
      <c r="B62" s="96" t="s">
        <v>2343</v>
      </c>
    </row>
    <row r="63" spans="1:2" ht="15" customHeight="1" x14ac:dyDescent="0.3">
      <c r="A63" s="96" t="s">
        <v>2338</v>
      </c>
      <c r="B63" s="96" t="s">
        <v>2344</v>
      </c>
    </row>
    <row r="64" spans="1:2" ht="15" customHeight="1" x14ac:dyDescent="0.3">
      <c r="A64" s="96" t="s">
        <v>2338</v>
      </c>
      <c r="B64" s="96" t="s">
        <v>2345</v>
      </c>
    </row>
    <row r="65" spans="1:2" ht="15" customHeight="1" x14ac:dyDescent="0.3">
      <c r="A65" s="96" t="s">
        <v>2338</v>
      </c>
      <c r="B65" s="96" t="s">
        <v>2346</v>
      </c>
    </row>
    <row r="66" spans="1:2" ht="15" customHeight="1" x14ac:dyDescent="0.3">
      <c r="A66" s="96" t="s">
        <v>1015</v>
      </c>
      <c r="B66" s="96" t="s">
        <v>1015</v>
      </c>
    </row>
    <row r="67" spans="1:2" ht="15" customHeight="1" x14ac:dyDescent="0.3">
      <c r="A67" s="96" t="s">
        <v>1015</v>
      </c>
      <c r="B67" s="96" t="s">
        <v>2347</v>
      </c>
    </row>
    <row r="68" spans="1:2" ht="15" customHeight="1" x14ac:dyDescent="0.3">
      <c r="A68" s="96" t="s">
        <v>2348</v>
      </c>
      <c r="B68" s="96" t="s">
        <v>2349</v>
      </c>
    </row>
    <row r="69" spans="1:2" ht="15" customHeight="1" x14ac:dyDescent="0.3">
      <c r="A69" s="96" t="s">
        <v>2348</v>
      </c>
      <c r="B69" s="96" t="s">
        <v>2350</v>
      </c>
    </row>
    <row r="70" spans="1:2" ht="15" customHeight="1" x14ac:dyDescent="0.3">
      <c r="A70" s="96" t="s">
        <v>1059</v>
      </c>
      <c r="B70" s="96" t="s">
        <v>2351</v>
      </c>
    </row>
    <row r="71" spans="1:2" ht="15" customHeight="1" x14ac:dyDescent="0.3">
      <c r="A71" s="96" t="s">
        <v>1059</v>
      </c>
      <c r="B71" s="96" t="s">
        <v>1059</v>
      </c>
    </row>
    <row r="72" spans="1:2" ht="15" customHeight="1" x14ac:dyDescent="0.3">
      <c r="A72" s="96" t="s">
        <v>1059</v>
      </c>
      <c r="B72" s="96" t="s">
        <v>2352</v>
      </c>
    </row>
    <row r="73" spans="1:2" ht="15" customHeight="1" x14ac:dyDescent="0.3">
      <c r="A73" s="96" t="s">
        <v>1059</v>
      </c>
      <c r="B73" s="96" t="s">
        <v>2353</v>
      </c>
    </row>
    <row r="74" spans="1:2" ht="15" customHeight="1" x14ac:dyDescent="0.3">
      <c r="A74" s="96" t="s">
        <v>1059</v>
      </c>
      <c r="B74" s="96" t="s">
        <v>2354</v>
      </c>
    </row>
    <row r="75" spans="1:2" ht="15" customHeight="1" x14ac:dyDescent="0.3">
      <c r="A75" s="96" t="s">
        <v>1059</v>
      </c>
      <c r="B75" s="96" t="s">
        <v>2355</v>
      </c>
    </row>
    <row r="76" spans="1:2" ht="15" customHeight="1" x14ac:dyDescent="0.3">
      <c r="A76" s="96" t="s">
        <v>1059</v>
      </c>
      <c r="B76" s="96" t="s">
        <v>2356</v>
      </c>
    </row>
    <row r="77" spans="1:2" ht="15" customHeight="1" x14ac:dyDescent="0.3">
      <c r="A77" s="96" t="s">
        <v>1059</v>
      </c>
      <c r="B77" s="96" t="s">
        <v>2357</v>
      </c>
    </row>
    <row r="78" spans="1:2" ht="15" customHeight="1" x14ac:dyDescent="0.3">
      <c r="A78" s="96" t="s">
        <v>1059</v>
      </c>
      <c r="B78" s="96" t="s">
        <v>2358</v>
      </c>
    </row>
    <row r="79" spans="1:2" ht="15" customHeight="1" x14ac:dyDescent="0.3">
      <c r="A79" s="96" t="s">
        <v>1059</v>
      </c>
      <c r="B79" s="96" t="s">
        <v>2359</v>
      </c>
    </row>
    <row r="80" spans="1:2" ht="15" customHeight="1" x14ac:dyDescent="0.3">
      <c r="A80" s="96" t="s">
        <v>1059</v>
      </c>
      <c r="B80" s="96" t="s">
        <v>2360</v>
      </c>
    </row>
    <row r="81" spans="1:2" ht="15" customHeight="1" x14ac:dyDescent="0.3">
      <c r="A81" s="96" t="s">
        <v>1059</v>
      </c>
      <c r="B81" s="96" t="s">
        <v>2361</v>
      </c>
    </row>
    <row r="82" spans="1:2" ht="15" customHeight="1" x14ac:dyDescent="0.3">
      <c r="A82" s="96" t="s">
        <v>1059</v>
      </c>
      <c r="B82" s="96" t="s">
        <v>2362</v>
      </c>
    </row>
    <row r="83" spans="1:2" ht="15" customHeight="1" x14ac:dyDescent="0.3">
      <c r="A83" s="96" t="s">
        <v>1059</v>
      </c>
      <c r="B83" s="96" t="s">
        <v>2363</v>
      </c>
    </row>
    <row r="84" spans="1:2" ht="15" customHeight="1" x14ac:dyDescent="0.3">
      <c r="A84" s="96" t="s">
        <v>1059</v>
      </c>
      <c r="B84" s="96" t="s">
        <v>2364</v>
      </c>
    </row>
    <row r="85" spans="1:2" ht="15" customHeight="1" x14ac:dyDescent="0.3">
      <c r="A85" s="96" t="s">
        <v>1144</v>
      </c>
      <c r="B85" s="96" t="s">
        <v>2365</v>
      </c>
    </row>
    <row r="86" spans="1:2" ht="15" customHeight="1" x14ac:dyDescent="0.3">
      <c r="A86" s="96" t="s">
        <v>1144</v>
      </c>
      <c r="B86" s="96" t="s">
        <v>2366</v>
      </c>
    </row>
    <row r="87" spans="1:2" ht="15" customHeight="1" x14ac:dyDescent="0.3">
      <c r="A87" s="96" t="s">
        <v>1144</v>
      </c>
      <c r="B87" s="96" t="s">
        <v>2367</v>
      </c>
    </row>
    <row r="88" spans="1:2" ht="15" customHeight="1" x14ac:dyDescent="0.3">
      <c r="A88" s="96" t="s">
        <v>1144</v>
      </c>
      <c r="B88" s="96" t="s">
        <v>2368</v>
      </c>
    </row>
    <row r="89" spans="1:2" ht="15" customHeight="1" x14ac:dyDescent="0.3">
      <c r="A89" s="96" t="s">
        <v>1144</v>
      </c>
      <c r="B89" s="96" t="s">
        <v>2369</v>
      </c>
    </row>
    <row r="90" spans="1:2" ht="15" customHeight="1" x14ac:dyDescent="0.3">
      <c r="A90" s="96" t="s">
        <v>1144</v>
      </c>
      <c r="B90" s="96" t="s">
        <v>2288</v>
      </c>
    </row>
    <row r="91" spans="1:2" ht="15" customHeight="1" x14ac:dyDescent="0.3">
      <c r="A91" s="96" t="s">
        <v>1144</v>
      </c>
      <c r="B91" s="96" t="s">
        <v>2370</v>
      </c>
    </row>
    <row r="92" spans="1:2" ht="15" customHeight="1" x14ac:dyDescent="0.3">
      <c r="A92" s="96" t="s">
        <v>1144</v>
      </c>
      <c r="B92" s="96" t="s">
        <v>2371</v>
      </c>
    </row>
    <row r="93" spans="1:2" ht="15" customHeight="1" x14ac:dyDescent="0.3">
      <c r="A93" s="96" t="s">
        <v>1144</v>
      </c>
      <c r="B93" s="96" t="s">
        <v>2372</v>
      </c>
    </row>
    <row r="94" spans="1:2" ht="15" customHeight="1" x14ac:dyDescent="0.3">
      <c r="A94" s="96" t="s">
        <v>1144</v>
      </c>
      <c r="B94" s="96" t="s">
        <v>2373</v>
      </c>
    </row>
    <row r="95" spans="1:2" ht="15" customHeight="1" x14ac:dyDescent="0.3">
      <c r="A95" s="96" t="s">
        <v>1144</v>
      </c>
      <c r="B95" s="96" t="s">
        <v>2374</v>
      </c>
    </row>
    <row r="96" spans="1:2" ht="15" customHeight="1" x14ac:dyDescent="0.3">
      <c r="A96" s="96" t="s">
        <v>1144</v>
      </c>
      <c r="B96" s="96" t="s">
        <v>2375</v>
      </c>
    </row>
    <row r="97" spans="1:2" ht="15" customHeight="1" x14ac:dyDescent="0.3">
      <c r="A97" s="96" t="s">
        <v>1238</v>
      </c>
      <c r="B97" s="96" t="s">
        <v>2376</v>
      </c>
    </row>
    <row r="98" spans="1:2" ht="15" customHeight="1" x14ac:dyDescent="0.3">
      <c r="A98" s="96" t="s">
        <v>1238</v>
      </c>
      <c r="B98" s="96" t="s">
        <v>2377</v>
      </c>
    </row>
    <row r="99" spans="1:2" ht="15" customHeight="1" x14ac:dyDescent="0.3">
      <c r="A99" s="96" t="s">
        <v>1238</v>
      </c>
      <c r="B99" s="96" t="s">
        <v>2378</v>
      </c>
    </row>
    <row r="100" spans="1:2" ht="15" customHeight="1" x14ac:dyDescent="0.3">
      <c r="A100" s="96" t="s">
        <v>1238</v>
      </c>
      <c r="B100" s="96" t="s">
        <v>2379</v>
      </c>
    </row>
    <row r="101" spans="1:2" ht="15" customHeight="1" x14ac:dyDescent="0.3">
      <c r="A101" s="96" t="s">
        <v>1238</v>
      </c>
      <c r="B101" s="96" t="s">
        <v>2380</v>
      </c>
    </row>
    <row r="102" spans="1:2" ht="15" customHeight="1" x14ac:dyDescent="0.3">
      <c r="A102" s="96" t="s">
        <v>1238</v>
      </c>
      <c r="B102" s="96" t="s">
        <v>2381</v>
      </c>
    </row>
    <row r="103" spans="1:2" ht="15" customHeight="1" x14ac:dyDescent="0.3">
      <c r="A103" s="96" t="s">
        <v>1238</v>
      </c>
      <c r="B103" s="96" t="s">
        <v>2382</v>
      </c>
    </row>
    <row r="104" spans="1:2" ht="15" customHeight="1" x14ac:dyDescent="0.3">
      <c r="A104" s="96" t="s">
        <v>1238</v>
      </c>
      <c r="B104" s="96" t="s">
        <v>2383</v>
      </c>
    </row>
    <row r="105" spans="1:2" ht="15" customHeight="1" x14ac:dyDescent="0.3">
      <c r="A105" s="96" t="s">
        <v>1238</v>
      </c>
      <c r="B105" s="96" t="s">
        <v>2384</v>
      </c>
    </row>
    <row r="106" spans="1:2" ht="15" customHeight="1" x14ac:dyDescent="0.3">
      <c r="A106" s="96" t="s">
        <v>1238</v>
      </c>
      <c r="B106" s="96" t="s">
        <v>2385</v>
      </c>
    </row>
    <row r="107" spans="1:2" ht="15" customHeight="1" x14ac:dyDescent="0.3">
      <c r="A107" s="96" t="s">
        <v>1238</v>
      </c>
      <c r="B107" s="96" t="s">
        <v>2386</v>
      </c>
    </row>
    <row r="108" spans="1:2" ht="15" customHeight="1" x14ac:dyDescent="0.3">
      <c r="A108" s="96" t="s">
        <v>1238</v>
      </c>
      <c r="B108" s="96" t="s">
        <v>2387</v>
      </c>
    </row>
    <row r="109" spans="1:2" ht="15" customHeight="1" x14ac:dyDescent="0.3">
      <c r="A109" s="96" t="s">
        <v>1238</v>
      </c>
      <c r="B109" s="96" t="s">
        <v>2388</v>
      </c>
    </row>
    <row r="110" spans="1:2" ht="15" customHeight="1" x14ac:dyDescent="0.3">
      <c r="A110" s="96" t="s">
        <v>1238</v>
      </c>
      <c r="B110" s="96" t="s">
        <v>2389</v>
      </c>
    </row>
    <row r="111" spans="1:2" ht="15" customHeight="1" x14ac:dyDescent="0.3">
      <c r="A111" s="96" t="s">
        <v>1238</v>
      </c>
      <c r="B111" s="96" t="s">
        <v>2390</v>
      </c>
    </row>
    <row r="112" spans="1:2" ht="15" customHeight="1" x14ac:dyDescent="0.3">
      <c r="A112" s="96" t="s">
        <v>1238</v>
      </c>
      <c r="B112" s="96" t="s">
        <v>2391</v>
      </c>
    </row>
    <row r="113" spans="1:2" ht="15" customHeight="1" x14ac:dyDescent="0.3">
      <c r="A113" s="96" t="s">
        <v>1238</v>
      </c>
      <c r="B113" s="96" t="s">
        <v>2392</v>
      </c>
    </row>
    <row r="114" spans="1:2" ht="15" customHeight="1" x14ac:dyDescent="0.3">
      <c r="A114" s="96" t="s">
        <v>1238</v>
      </c>
      <c r="B114" s="96" t="s">
        <v>2288</v>
      </c>
    </row>
    <row r="115" spans="1:2" ht="15" customHeight="1" x14ac:dyDescent="0.3">
      <c r="A115" s="96" t="s">
        <v>1238</v>
      </c>
      <c r="B115" s="96" t="s">
        <v>2393</v>
      </c>
    </row>
    <row r="116" spans="1:2" ht="15" customHeight="1" x14ac:dyDescent="0.3">
      <c r="A116" s="96" t="s">
        <v>1238</v>
      </c>
      <c r="B116" s="96" t="s">
        <v>2394</v>
      </c>
    </row>
    <row r="117" spans="1:2" ht="15" customHeight="1" x14ac:dyDescent="0.3">
      <c r="A117" s="96" t="s">
        <v>1238</v>
      </c>
      <c r="B117" s="96" t="s">
        <v>2395</v>
      </c>
    </row>
    <row r="118" spans="1:2" ht="15" customHeight="1" x14ac:dyDescent="0.3">
      <c r="A118" s="96" t="s">
        <v>1238</v>
      </c>
      <c r="B118" s="96" t="s">
        <v>2396</v>
      </c>
    </row>
    <row r="119" spans="1:2" ht="15" customHeight="1" x14ac:dyDescent="0.3">
      <c r="A119" s="96" t="s">
        <v>1238</v>
      </c>
      <c r="B119" s="96" t="s">
        <v>2397</v>
      </c>
    </row>
    <row r="120" spans="1:2" ht="15" customHeight="1" x14ac:dyDescent="0.3">
      <c r="A120" s="96" t="s">
        <v>1238</v>
      </c>
      <c r="B120" s="96" t="s">
        <v>2398</v>
      </c>
    </row>
    <row r="121" spans="1:2" ht="15" customHeight="1" x14ac:dyDescent="0.3">
      <c r="A121" s="96" t="s">
        <v>1238</v>
      </c>
      <c r="B121" s="96" t="s">
        <v>2399</v>
      </c>
    </row>
    <row r="122" spans="1:2" ht="15" customHeight="1" x14ac:dyDescent="0.3">
      <c r="A122" s="96" t="s">
        <v>1238</v>
      </c>
      <c r="B122" s="96" t="s">
        <v>2400</v>
      </c>
    </row>
    <row r="123" spans="1:2" ht="15" customHeight="1" x14ac:dyDescent="0.3">
      <c r="A123" s="96" t="s">
        <v>1238</v>
      </c>
      <c r="B123" s="96" t="s">
        <v>2401</v>
      </c>
    </row>
    <row r="124" spans="1:2" ht="15" customHeight="1" x14ac:dyDescent="0.3">
      <c r="A124" s="96" t="s">
        <v>1238</v>
      </c>
      <c r="B124" s="96" t="s">
        <v>2402</v>
      </c>
    </row>
    <row r="125" spans="1:2" ht="15" customHeight="1" x14ac:dyDescent="0.3">
      <c r="A125" s="96" t="s">
        <v>1238</v>
      </c>
      <c r="B125" s="96" t="s">
        <v>2403</v>
      </c>
    </row>
    <row r="126" spans="1:2" ht="15" customHeight="1" x14ac:dyDescent="0.3">
      <c r="A126" s="96" t="s">
        <v>1238</v>
      </c>
      <c r="B126" s="96" t="s">
        <v>2404</v>
      </c>
    </row>
    <row r="127" spans="1:2" ht="15" customHeight="1" x14ac:dyDescent="0.3">
      <c r="A127" s="96" t="s">
        <v>1238</v>
      </c>
      <c r="B127" s="96" t="s">
        <v>2405</v>
      </c>
    </row>
    <row r="128" spans="1:2" ht="15" customHeight="1" x14ac:dyDescent="0.3">
      <c r="A128" s="96" t="s">
        <v>1238</v>
      </c>
      <c r="B128" s="96" t="s">
        <v>2406</v>
      </c>
    </row>
    <row r="129" spans="1:2" ht="15" customHeight="1" x14ac:dyDescent="0.3">
      <c r="A129" s="96" t="s">
        <v>1238</v>
      </c>
      <c r="B129" s="96" t="s">
        <v>2407</v>
      </c>
    </row>
    <row r="130" spans="1:2" ht="15" customHeight="1" x14ac:dyDescent="0.3">
      <c r="A130" s="96" t="s">
        <v>1238</v>
      </c>
      <c r="B130" s="96" t="s">
        <v>2408</v>
      </c>
    </row>
    <row r="131" spans="1:2" ht="15" customHeight="1" x14ac:dyDescent="0.3">
      <c r="A131" s="96" t="s">
        <v>1238</v>
      </c>
      <c r="B131" s="96" t="s">
        <v>2409</v>
      </c>
    </row>
    <row r="132" spans="1:2" ht="15" customHeight="1" x14ac:dyDescent="0.3">
      <c r="A132" s="96" t="s">
        <v>1238</v>
      </c>
      <c r="B132" s="96" t="s">
        <v>2410</v>
      </c>
    </row>
    <row r="133" spans="1:2" ht="15" customHeight="1" x14ac:dyDescent="0.3">
      <c r="A133" s="96" t="s">
        <v>1238</v>
      </c>
      <c r="B133" s="96" t="s">
        <v>2411</v>
      </c>
    </row>
    <row r="134" spans="1:2" ht="15" customHeight="1" x14ac:dyDescent="0.3">
      <c r="A134" s="96" t="s">
        <v>1238</v>
      </c>
      <c r="B134" s="96" t="s">
        <v>2412</v>
      </c>
    </row>
    <row r="135" spans="1:2" ht="15" customHeight="1" x14ac:dyDescent="0.3">
      <c r="A135" s="96" t="s">
        <v>1238</v>
      </c>
      <c r="B135" s="96" t="s">
        <v>2413</v>
      </c>
    </row>
    <row r="136" spans="1:2" ht="15" customHeight="1" x14ac:dyDescent="0.3">
      <c r="A136" s="96" t="s">
        <v>1238</v>
      </c>
      <c r="B136" s="96" t="s">
        <v>2414</v>
      </c>
    </row>
    <row r="137" spans="1:2" ht="15" customHeight="1" x14ac:dyDescent="0.3">
      <c r="A137" s="96" t="s">
        <v>1238</v>
      </c>
      <c r="B137" s="96" t="s">
        <v>2415</v>
      </c>
    </row>
    <row r="138" spans="1:2" ht="15" customHeight="1" x14ac:dyDescent="0.3">
      <c r="A138" s="96" t="s">
        <v>1238</v>
      </c>
      <c r="B138" s="96" t="s">
        <v>2416</v>
      </c>
    </row>
    <row r="139" spans="1:2" ht="15" customHeight="1" x14ac:dyDescent="0.3">
      <c r="A139" s="96" t="s">
        <v>1238</v>
      </c>
      <c r="B139" s="96" t="s">
        <v>2417</v>
      </c>
    </row>
    <row r="140" spans="1:2" ht="15" customHeight="1" x14ac:dyDescent="0.3">
      <c r="A140" s="96" t="s">
        <v>1238</v>
      </c>
      <c r="B140" s="96" t="s">
        <v>2418</v>
      </c>
    </row>
    <row r="141" spans="1:2" ht="15" customHeight="1" x14ac:dyDescent="0.3">
      <c r="A141" s="96" t="s">
        <v>1238</v>
      </c>
      <c r="B141" s="96" t="s">
        <v>2419</v>
      </c>
    </row>
    <row r="142" spans="1:2" ht="15" customHeight="1" x14ac:dyDescent="0.3">
      <c r="A142" s="96" t="s">
        <v>1238</v>
      </c>
      <c r="B142" s="96" t="s">
        <v>2420</v>
      </c>
    </row>
    <row r="143" spans="1:2" ht="15" customHeight="1" x14ac:dyDescent="0.3">
      <c r="A143" s="96" t="s">
        <v>1238</v>
      </c>
      <c r="B143" s="96" t="s">
        <v>2421</v>
      </c>
    </row>
    <row r="144" spans="1:2" ht="15" customHeight="1" x14ac:dyDescent="0.3">
      <c r="A144" s="96" t="s">
        <v>1238</v>
      </c>
      <c r="B144" s="96" t="s">
        <v>2422</v>
      </c>
    </row>
    <row r="145" spans="1:2" ht="15" customHeight="1" x14ac:dyDescent="0.3">
      <c r="A145" s="96" t="s">
        <v>1238</v>
      </c>
      <c r="B145" s="96" t="s">
        <v>2423</v>
      </c>
    </row>
    <row r="146" spans="1:2" ht="15" customHeight="1" x14ac:dyDescent="0.3">
      <c r="A146" s="96" t="s">
        <v>1238</v>
      </c>
      <c r="B146" s="96" t="s">
        <v>2424</v>
      </c>
    </row>
    <row r="147" spans="1:2" ht="15" customHeight="1" x14ac:dyDescent="0.3">
      <c r="A147" s="96" t="s">
        <v>1238</v>
      </c>
      <c r="B147" s="96" t="s">
        <v>2425</v>
      </c>
    </row>
    <row r="148" spans="1:2" ht="15" customHeight="1" x14ac:dyDescent="0.3">
      <c r="A148" s="96" t="s">
        <v>1238</v>
      </c>
      <c r="B148" s="96" t="s">
        <v>2426</v>
      </c>
    </row>
    <row r="149" spans="1:2" ht="15" customHeight="1" x14ac:dyDescent="0.3">
      <c r="A149" s="96" t="s">
        <v>1238</v>
      </c>
      <c r="B149" s="96" t="s">
        <v>2427</v>
      </c>
    </row>
    <row r="150" spans="1:2" ht="15" customHeight="1" x14ac:dyDescent="0.3">
      <c r="A150" s="96" t="s">
        <v>1238</v>
      </c>
      <c r="B150" s="96" t="s">
        <v>2428</v>
      </c>
    </row>
    <row r="151" spans="1:2" ht="15" customHeight="1" x14ac:dyDescent="0.3">
      <c r="A151" s="96" t="s">
        <v>2429</v>
      </c>
      <c r="B151" s="96" t="s">
        <v>2429</v>
      </c>
    </row>
    <row r="152" spans="1:2" ht="15" customHeight="1" x14ac:dyDescent="0.3">
      <c r="A152" s="96" t="s">
        <v>2430</v>
      </c>
      <c r="B152" s="96" t="s">
        <v>2431</v>
      </c>
    </row>
    <row r="153" spans="1:2" ht="15" customHeight="1" x14ac:dyDescent="0.3">
      <c r="A153" s="96" t="s">
        <v>2432</v>
      </c>
      <c r="B153" s="96" t="s">
        <v>2433</v>
      </c>
    </row>
    <row r="154" spans="1:2" ht="15" customHeight="1" x14ac:dyDescent="0.3">
      <c r="A154" s="96" t="s">
        <v>1601</v>
      </c>
      <c r="B154" s="96" t="s">
        <v>2434</v>
      </c>
    </row>
    <row r="155" spans="1:2" ht="15" customHeight="1" x14ac:dyDescent="0.3">
      <c r="A155" s="96" t="s">
        <v>1601</v>
      </c>
      <c r="B155" s="96" t="s">
        <v>2435</v>
      </c>
    </row>
    <row r="156" spans="1:2" ht="15" customHeight="1" x14ac:dyDescent="0.3">
      <c r="A156" s="96" t="s">
        <v>1605</v>
      </c>
      <c r="B156" s="96" t="s">
        <v>2436</v>
      </c>
    </row>
    <row r="157" spans="1:2" ht="15" customHeight="1" x14ac:dyDescent="0.3">
      <c r="A157" s="96" t="s">
        <v>1605</v>
      </c>
      <c r="B157" s="96" t="s">
        <v>2437</v>
      </c>
    </row>
    <row r="158" spans="1:2" ht="15" customHeight="1" x14ac:dyDescent="0.3">
      <c r="A158" s="96" t="s">
        <v>1618</v>
      </c>
      <c r="B158" s="96" t="s">
        <v>2438</v>
      </c>
    </row>
    <row r="159" spans="1:2" ht="15" customHeight="1" x14ac:dyDescent="0.3">
      <c r="A159" s="96" t="s">
        <v>1618</v>
      </c>
      <c r="B159" s="96" t="s">
        <v>2439</v>
      </c>
    </row>
    <row r="160" spans="1:2" ht="15" customHeight="1" x14ac:dyDescent="0.3">
      <c r="A160" s="96" t="s">
        <v>1618</v>
      </c>
      <c r="B160" s="96" t="s">
        <v>2440</v>
      </c>
    </row>
    <row r="161" spans="1:2" ht="15" customHeight="1" x14ac:dyDescent="0.3">
      <c r="A161" s="96" t="s">
        <v>1618</v>
      </c>
      <c r="B161" s="96" t="s">
        <v>2441</v>
      </c>
    </row>
    <row r="162" spans="1:2" ht="15" customHeight="1" x14ac:dyDescent="0.3">
      <c r="A162" s="96" t="s">
        <v>1618</v>
      </c>
      <c r="B162" s="96" t="s">
        <v>2288</v>
      </c>
    </row>
    <row r="163" spans="1:2" ht="15" customHeight="1" x14ac:dyDescent="0.3">
      <c r="A163" s="96" t="s">
        <v>1618</v>
      </c>
      <c r="B163" s="96" t="s">
        <v>2442</v>
      </c>
    </row>
    <row r="164" spans="1:2" ht="15" customHeight="1" x14ac:dyDescent="0.3">
      <c r="A164" s="96" t="s">
        <v>1618</v>
      </c>
      <c r="B164" s="96" t="s">
        <v>2443</v>
      </c>
    </row>
    <row r="165" spans="1:2" ht="15" customHeight="1" x14ac:dyDescent="0.3">
      <c r="A165" s="96" t="s">
        <v>1618</v>
      </c>
      <c r="B165" s="96" t="s">
        <v>2444</v>
      </c>
    </row>
    <row r="166" spans="1:2" ht="15" customHeight="1" x14ac:dyDescent="0.3">
      <c r="A166" s="96" t="s">
        <v>1618</v>
      </c>
      <c r="B166" s="96" t="s">
        <v>2445</v>
      </c>
    </row>
    <row r="167" spans="1:2" ht="15" customHeight="1" x14ac:dyDescent="0.3">
      <c r="A167" s="96" t="s">
        <v>1618</v>
      </c>
      <c r="B167" s="96" t="s">
        <v>2446</v>
      </c>
    </row>
    <row r="168" spans="1:2" ht="15" customHeight="1" x14ac:dyDescent="0.3">
      <c r="A168" s="96" t="s">
        <v>1618</v>
      </c>
      <c r="B168" s="96" t="s">
        <v>2447</v>
      </c>
    </row>
    <row r="169" spans="1:2" ht="15" customHeight="1" x14ac:dyDescent="0.3">
      <c r="A169" s="96" t="s">
        <v>1618</v>
      </c>
      <c r="B169" s="96" t="s">
        <v>2448</v>
      </c>
    </row>
    <row r="170" spans="1:2" ht="15" customHeight="1" x14ac:dyDescent="0.3">
      <c r="A170" s="96" t="s">
        <v>1618</v>
      </c>
      <c r="B170" s="96" t="s">
        <v>2449</v>
      </c>
    </row>
    <row r="171" spans="1:2" ht="15" customHeight="1" x14ac:dyDescent="0.3">
      <c r="A171" s="96" t="s">
        <v>1618</v>
      </c>
      <c r="B171" s="96" t="s">
        <v>2450</v>
      </c>
    </row>
    <row r="172" spans="1:2" ht="15" customHeight="1" x14ac:dyDescent="0.3">
      <c r="A172" s="96" t="s">
        <v>1618</v>
      </c>
      <c r="B172" s="96" t="s">
        <v>2451</v>
      </c>
    </row>
    <row r="173" spans="1:2" ht="15" customHeight="1" x14ac:dyDescent="0.3">
      <c r="A173" s="96" t="s">
        <v>1788</v>
      </c>
      <c r="B173" s="96" t="s">
        <v>2452</v>
      </c>
    </row>
    <row r="174" spans="1:2" ht="15" customHeight="1" x14ac:dyDescent="0.3">
      <c r="A174" s="96" t="s">
        <v>1788</v>
      </c>
      <c r="B174" s="96" t="s">
        <v>2380</v>
      </c>
    </row>
    <row r="175" spans="1:2" ht="15" customHeight="1" x14ac:dyDescent="0.3">
      <c r="A175" s="96" t="s">
        <v>1788</v>
      </c>
      <c r="B175" s="96" t="s">
        <v>2453</v>
      </c>
    </row>
    <row r="176" spans="1:2" ht="15" customHeight="1" x14ac:dyDescent="0.3">
      <c r="A176" s="96" t="s">
        <v>1788</v>
      </c>
      <c r="B176" s="96" t="s">
        <v>2454</v>
      </c>
    </row>
    <row r="177" spans="1:2" ht="15" customHeight="1" x14ac:dyDescent="0.3">
      <c r="A177" s="96" t="s">
        <v>1788</v>
      </c>
      <c r="B177" s="96" t="s">
        <v>2455</v>
      </c>
    </row>
    <row r="178" spans="1:2" ht="15" customHeight="1" x14ac:dyDescent="0.3">
      <c r="A178" s="96" t="s">
        <v>1788</v>
      </c>
      <c r="B178" s="96" t="s">
        <v>2456</v>
      </c>
    </row>
    <row r="179" spans="1:2" ht="15" customHeight="1" x14ac:dyDescent="0.3">
      <c r="A179" s="96" t="s">
        <v>1788</v>
      </c>
      <c r="B179" s="96" t="s">
        <v>2457</v>
      </c>
    </row>
    <row r="180" spans="1:2" ht="15" customHeight="1" x14ac:dyDescent="0.3">
      <c r="A180" s="96" t="s">
        <v>1788</v>
      </c>
      <c r="B180" s="96" t="s">
        <v>2458</v>
      </c>
    </row>
    <row r="181" spans="1:2" ht="15" customHeight="1" x14ac:dyDescent="0.3">
      <c r="A181" s="96" t="s">
        <v>1788</v>
      </c>
      <c r="B181" s="96" t="s">
        <v>2459</v>
      </c>
    </row>
    <row r="182" spans="1:2" ht="15" customHeight="1" x14ac:dyDescent="0.3">
      <c r="A182" s="96" t="s">
        <v>1788</v>
      </c>
      <c r="B182" s="96" t="s">
        <v>2460</v>
      </c>
    </row>
    <row r="183" spans="1:2" ht="15" customHeight="1" x14ac:dyDescent="0.3">
      <c r="A183" s="96" t="s">
        <v>1788</v>
      </c>
      <c r="B183" s="96" t="s">
        <v>2461</v>
      </c>
    </row>
    <row r="184" spans="1:2" ht="15" customHeight="1" x14ac:dyDescent="0.3">
      <c r="A184" s="96" t="s">
        <v>1788</v>
      </c>
      <c r="B184" s="96" t="s">
        <v>2462</v>
      </c>
    </row>
    <row r="185" spans="1:2" ht="15" customHeight="1" x14ac:dyDescent="0.3">
      <c r="A185" s="96" t="s">
        <v>1788</v>
      </c>
      <c r="B185" s="96" t="s">
        <v>2463</v>
      </c>
    </row>
    <row r="186" spans="1:2" ht="15" customHeight="1" x14ac:dyDescent="0.3">
      <c r="A186" s="96" t="s">
        <v>1788</v>
      </c>
      <c r="B186" s="96" t="s">
        <v>2464</v>
      </c>
    </row>
    <row r="187" spans="1:2" ht="15" customHeight="1" x14ac:dyDescent="0.3">
      <c r="A187" s="96" t="s">
        <v>1788</v>
      </c>
      <c r="B187" s="96" t="s">
        <v>2465</v>
      </c>
    </row>
    <row r="188" spans="1:2" ht="15" customHeight="1" x14ac:dyDescent="0.3">
      <c r="A188" s="96" t="s">
        <v>1788</v>
      </c>
      <c r="B188" s="96" t="s">
        <v>2466</v>
      </c>
    </row>
    <row r="189" spans="1:2" ht="15" customHeight="1" x14ac:dyDescent="0.3">
      <c r="A189" s="96" t="s">
        <v>1788</v>
      </c>
      <c r="B189" s="96" t="s">
        <v>2467</v>
      </c>
    </row>
    <row r="190" spans="1:2" ht="15" customHeight="1" x14ac:dyDescent="0.3">
      <c r="A190" s="96" t="s">
        <v>1788</v>
      </c>
      <c r="B190" s="96" t="s">
        <v>2468</v>
      </c>
    </row>
    <row r="191" spans="1:2" ht="15" customHeight="1" x14ac:dyDescent="0.3">
      <c r="A191" s="96" t="s">
        <v>1788</v>
      </c>
      <c r="B191" s="96" t="s">
        <v>2469</v>
      </c>
    </row>
    <row r="192" spans="1:2" ht="15" customHeight="1" x14ac:dyDescent="0.3">
      <c r="A192" s="96" t="s">
        <v>1788</v>
      </c>
      <c r="B192" s="96" t="s">
        <v>2470</v>
      </c>
    </row>
    <row r="193" spans="1:2" ht="15" customHeight="1" x14ac:dyDescent="0.3">
      <c r="A193" s="96" t="s">
        <v>1788</v>
      </c>
      <c r="B193" s="96" t="s">
        <v>2471</v>
      </c>
    </row>
    <row r="194" spans="1:2" ht="15" customHeight="1" x14ac:dyDescent="0.3">
      <c r="A194" s="96" t="s">
        <v>1788</v>
      </c>
      <c r="B194" s="96" t="s">
        <v>2472</v>
      </c>
    </row>
    <row r="195" spans="1:2" ht="15" customHeight="1" x14ac:dyDescent="0.3">
      <c r="A195" s="96" t="s">
        <v>1788</v>
      </c>
      <c r="B195" s="96" t="s">
        <v>2473</v>
      </c>
    </row>
    <row r="196" spans="1:2" ht="15" customHeight="1" x14ac:dyDescent="0.3">
      <c r="A196" s="96" t="s">
        <v>1788</v>
      </c>
      <c r="B196" s="96" t="s">
        <v>2474</v>
      </c>
    </row>
    <row r="197" spans="1:2" ht="15" customHeight="1" x14ac:dyDescent="0.3">
      <c r="A197" s="96" t="s">
        <v>1788</v>
      </c>
      <c r="B197" s="96" t="s">
        <v>2475</v>
      </c>
    </row>
    <row r="198" spans="1:2" ht="15" customHeight="1" x14ac:dyDescent="0.3">
      <c r="A198" s="96" t="s">
        <v>1788</v>
      </c>
      <c r="B198" s="96" t="s">
        <v>2476</v>
      </c>
    </row>
    <row r="199" spans="1:2" ht="15" customHeight="1" x14ac:dyDescent="0.3">
      <c r="A199" s="96" t="s">
        <v>1788</v>
      </c>
      <c r="B199" s="96" t="s">
        <v>2477</v>
      </c>
    </row>
    <row r="200" spans="1:2" ht="15" customHeight="1" x14ac:dyDescent="0.3">
      <c r="A200" s="96" t="s">
        <v>1788</v>
      </c>
      <c r="B200" s="96" t="s">
        <v>2478</v>
      </c>
    </row>
    <row r="201" spans="1:2" ht="15" customHeight="1" x14ac:dyDescent="0.3">
      <c r="A201" s="96" t="s">
        <v>1788</v>
      </c>
      <c r="B201" s="96" t="s">
        <v>2479</v>
      </c>
    </row>
    <row r="202" spans="1:2" ht="15" customHeight="1" x14ac:dyDescent="0.3">
      <c r="A202" s="96" t="s">
        <v>1788</v>
      </c>
      <c r="B202" s="96" t="s">
        <v>2480</v>
      </c>
    </row>
    <row r="203" spans="1:2" ht="15" customHeight="1" x14ac:dyDescent="0.3">
      <c r="A203" s="96" t="s">
        <v>1788</v>
      </c>
      <c r="B203" s="96" t="s">
        <v>2481</v>
      </c>
    </row>
    <row r="204" spans="1:2" ht="15" customHeight="1" x14ac:dyDescent="0.3">
      <c r="A204" s="96" t="s">
        <v>1788</v>
      </c>
      <c r="B204" s="96" t="s">
        <v>2482</v>
      </c>
    </row>
    <row r="205" spans="1:2" ht="15" customHeight="1" x14ac:dyDescent="0.3">
      <c r="A205" s="96" t="s">
        <v>1788</v>
      </c>
      <c r="B205" s="96" t="s">
        <v>2483</v>
      </c>
    </row>
    <row r="206" spans="1:2" ht="15" customHeight="1" x14ac:dyDescent="0.3">
      <c r="A206" s="96" t="s">
        <v>1788</v>
      </c>
      <c r="B206" s="96" t="s">
        <v>2484</v>
      </c>
    </row>
    <row r="207" spans="1:2" ht="15" customHeight="1" x14ac:dyDescent="0.3">
      <c r="A207" s="96" t="s">
        <v>1788</v>
      </c>
      <c r="B207" s="96" t="s">
        <v>2485</v>
      </c>
    </row>
    <row r="208" spans="1:2" ht="15" customHeight="1" x14ac:dyDescent="0.3">
      <c r="A208" s="96" t="s">
        <v>1788</v>
      </c>
      <c r="B208" s="96" t="s">
        <v>2486</v>
      </c>
    </row>
    <row r="209" spans="1:2" ht="15" customHeight="1" x14ac:dyDescent="0.3">
      <c r="A209" s="96" t="s">
        <v>1788</v>
      </c>
      <c r="B209" s="96" t="s">
        <v>2487</v>
      </c>
    </row>
    <row r="210" spans="1:2" ht="15" customHeight="1" x14ac:dyDescent="0.3">
      <c r="A210" s="96" t="s">
        <v>1788</v>
      </c>
      <c r="B210" s="96" t="s">
        <v>2488</v>
      </c>
    </row>
    <row r="211" spans="1:2" ht="15" customHeight="1" x14ac:dyDescent="0.3">
      <c r="A211" s="96" t="s">
        <v>1788</v>
      </c>
      <c r="B211" s="96" t="s">
        <v>2489</v>
      </c>
    </row>
    <row r="212" spans="1:2" ht="15" customHeight="1" x14ac:dyDescent="0.3">
      <c r="A212" s="96" t="s">
        <v>1788</v>
      </c>
      <c r="B212" s="96" t="s">
        <v>2490</v>
      </c>
    </row>
    <row r="213" spans="1:2" ht="15" customHeight="1" x14ac:dyDescent="0.3">
      <c r="A213" s="96" t="s">
        <v>1788</v>
      </c>
      <c r="B213" s="96" t="s">
        <v>2491</v>
      </c>
    </row>
    <row r="214" spans="1:2" ht="15" customHeight="1" x14ac:dyDescent="0.3">
      <c r="A214" s="96" t="s">
        <v>1788</v>
      </c>
      <c r="B214" s="96" t="s">
        <v>2492</v>
      </c>
    </row>
    <row r="215" spans="1:2" ht="15" customHeight="1" x14ac:dyDescent="0.3">
      <c r="A215" s="96" t="s">
        <v>1788</v>
      </c>
      <c r="B215" s="96" t="s">
        <v>2493</v>
      </c>
    </row>
    <row r="216" spans="1:2" ht="15" customHeight="1" x14ac:dyDescent="0.3">
      <c r="A216" s="96" t="s">
        <v>1788</v>
      </c>
      <c r="B216" s="96" t="s">
        <v>2494</v>
      </c>
    </row>
    <row r="217" spans="1:2" ht="15" customHeight="1" x14ac:dyDescent="0.3">
      <c r="A217" s="96" t="s">
        <v>1788</v>
      </c>
      <c r="B217" s="96" t="s">
        <v>2495</v>
      </c>
    </row>
    <row r="218" spans="1:2" ht="15" customHeight="1" x14ac:dyDescent="0.3">
      <c r="A218" s="96" t="s">
        <v>1788</v>
      </c>
      <c r="B218" s="96" t="s">
        <v>2496</v>
      </c>
    </row>
    <row r="219" spans="1:2" ht="15" customHeight="1" x14ac:dyDescent="0.3">
      <c r="A219" s="96" t="s">
        <v>1788</v>
      </c>
      <c r="B219" s="96" t="s">
        <v>2497</v>
      </c>
    </row>
    <row r="220" spans="1:2" ht="15" customHeight="1" x14ac:dyDescent="0.3">
      <c r="A220" s="96" t="s">
        <v>1788</v>
      </c>
      <c r="B220" s="96" t="s">
        <v>2498</v>
      </c>
    </row>
    <row r="221" spans="1:2" ht="15" customHeight="1" x14ac:dyDescent="0.3">
      <c r="A221" s="96" t="s">
        <v>1788</v>
      </c>
      <c r="B221" s="96" t="s">
        <v>2499</v>
      </c>
    </row>
    <row r="222" spans="1:2" ht="15" customHeight="1" x14ac:dyDescent="0.3">
      <c r="A222" s="96" t="s">
        <v>1788</v>
      </c>
      <c r="B222" s="96" t="s">
        <v>2500</v>
      </c>
    </row>
    <row r="223" spans="1:2" ht="15" customHeight="1" x14ac:dyDescent="0.3">
      <c r="A223" s="96" t="s">
        <v>1788</v>
      </c>
      <c r="B223" s="96" t="s">
        <v>2501</v>
      </c>
    </row>
    <row r="224" spans="1:2" ht="15" customHeight="1" x14ac:dyDescent="0.3">
      <c r="A224" s="96" t="s">
        <v>1788</v>
      </c>
      <c r="B224" s="96" t="s">
        <v>2502</v>
      </c>
    </row>
    <row r="225" spans="1:2" ht="15" customHeight="1" x14ac:dyDescent="0.3">
      <c r="A225" s="96" t="s">
        <v>1801</v>
      </c>
      <c r="B225" s="96" t="s">
        <v>2503</v>
      </c>
    </row>
    <row r="226" spans="1:2" ht="15" customHeight="1" x14ac:dyDescent="0.3">
      <c r="A226" s="96" t="s">
        <v>1801</v>
      </c>
      <c r="B226" s="96" t="s">
        <v>2288</v>
      </c>
    </row>
    <row r="227" spans="1:2" ht="15" customHeight="1" x14ac:dyDescent="0.3">
      <c r="A227" s="96" t="s">
        <v>1801</v>
      </c>
      <c r="B227" s="96" t="s">
        <v>2504</v>
      </c>
    </row>
    <row r="228" spans="1:2" ht="15" customHeight="1" x14ac:dyDescent="0.3">
      <c r="A228" s="96" t="s">
        <v>1801</v>
      </c>
      <c r="B228" s="96" t="s">
        <v>2505</v>
      </c>
    </row>
    <row r="229" spans="1:2" ht="15" customHeight="1" x14ac:dyDescent="0.3">
      <c r="A229" s="96" t="s">
        <v>1801</v>
      </c>
      <c r="B229" s="96" t="s">
        <v>2506</v>
      </c>
    </row>
    <row r="230" spans="1:2" ht="15" customHeight="1" x14ac:dyDescent="0.3">
      <c r="A230" s="96" t="s">
        <v>1801</v>
      </c>
      <c r="B230" s="96" t="s">
        <v>2507</v>
      </c>
    </row>
    <row r="231" spans="1:2" ht="15" customHeight="1" x14ac:dyDescent="0.3">
      <c r="A231" s="96" t="s">
        <v>1801</v>
      </c>
      <c r="B231" s="96" t="s">
        <v>2508</v>
      </c>
    </row>
    <row r="232" spans="1:2" ht="15" customHeight="1" x14ac:dyDescent="0.3">
      <c r="A232" s="96" t="s">
        <v>1801</v>
      </c>
      <c r="B232" s="96" t="s">
        <v>2509</v>
      </c>
    </row>
    <row r="233" spans="1:2" ht="15" customHeight="1" x14ac:dyDescent="0.3">
      <c r="A233" s="96" t="s">
        <v>1801</v>
      </c>
      <c r="B233" s="96" t="s">
        <v>2510</v>
      </c>
    </row>
    <row r="234" spans="1:2" ht="15" customHeight="1" x14ac:dyDescent="0.3">
      <c r="A234" s="96" t="s">
        <v>1801</v>
      </c>
      <c r="B234" s="96" t="s">
        <v>2511</v>
      </c>
    </row>
    <row r="235" spans="1:2" ht="15" customHeight="1" x14ac:dyDescent="0.3">
      <c r="A235" s="96" t="s">
        <v>1801</v>
      </c>
      <c r="B235" s="96" t="s">
        <v>2512</v>
      </c>
    </row>
    <row r="236" spans="1:2" ht="15" customHeight="1" x14ac:dyDescent="0.3">
      <c r="A236" s="96" t="s">
        <v>1801</v>
      </c>
      <c r="B236" s="96" t="s">
        <v>2513</v>
      </c>
    </row>
    <row r="237" spans="1:2" ht="15" customHeight="1" x14ac:dyDescent="0.3">
      <c r="A237" s="96" t="s">
        <v>1801</v>
      </c>
      <c r="B237" s="96" t="s">
        <v>2514</v>
      </c>
    </row>
    <row r="238" spans="1:2" ht="15" customHeight="1" x14ac:dyDescent="0.3">
      <c r="A238" s="96" t="s">
        <v>1801</v>
      </c>
      <c r="B238" s="96" t="s">
        <v>2515</v>
      </c>
    </row>
    <row r="239" spans="1:2" ht="15" customHeight="1" x14ac:dyDescent="0.3">
      <c r="A239" s="96" t="s">
        <v>1801</v>
      </c>
      <c r="B239" s="96" t="s">
        <v>2516</v>
      </c>
    </row>
    <row r="240" spans="1:2" ht="15" customHeight="1" x14ac:dyDescent="0.3">
      <c r="A240" s="96" t="s">
        <v>1890</v>
      </c>
      <c r="B240" s="96" t="s">
        <v>2517</v>
      </c>
    </row>
    <row r="241" spans="1:2" ht="15" customHeight="1" x14ac:dyDescent="0.3">
      <c r="A241" s="96" t="s">
        <v>1890</v>
      </c>
      <c r="B241" s="96" t="s">
        <v>2288</v>
      </c>
    </row>
    <row r="242" spans="1:2" ht="15" customHeight="1" x14ac:dyDescent="0.3">
      <c r="A242" s="96" t="s">
        <v>1890</v>
      </c>
      <c r="B242" s="96" t="s">
        <v>2518</v>
      </c>
    </row>
    <row r="243" spans="1:2" ht="15" customHeight="1" x14ac:dyDescent="0.3">
      <c r="A243" s="96" t="s">
        <v>1890</v>
      </c>
      <c r="B243" s="96" t="s">
        <v>2519</v>
      </c>
    </row>
    <row r="244" spans="1:2" ht="15" customHeight="1" x14ac:dyDescent="0.3">
      <c r="A244" s="96" t="s">
        <v>1890</v>
      </c>
      <c r="B244" s="96" t="s">
        <v>2520</v>
      </c>
    </row>
    <row r="245" spans="1:2" ht="15" customHeight="1" x14ac:dyDescent="0.3">
      <c r="A245" s="96" t="s">
        <v>1890</v>
      </c>
      <c r="B245" s="96" t="s">
        <v>2521</v>
      </c>
    </row>
    <row r="246" spans="1:2" ht="15" customHeight="1" x14ac:dyDescent="0.3">
      <c r="A246" s="96" t="s">
        <v>1890</v>
      </c>
      <c r="B246" s="96" t="s">
        <v>2522</v>
      </c>
    </row>
    <row r="247" spans="1:2" ht="15" customHeight="1" x14ac:dyDescent="0.3">
      <c r="A247" s="96" t="s">
        <v>1890</v>
      </c>
      <c r="B247" s="96" t="s">
        <v>2523</v>
      </c>
    </row>
    <row r="248" spans="1:2" ht="15" customHeight="1" x14ac:dyDescent="0.3">
      <c r="A248" s="96" t="s">
        <v>1890</v>
      </c>
      <c r="B248" s="96" t="s">
        <v>2524</v>
      </c>
    </row>
    <row r="249" spans="1:2" ht="15" customHeight="1" x14ac:dyDescent="0.3">
      <c r="A249" s="96" t="s">
        <v>1890</v>
      </c>
      <c r="B249" s="96" t="s">
        <v>2525</v>
      </c>
    </row>
    <row r="250" spans="1:2" ht="15" customHeight="1" x14ac:dyDescent="0.3">
      <c r="A250" s="96" t="s">
        <v>1890</v>
      </c>
      <c r="B250" s="96" t="s">
        <v>2526</v>
      </c>
    </row>
    <row r="251" spans="1:2" ht="15" customHeight="1" x14ac:dyDescent="0.3">
      <c r="A251" s="96" t="s">
        <v>2527</v>
      </c>
      <c r="B251" s="96" t="s">
        <v>2528</v>
      </c>
    </row>
    <row r="252" spans="1:2" ht="15" customHeight="1" x14ac:dyDescent="0.3">
      <c r="A252" s="96" t="s">
        <v>2529</v>
      </c>
      <c r="B252" s="96" t="s">
        <v>2529</v>
      </c>
    </row>
    <row r="253" spans="1:2" ht="15" customHeight="1" x14ac:dyDescent="0.3">
      <c r="A253" s="96" t="s">
        <v>2015</v>
      </c>
      <c r="B253" s="96" t="s">
        <v>2530</v>
      </c>
    </row>
    <row r="254" spans="1:2" ht="15" customHeight="1" x14ac:dyDescent="0.3">
      <c r="A254" s="96" t="s">
        <v>2015</v>
      </c>
      <c r="B254" s="96" t="s">
        <v>2531</v>
      </c>
    </row>
    <row r="255" spans="1:2" ht="15" customHeight="1" x14ac:dyDescent="0.3">
      <c r="A255" s="96" t="s">
        <v>2015</v>
      </c>
      <c r="B255" s="96" t="s">
        <v>2532</v>
      </c>
    </row>
    <row r="256" spans="1:2" ht="15" customHeight="1" x14ac:dyDescent="0.3">
      <c r="A256" s="96" t="s">
        <v>2015</v>
      </c>
      <c r="B256" s="96" t="s">
        <v>2288</v>
      </c>
    </row>
    <row r="257" spans="1:2" ht="15" customHeight="1" x14ac:dyDescent="0.3">
      <c r="A257" s="96" t="s">
        <v>2015</v>
      </c>
      <c r="B257" s="96" t="s">
        <v>2533</v>
      </c>
    </row>
    <row r="258" spans="1:2" ht="15" customHeight="1" x14ac:dyDescent="0.3">
      <c r="A258" s="96" t="s">
        <v>2015</v>
      </c>
      <c r="B258" s="96" t="s">
        <v>2534</v>
      </c>
    </row>
    <row r="259" spans="1:2" ht="15" customHeight="1" x14ac:dyDescent="0.3">
      <c r="A259" s="96" t="s">
        <v>2015</v>
      </c>
      <c r="B259" s="96" t="s">
        <v>2535</v>
      </c>
    </row>
    <row r="260" spans="1:2" ht="15" customHeight="1" x14ac:dyDescent="0.3">
      <c r="A260" s="96" t="s">
        <v>2015</v>
      </c>
      <c r="B260" s="96" t="s">
        <v>2536</v>
      </c>
    </row>
    <row r="261" spans="1:2" ht="15" customHeight="1" x14ac:dyDescent="0.3">
      <c r="A261" s="96" t="s">
        <v>2015</v>
      </c>
      <c r="B261" s="96" t="s">
        <v>2537</v>
      </c>
    </row>
    <row r="262" spans="1:2" ht="15" customHeight="1" x14ac:dyDescent="0.3">
      <c r="A262" s="96" t="s">
        <v>2015</v>
      </c>
      <c r="B262" s="96" t="s">
        <v>2538</v>
      </c>
    </row>
    <row r="263" spans="1:2" ht="15" customHeight="1" x14ac:dyDescent="0.3">
      <c r="A263" s="96" t="s">
        <v>2015</v>
      </c>
      <c r="B263" s="96" t="s">
        <v>2539</v>
      </c>
    </row>
    <row r="264" spans="1:2" ht="15" customHeight="1" x14ac:dyDescent="0.3">
      <c r="A264" s="96" t="s">
        <v>2015</v>
      </c>
      <c r="B264" s="96" t="s">
        <v>2540</v>
      </c>
    </row>
    <row r="265" spans="1:2" ht="15" customHeight="1" x14ac:dyDescent="0.3">
      <c r="A265" s="96" t="s">
        <v>2015</v>
      </c>
      <c r="B265" s="96" t="s">
        <v>2541</v>
      </c>
    </row>
    <row r="266" spans="1:2" ht="15" customHeight="1" x14ac:dyDescent="0.3">
      <c r="A266" s="96" t="s">
        <v>2015</v>
      </c>
      <c r="B266" s="96" t="s">
        <v>2542</v>
      </c>
    </row>
    <row r="267" spans="1:2" ht="15" customHeight="1" x14ac:dyDescent="0.3">
      <c r="A267" s="96" t="s">
        <v>2168</v>
      </c>
      <c r="B267" s="96" t="s">
        <v>2543</v>
      </c>
    </row>
    <row r="268" spans="1:2" ht="15" customHeight="1" x14ac:dyDescent="0.3">
      <c r="A268" s="96" t="s">
        <v>2168</v>
      </c>
      <c r="B268" s="96" t="s">
        <v>2544</v>
      </c>
    </row>
    <row r="269" spans="1:2" ht="15" customHeight="1" x14ac:dyDescent="0.3">
      <c r="A269" s="96" t="s">
        <v>2168</v>
      </c>
      <c r="B269" s="96" t="s">
        <v>2545</v>
      </c>
    </row>
    <row r="270" spans="1:2" ht="15" customHeight="1" x14ac:dyDescent="0.3">
      <c r="A270" s="96" t="s">
        <v>2168</v>
      </c>
      <c r="B270" s="96" t="s">
        <v>2546</v>
      </c>
    </row>
    <row r="271" spans="1:2" ht="15" customHeight="1" x14ac:dyDescent="0.3">
      <c r="A271" s="96" t="s">
        <v>2168</v>
      </c>
      <c r="B271" s="96" t="s">
        <v>2288</v>
      </c>
    </row>
    <row r="272" spans="1:2" ht="15" customHeight="1" x14ac:dyDescent="0.3">
      <c r="A272" s="96" t="s">
        <v>2168</v>
      </c>
      <c r="B272" s="96" t="s">
        <v>2547</v>
      </c>
    </row>
    <row r="273" spans="1:2" ht="15" customHeight="1" x14ac:dyDescent="0.3">
      <c r="A273" s="96" t="s">
        <v>2168</v>
      </c>
      <c r="B273" s="96" t="s">
        <v>2548</v>
      </c>
    </row>
    <row r="274" spans="1:2" ht="15" customHeight="1" x14ac:dyDescent="0.3">
      <c r="A274" s="96" t="s">
        <v>2168</v>
      </c>
      <c r="B274" s="96" t="s">
        <v>2549</v>
      </c>
    </row>
    <row r="275" spans="1:2" ht="15" customHeight="1" x14ac:dyDescent="0.3">
      <c r="A275" s="96" t="s">
        <v>2168</v>
      </c>
      <c r="B275" s="96" t="s">
        <v>2550</v>
      </c>
    </row>
    <row r="276" spans="1:2" ht="15" customHeight="1" x14ac:dyDescent="0.3">
      <c r="A276" s="96" t="s">
        <v>2168</v>
      </c>
      <c r="B276" s="96" t="s">
        <v>2551</v>
      </c>
    </row>
    <row r="277" spans="1:2" ht="15" customHeight="1" x14ac:dyDescent="0.3">
      <c r="A277" s="96" t="s">
        <v>2168</v>
      </c>
      <c r="B277" s="96" t="s">
        <v>2552</v>
      </c>
    </row>
    <row r="278" spans="1:2" ht="15" customHeight="1" x14ac:dyDescent="0.3">
      <c r="A278" s="96" t="s">
        <v>2168</v>
      </c>
      <c r="B278" s="96" t="s">
        <v>2553</v>
      </c>
    </row>
    <row r="279" spans="1:2" ht="15" customHeight="1" x14ac:dyDescent="0.3">
      <c r="A279" s="96" t="s">
        <v>2168</v>
      </c>
      <c r="B279" s="96" t="s">
        <v>2554</v>
      </c>
    </row>
    <row r="280" spans="1:2" ht="15" customHeight="1" x14ac:dyDescent="0.3">
      <c r="A280" s="96" t="s">
        <v>2168</v>
      </c>
      <c r="B280" s="96" t="s">
        <v>2555</v>
      </c>
    </row>
    <row r="281" spans="1:2" ht="15" customHeight="1" x14ac:dyDescent="0.3">
      <c r="A281" s="96" t="s">
        <v>2168</v>
      </c>
      <c r="B281" s="96" t="s">
        <v>2556</v>
      </c>
    </row>
    <row r="282" spans="1:2" ht="15" customHeight="1" x14ac:dyDescent="0.3">
      <c r="A282" s="96" t="s">
        <v>2168</v>
      </c>
      <c r="B282" s="96" t="s">
        <v>2557</v>
      </c>
    </row>
    <row r="283" spans="1:2" ht="15" customHeight="1" x14ac:dyDescent="0.3">
      <c r="A283" s="96" t="s">
        <v>2168</v>
      </c>
      <c r="B283" s="96" t="s">
        <v>2558</v>
      </c>
    </row>
    <row r="284" spans="1:2" ht="15" customHeight="1" x14ac:dyDescent="0.3">
      <c r="A284" s="96" t="s">
        <v>2168</v>
      </c>
      <c r="B284" s="96" t="s">
        <v>2559</v>
      </c>
    </row>
  </sheetData>
  <sheetProtection algorithmName="SHA-512" hashValue="eNWjuRwlchk9+0WzcKzA7AosJMk4Qd/mIoQrW+dL7IO4dTBs4IrWrs+Yhdq06xWbjhjxTGuvJg//vJNOg1tbLQ==" saltValue="DRUeFqjw9tb2HfZXbj569A==" spinCount="100000" sheet="1" objects="1" scenarios="1"/>
  <autoFilter ref="A1:B284" xr:uid="{00000000-0009-0000-0000-000002000000}"/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44"/>
  <sheetViews>
    <sheetView showZeros="0"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7" sqref="I7"/>
    </sheetView>
  </sheetViews>
  <sheetFormatPr defaultColWidth="8.88671875" defaultRowHeight="12.75" customHeight="1" x14ac:dyDescent="0.25"/>
  <cols>
    <col min="1" max="1" width="13.33203125" style="97" customWidth="1"/>
    <col min="2" max="2" width="41.33203125" style="73" customWidth="1"/>
    <col min="3" max="182" width="8.88671875" style="76"/>
    <col min="183" max="183" width="18.109375" style="76" customWidth="1"/>
    <col min="184" max="184" width="18.33203125" style="76" customWidth="1"/>
    <col min="185" max="187" width="13" style="76" customWidth="1"/>
    <col min="188" max="189" width="18.88671875" style="76" customWidth="1"/>
    <col min="190" max="190" width="108.88671875" style="76" customWidth="1"/>
    <col min="191" max="191" width="14.44140625" style="76" customWidth="1"/>
    <col min="192" max="200" width="6.6640625" style="76" customWidth="1"/>
    <col min="201" max="207" width="8.88671875" style="76"/>
    <col min="208" max="209" width="6.33203125" style="76" customWidth="1"/>
    <col min="210" max="438" width="8.88671875" style="76"/>
    <col min="439" max="439" width="18.109375" style="76" customWidth="1"/>
    <col min="440" max="440" width="18.33203125" style="76" customWidth="1"/>
    <col min="441" max="443" width="13" style="76" customWidth="1"/>
    <col min="444" max="445" width="18.88671875" style="76" customWidth="1"/>
    <col min="446" max="446" width="108.88671875" style="76" customWidth="1"/>
    <col min="447" max="447" width="14.44140625" style="76" customWidth="1"/>
    <col min="448" max="456" width="6.6640625" style="76" customWidth="1"/>
    <col min="457" max="463" width="8.88671875" style="76"/>
    <col min="464" max="465" width="6.33203125" style="76" customWidth="1"/>
    <col min="466" max="694" width="8.88671875" style="76"/>
    <col min="695" max="695" width="18.109375" style="76" customWidth="1"/>
    <col min="696" max="696" width="18.33203125" style="76" customWidth="1"/>
    <col min="697" max="699" width="13" style="76" customWidth="1"/>
    <col min="700" max="701" width="18.88671875" style="76" customWidth="1"/>
    <col min="702" max="702" width="108.88671875" style="76" customWidth="1"/>
    <col min="703" max="703" width="14.44140625" style="76" customWidth="1"/>
    <col min="704" max="712" width="6.6640625" style="76" customWidth="1"/>
    <col min="713" max="719" width="8.88671875" style="76"/>
    <col min="720" max="721" width="6.33203125" style="76" customWidth="1"/>
    <col min="722" max="950" width="8.88671875" style="76"/>
    <col min="951" max="951" width="18.109375" style="76" customWidth="1"/>
    <col min="952" max="952" width="18.33203125" style="76" customWidth="1"/>
    <col min="953" max="955" width="13" style="76" customWidth="1"/>
    <col min="956" max="957" width="18.88671875" style="76" customWidth="1"/>
    <col min="958" max="958" width="108.88671875" style="76" customWidth="1"/>
    <col min="959" max="959" width="14.44140625" style="76" customWidth="1"/>
    <col min="960" max="968" width="6.6640625" style="76" customWidth="1"/>
    <col min="969" max="975" width="8.88671875" style="76"/>
    <col min="976" max="977" width="6.33203125" style="76" customWidth="1"/>
    <col min="978" max="1206" width="8.88671875" style="76"/>
    <col min="1207" max="1207" width="18.109375" style="76" customWidth="1"/>
    <col min="1208" max="1208" width="18.33203125" style="76" customWidth="1"/>
    <col min="1209" max="1211" width="13" style="76" customWidth="1"/>
    <col min="1212" max="1213" width="18.88671875" style="76" customWidth="1"/>
    <col min="1214" max="1214" width="108.88671875" style="76" customWidth="1"/>
    <col min="1215" max="1215" width="14.44140625" style="76" customWidth="1"/>
    <col min="1216" max="1224" width="6.6640625" style="76" customWidth="1"/>
    <col min="1225" max="1231" width="8.88671875" style="76"/>
    <col min="1232" max="1233" width="6.33203125" style="76" customWidth="1"/>
    <col min="1234" max="1462" width="8.88671875" style="76"/>
    <col min="1463" max="1463" width="18.109375" style="76" customWidth="1"/>
    <col min="1464" max="1464" width="18.33203125" style="76" customWidth="1"/>
    <col min="1465" max="1467" width="13" style="76" customWidth="1"/>
    <col min="1468" max="1469" width="18.88671875" style="76" customWidth="1"/>
    <col min="1470" max="1470" width="108.88671875" style="76" customWidth="1"/>
    <col min="1471" max="1471" width="14.44140625" style="76" customWidth="1"/>
    <col min="1472" max="1480" width="6.6640625" style="76" customWidth="1"/>
    <col min="1481" max="1487" width="8.88671875" style="76"/>
    <col min="1488" max="1489" width="6.33203125" style="76" customWidth="1"/>
    <col min="1490" max="1718" width="8.88671875" style="76"/>
    <col min="1719" max="1719" width="18.109375" style="76" customWidth="1"/>
    <col min="1720" max="1720" width="18.33203125" style="76" customWidth="1"/>
    <col min="1721" max="1723" width="13" style="76" customWidth="1"/>
    <col min="1724" max="1725" width="18.88671875" style="76" customWidth="1"/>
    <col min="1726" max="1726" width="108.88671875" style="76" customWidth="1"/>
    <col min="1727" max="1727" width="14.44140625" style="76" customWidth="1"/>
    <col min="1728" max="1736" width="6.6640625" style="76" customWidth="1"/>
    <col min="1737" max="1743" width="8.88671875" style="76"/>
    <col min="1744" max="1745" width="6.33203125" style="76" customWidth="1"/>
    <col min="1746" max="1974" width="8.88671875" style="76"/>
    <col min="1975" max="1975" width="18.109375" style="76" customWidth="1"/>
    <col min="1976" max="1976" width="18.33203125" style="76" customWidth="1"/>
    <col min="1977" max="1979" width="13" style="76" customWidth="1"/>
    <col min="1980" max="1981" width="18.88671875" style="76" customWidth="1"/>
    <col min="1982" max="1982" width="108.88671875" style="76" customWidth="1"/>
    <col min="1983" max="1983" width="14.44140625" style="76" customWidth="1"/>
    <col min="1984" max="1992" width="6.6640625" style="76" customWidth="1"/>
    <col min="1993" max="1999" width="8.88671875" style="76"/>
    <col min="2000" max="2001" width="6.33203125" style="76" customWidth="1"/>
    <col min="2002" max="2230" width="8.88671875" style="76"/>
    <col min="2231" max="2231" width="18.109375" style="76" customWidth="1"/>
    <col min="2232" max="2232" width="18.33203125" style="76" customWidth="1"/>
    <col min="2233" max="2235" width="13" style="76" customWidth="1"/>
    <col min="2236" max="2237" width="18.88671875" style="76" customWidth="1"/>
    <col min="2238" max="2238" width="108.88671875" style="76" customWidth="1"/>
    <col min="2239" max="2239" width="14.44140625" style="76" customWidth="1"/>
    <col min="2240" max="2248" width="6.6640625" style="76" customWidth="1"/>
    <col min="2249" max="2255" width="8.88671875" style="76"/>
    <col min="2256" max="2257" width="6.33203125" style="76" customWidth="1"/>
    <col min="2258" max="2486" width="8.88671875" style="76"/>
    <col min="2487" max="2487" width="18.109375" style="76" customWidth="1"/>
    <col min="2488" max="2488" width="18.33203125" style="76" customWidth="1"/>
    <col min="2489" max="2491" width="13" style="76" customWidth="1"/>
    <col min="2492" max="2493" width="18.88671875" style="76" customWidth="1"/>
    <col min="2494" max="2494" width="108.88671875" style="76" customWidth="1"/>
    <col min="2495" max="2495" width="14.44140625" style="76" customWidth="1"/>
    <col min="2496" max="2504" width="6.6640625" style="76" customWidth="1"/>
    <col min="2505" max="2511" width="8.88671875" style="76"/>
    <col min="2512" max="2513" width="6.33203125" style="76" customWidth="1"/>
    <col min="2514" max="2742" width="8.88671875" style="76"/>
    <col min="2743" max="2743" width="18.109375" style="76" customWidth="1"/>
    <col min="2744" max="2744" width="18.33203125" style="76" customWidth="1"/>
    <col min="2745" max="2747" width="13" style="76" customWidth="1"/>
    <col min="2748" max="2749" width="18.88671875" style="76" customWidth="1"/>
    <col min="2750" max="2750" width="108.88671875" style="76" customWidth="1"/>
    <col min="2751" max="2751" width="14.44140625" style="76" customWidth="1"/>
    <col min="2752" max="2760" width="6.6640625" style="76" customWidth="1"/>
    <col min="2761" max="2767" width="8.88671875" style="76"/>
    <col min="2768" max="2769" width="6.33203125" style="76" customWidth="1"/>
    <col min="2770" max="2998" width="8.88671875" style="76"/>
    <col min="2999" max="2999" width="18.109375" style="76" customWidth="1"/>
    <col min="3000" max="3000" width="18.33203125" style="76" customWidth="1"/>
    <col min="3001" max="3003" width="13" style="76" customWidth="1"/>
    <col min="3004" max="3005" width="18.88671875" style="76" customWidth="1"/>
    <col min="3006" max="3006" width="108.88671875" style="76" customWidth="1"/>
    <col min="3007" max="3007" width="14.44140625" style="76" customWidth="1"/>
    <col min="3008" max="3016" width="6.6640625" style="76" customWidth="1"/>
    <col min="3017" max="3023" width="8.88671875" style="76"/>
    <col min="3024" max="3025" width="6.33203125" style="76" customWidth="1"/>
    <col min="3026" max="3254" width="8.88671875" style="76"/>
    <col min="3255" max="3255" width="18.109375" style="76" customWidth="1"/>
    <col min="3256" max="3256" width="18.33203125" style="76" customWidth="1"/>
    <col min="3257" max="3259" width="13" style="76" customWidth="1"/>
    <col min="3260" max="3261" width="18.88671875" style="76" customWidth="1"/>
    <col min="3262" max="3262" width="108.88671875" style="76" customWidth="1"/>
    <col min="3263" max="3263" width="14.44140625" style="76" customWidth="1"/>
    <col min="3264" max="3272" width="6.6640625" style="76" customWidth="1"/>
    <col min="3273" max="3279" width="8.88671875" style="76"/>
    <col min="3280" max="3281" width="6.33203125" style="76" customWidth="1"/>
    <col min="3282" max="3510" width="8.88671875" style="76"/>
    <col min="3511" max="3511" width="18.109375" style="76" customWidth="1"/>
    <col min="3512" max="3512" width="18.33203125" style="76" customWidth="1"/>
    <col min="3513" max="3515" width="13" style="76" customWidth="1"/>
    <col min="3516" max="3517" width="18.88671875" style="76" customWidth="1"/>
    <col min="3518" max="3518" width="108.88671875" style="76" customWidth="1"/>
    <col min="3519" max="3519" width="14.44140625" style="76" customWidth="1"/>
    <col min="3520" max="3528" width="6.6640625" style="76" customWidth="1"/>
    <col min="3529" max="3535" width="8.88671875" style="76"/>
    <col min="3536" max="3537" width="6.33203125" style="76" customWidth="1"/>
    <col min="3538" max="3766" width="8.88671875" style="76"/>
    <col min="3767" max="3767" width="18.109375" style="76" customWidth="1"/>
    <col min="3768" max="3768" width="18.33203125" style="76" customWidth="1"/>
    <col min="3769" max="3771" width="13" style="76" customWidth="1"/>
    <col min="3772" max="3773" width="18.88671875" style="76" customWidth="1"/>
    <col min="3774" max="3774" width="108.88671875" style="76" customWidth="1"/>
    <col min="3775" max="3775" width="14.44140625" style="76" customWidth="1"/>
    <col min="3776" max="3784" width="6.6640625" style="76" customWidth="1"/>
    <col min="3785" max="3791" width="8.88671875" style="76"/>
    <col min="3792" max="3793" width="6.33203125" style="76" customWidth="1"/>
    <col min="3794" max="4022" width="8.88671875" style="76"/>
    <col min="4023" max="4023" width="18.109375" style="76" customWidth="1"/>
    <col min="4024" max="4024" width="18.33203125" style="76" customWidth="1"/>
    <col min="4025" max="4027" width="13" style="76" customWidth="1"/>
    <col min="4028" max="4029" width="18.88671875" style="76" customWidth="1"/>
    <col min="4030" max="4030" width="108.88671875" style="76" customWidth="1"/>
    <col min="4031" max="4031" width="14.44140625" style="76" customWidth="1"/>
    <col min="4032" max="4040" width="6.6640625" style="76" customWidth="1"/>
    <col min="4041" max="4047" width="8.88671875" style="76"/>
    <col min="4048" max="4049" width="6.33203125" style="76" customWidth="1"/>
    <col min="4050" max="4278" width="8.88671875" style="76"/>
    <col min="4279" max="4279" width="18.109375" style="76" customWidth="1"/>
    <col min="4280" max="4280" width="18.33203125" style="76" customWidth="1"/>
    <col min="4281" max="4283" width="13" style="76" customWidth="1"/>
    <col min="4284" max="4285" width="18.88671875" style="76" customWidth="1"/>
    <col min="4286" max="4286" width="108.88671875" style="76" customWidth="1"/>
    <col min="4287" max="4287" width="14.44140625" style="76" customWidth="1"/>
    <col min="4288" max="4296" width="6.6640625" style="76" customWidth="1"/>
    <col min="4297" max="4303" width="8.88671875" style="76"/>
    <col min="4304" max="4305" width="6.33203125" style="76" customWidth="1"/>
    <col min="4306" max="4534" width="8.88671875" style="76"/>
    <col min="4535" max="4535" width="18.109375" style="76" customWidth="1"/>
    <col min="4536" max="4536" width="18.33203125" style="76" customWidth="1"/>
    <col min="4537" max="4539" width="13" style="76" customWidth="1"/>
    <col min="4540" max="4541" width="18.88671875" style="76" customWidth="1"/>
    <col min="4542" max="4542" width="108.88671875" style="76" customWidth="1"/>
    <col min="4543" max="4543" width="14.44140625" style="76" customWidth="1"/>
    <col min="4544" max="4552" width="6.6640625" style="76" customWidth="1"/>
    <col min="4553" max="4559" width="8.88671875" style="76"/>
    <col min="4560" max="4561" width="6.33203125" style="76" customWidth="1"/>
    <col min="4562" max="4790" width="8.88671875" style="76"/>
    <col min="4791" max="4791" width="18.109375" style="76" customWidth="1"/>
    <col min="4792" max="4792" width="18.33203125" style="76" customWidth="1"/>
    <col min="4793" max="4795" width="13" style="76" customWidth="1"/>
    <col min="4796" max="4797" width="18.88671875" style="76" customWidth="1"/>
    <col min="4798" max="4798" width="108.88671875" style="76" customWidth="1"/>
    <col min="4799" max="4799" width="14.44140625" style="76" customWidth="1"/>
    <col min="4800" max="4808" width="6.6640625" style="76" customWidth="1"/>
    <col min="4809" max="4815" width="8.88671875" style="76"/>
    <col min="4816" max="4817" width="6.33203125" style="76" customWidth="1"/>
    <col min="4818" max="5046" width="8.88671875" style="76"/>
    <col min="5047" max="5047" width="18.109375" style="76" customWidth="1"/>
    <col min="5048" max="5048" width="18.33203125" style="76" customWidth="1"/>
    <col min="5049" max="5051" width="13" style="76" customWidth="1"/>
    <col min="5052" max="5053" width="18.88671875" style="76" customWidth="1"/>
    <col min="5054" max="5054" width="108.88671875" style="76" customWidth="1"/>
    <col min="5055" max="5055" width="14.44140625" style="76" customWidth="1"/>
    <col min="5056" max="5064" width="6.6640625" style="76" customWidth="1"/>
    <col min="5065" max="5071" width="8.88671875" style="76"/>
    <col min="5072" max="5073" width="6.33203125" style="76" customWidth="1"/>
    <col min="5074" max="5302" width="8.88671875" style="76"/>
    <col min="5303" max="5303" width="18.109375" style="76" customWidth="1"/>
    <col min="5304" max="5304" width="18.33203125" style="76" customWidth="1"/>
    <col min="5305" max="5307" width="13" style="76" customWidth="1"/>
    <col min="5308" max="5309" width="18.88671875" style="76" customWidth="1"/>
    <col min="5310" max="5310" width="108.88671875" style="76" customWidth="1"/>
    <col min="5311" max="5311" width="14.44140625" style="76" customWidth="1"/>
    <col min="5312" max="5320" width="6.6640625" style="76" customWidth="1"/>
    <col min="5321" max="5327" width="8.88671875" style="76"/>
    <col min="5328" max="5329" width="6.33203125" style="76" customWidth="1"/>
    <col min="5330" max="5558" width="8.88671875" style="76"/>
    <col min="5559" max="5559" width="18.109375" style="76" customWidth="1"/>
    <col min="5560" max="5560" width="18.33203125" style="76" customWidth="1"/>
    <col min="5561" max="5563" width="13" style="76" customWidth="1"/>
    <col min="5564" max="5565" width="18.88671875" style="76" customWidth="1"/>
    <col min="5566" max="5566" width="108.88671875" style="76" customWidth="1"/>
    <col min="5567" max="5567" width="14.44140625" style="76" customWidth="1"/>
    <col min="5568" max="5576" width="6.6640625" style="76" customWidth="1"/>
    <col min="5577" max="5583" width="8.88671875" style="76"/>
    <col min="5584" max="5585" width="6.33203125" style="76" customWidth="1"/>
    <col min="5586" max="5814" width="8.88671875" style="76"/>
    <col min="5815" max="5815" width="18.109375" style="76" customWidth="1"/>
    <col min="5816" max="5816" width="18.33203125" style="76" customWidth="1"/>
    <col min="5817" max="5819" width="13" style="76" customWidth="1"/>
    <col min="5820" max="5821" width="18.88671875" style="76" customWidth="1"/>
    <col min="5822" max="5822" width="108.88671875" style="76" customWidth="1"/>
    <col min="5823" max="5823" width="14.44140625" style="76" customWidth="1"/>
    <col min="5824" max="5832" width="6.6640625" style="76" customWidth="1"/>
    <col min="5833" max="5839" width="8.88671875" style="76"/>
    <col min="5840" max="5841" width="6.33203125" style="76" customWidth="1"/>
    <col min="5842" max="6070" width="8.88671875" style="76"/>
    <col min="6071" max="6071" width="18.109375" style="76" customWidth="1"/>
    <col min="6072" max="6072" width="18.33203125" style="76" customWidth="1"/>
    <col min="6073" max="6075" width="13" style="76" customWidth="1"/>
    <col min="6076" max="6077" width="18.88671875" style="76" customWidth="1"/>
    <col min="6078" max="6078" width="108.88671875" style="76" customWidth="1"/>
    <col min="6079" max="6079" width="14.44140625" style="76" customWidth="1"/>
    <col min="6080" max="6088" width="6.6640625" style="76" customWidth="1"/>
    <col min="6089" max="6095" width="8.88671875" style="76"/>
    <col min="6096" max="6097" width="6.33203125" style="76" customWidth="1"/>
    <col min="6098" max="6326" width="8.88671875" style="76"/>
    <col min="6327" max="6327" width="18.109375" style="76" customWidth="1"/>
    <col min="6328" max="6328" width="18.33203125" style="76" customWidth="1"/>
    <col min="6329" max="6331" width="13" style="76" customWidth="1"/>
    <col min="6332" max="6333" width="18.88671875" style="76" customWidth="1"/>
    <col min="6334" max="6334" width="108.88671875" style="76" customWidth="1"/>
    <col min="6335" max="6335" width="14.44140625" style="76" customWidth="1"/>
    <col min="6336" max="6344" width="6.6640625" style="76" customWidth="1"/>
    <col min="6345" max="6351" width="8.88671875" style="76"/>
    <col min="6352" max="6353" width="6.33203125" style="76" customWidth="1"/>
    <col min="6354" max="6582" width="8.88671875" style="76"/>
    <col min="6583" max="6583" width="18.109375" style="76" customWidth="1"/>
    <col min="6584" max="6584" width="18.33203125" style="76" customWidth="1"/>
    <col min="6585" max="6587" width="13" style="76" customWidth="1"/>
    <col min="6588" max="6589" width="18.88671875" style="76" customWidth="1"/>
    <col min="6590" max="6590" width="108.88671875" style="76" customWidth="1"/>
    <col min="6591" max="6591" width="14.44140625" style="76" customWidth="1"/>
    <col min="6592" max="6600" width="6.6640625" style="76" customWidth="1"/>
    <col min="6601" max="6607" width="8.88671875" style="76"/>
    <col min="6608" max="6609" width="6.33203125" style="76" customWidth="1"/>
    <col min="6610" max="6838" width="8.88671875" style="76"/>
    <col min="6839" max="6839" width="18.109375" style="76" customWidth="1"/>
    <col min="6840" max="6840" width="18.33203125" style="76" customWidth="1"/>
    <col min="6841" max="6843" width="13" style="76" customWidth="1"/>
    <col min="6844" max="6845" width="18.88671875" style="76" customWidth="1"/>
    <col min="6846" max="6846" width="108.88671875" style="76" customWidth="1"/>
    <col min="6847" max="6847" width="14.44140625" style="76" customWidth="1"/>
    <col min="6848" max="6856" width="6.6640625" style="76" customWidth="1"/>
    <col min="6857" max="6863" width="8.88671875" style="76"/>
    <col min="6864" max="6865" width="6.33203125" style="76" customWidth="1"/>
    <col min="6866" max="7094" width="8.88671875" style="76"/>
    <col min="7095" max="7095" width="18.109375" style="76" customWidth="1"/>
    <col min="7096" max="7096" width="18.33203125" style="76" customWidth="1"/>
    <col min="7097" max="7099" width="13" style="76" customWidth="1"/>
    <col min="7100" max="7101" width="18.88671875" style="76" customWidth="1"/>
    <col min="7102" max="7102" width="108.88671875" style="76" customWidth="1"/>
    <col min="7103" max="7103" width="14.44140625" style="76" customWidth="1"/>
    <col min="7104" max="7112" width="6.6640625" style="76" customWidth="1"/>
    <col min="7113" max="7119" width="8.88671875" style="76"/>
    <col min="7120" max="7121" width="6.33203125" style="76" customWidth="1"/>
    <col min="7122" max="7350" width="8.88671875" style="76"/>
    <col min="7351" max="7351" width="18.109375" style="76" customWidth="1"/>
    <col min="7352" max="7352" width="18.33203125" style="76" customWidth="1"/>
    <col min="7353" max="7355" width="13" style="76" customWidth="1"/>
    <col min="7356" max="7357" width="18.88671875" style="76" customWidth="1"/>
    <col min="7358" max="7358" width="108.88671875" style="76" customWidth="1"/>
    <col min="7359" max="7359" width="14.44140625" style="76" customWidth="1"/>
    <col min="7360" max="7368" width="6.6640625" style="76" customWidth="1"/>
    <col min="7369" max="7375" width="8.88671875" style="76"/>
    <col min="7376" max="7377" width="6.33203125" style="76" customWidth="1"/>
    <col min="7378" max="7606" width="8.88671875" style="76"/>
    <col min="7607" max="7607" width="18.109375" style="76" customWidth="1"/>
    <col min="7608" max="7608" width="18.33203125" style="76" customWidth="1"/>
    <col min="7609" max="7611" width="13" style="76" customWidth="1"/>
    <col min="7612" max="7613" width="18.88671875" style="76" customWidth="1"/>
    <col min="7614" max="7614" width="108.88671875" style="76" customWidth="1"/>
    <col min="7615" max="7615" width="14.44140625" style="76" customWidth="1"/>
    <col min="7616" max="7624" width="6.6640625" style="76" customWidth="1"/>
    <col min="7625" max="7631" width="8.88671875" style="76"/>
    <col min="7632" max="7633" width="6.33203125" style="76" customWidth="1"/>
    <col min="7634" max="7862" width="8.88671875" style="76"/>
    <col min="7863" max="7863" width="18.109375" style="76" customWidth="1"/>
    <col min="7864" max="7864" width="18.33203125" style="76" customWidth="1"/>
    <col min="7865" max="7867" width="13" style="76" customWidth="1"/>
    <col min="7868" max="7869" width="18.88671875" style="76" customWidth="1"/>
    <col min="7870" max="7870" width="108.88671875" style="76" customWidth="1"/>
    <col min="7871" max="7871" width="14.44140625" style="76" customWidth="1"/>
    <col min="7872" max="7880" width="6.6640625" style="76" customWidth="1"/>
    <col min="7881" max="7887" width="8.88671875" style="76"/>
    <col min="7888" max="7889" width="6.33203125" style="76" customWidth="1"/>
    <col min="7890" max="8118" width="8.88671875" style="76"/>
    <col min="8119" max="8119" width="18.109375" style="76" customWidth="1"/>
    <col min="8120" max="8120" width="18.33203125" style="76" customWidth="1"/>
    <col min="8121" max="8123" width="13" style="76" customWidth="1"/>
    <col min="8124" max="8125" width="18.88671875" style="76" customWidth="1"/>
    <col min="8126" max="8126" width="108.88671875" style="76" customWidth="1"/>
    <col min="8127" max="8127" width="14.44140625" style="76" customWidth="1"/>
    <col min="8128" max="8136" width="6.6640625" style="76" customWidth="1"/>
    <col min="8137" max="8143" width="8.88671875" style="76"/>
    <col min="8144" max="8145" width="6.33203125" style="76" customWidth="1"/>
    <col min="8146" max="8374" width="8.88671875" style="76"/>
    <col min="8375" max="8375" width="18.109375" style="76" customWidth="1"/>
    <col min="8376" max="8376" width="18.33203125" style="76" customWidth="1"/>
    <col min="8377" max="8379" width="13" style="76" customWidth="1"/>
    <col min="8380" max="8381" width="18.88671875" style="76" customWidth="1"/>
    <col min="8382" max="8382" width="108.88671875" style="76" customWidth="1"/>
    <col min="8383" max="8383" width="14.44140625" style="76" customWidth="1"/>
    <col min="8384" max="8392" width="6.6640625" style="76" customWidth="1"/>
    <col min="8393" max="8399" width="8.88671875" style="76"/>
    <col min="8400" max="8401" width="6.33203125" style="76" customWidth="1"/>
    <col min="8402" max="8630" width="8.88671875" style="76"/>
    <col min="8631" max="8631" width="18.109375" style="76" customWidth="1"/>
    <col min="8632" max="8632" width="18.33203125" style="76" customWidth="1"/>
    <col min="8633" max="8635" width="13" style="76" customWidth="1"/>
    <col min="8636" max="8637" width="18.88671875" style="76" customWidth="1"/>
    <col min="8638" max="8638" width="108.88671875" style="76" customWidth="1"/>
    <col min="8639" max="8639" width="14.44140625" style="76" customWidth="1"/>
    <col min="8640" max="8648" width="6.6640625" style="76" customWidth="1"/>
    <col min="8649" max="8655" width="8.88671875" style="76"/>
    <col min="8656" max="8657" width="6.33203125" style="76" customWidth="1"/>
    <col min="8658" max="8886" width="8.88671875" style="76"/>
    <col min="8887" max="8887" width="18.109375" style="76" customWidth="1"/>
    <col min="8888" max="8888" width="18.33203125" style="76" customWidth="1"/>
    <col min="8889" max="8891" width="13" style="76" customWidth="1"/>
    <col min="8892" max="8893" width="18.88671875" style="76" customWidth="1"/>
    <col min="8894" max="8894" width="108.88671875" style="76" customWidth="1"/>
    <col min="8895" max="8895" width="14.44140625" style="76" customWidth="1"/>
    <col min="8896" max="8904" width="6.6640625" style="76" customWidth="1"/>
    <col min="8905" max="8911" width="8.88671875" style="76"/>
    <col min="8912" max="8913" width="6.33203125" style="76" customWidth="1"/>
    <col min="8914" max="9142" width="8.88671875" style="76"/>
    <col min="9143" max="9143" width="18.109375" style="76" customWidth="1"/>
    <col min="9144" max="9144" width="18.33203125" style="76" customWidth="1"/>
    <col min="9145" max="9147" width="13" style="76" customWidth="1"/>
    <col min="9148" max="9149" width="18.88671875" style="76" customWidth="1"/>
    <col min="9150" max="9150" width="108.88671875" style="76" customWidth="1"/>
    <col min="9151" max="9151" width="14.44140625" style="76" customWidth="1"/>
    <col min="9152" max="9160" width="6.6640625" style="76" customWidth="1"/>
    <col min="9161" max="9167" width="8.88671875" style="76"/>
    <col min="9168" max="9169" width="6.33203125" style="76" customWidth="1"/>
    <col min="9170" max="9398" width="8.88671875" style="76"/>
    <col min="9399" max="9399" width="18.109375" style="76" customWidth="1"/>
    <col min="9400" max="9400" width="18.33203125" style="76" customWidth="1"/>
    <col min="9401" max="9403" width="13" style="76" customWidth="1"/>
    <col min="9404" max="9405" width="18.88671875" style="76" customWidth="1"/>
    <col min="9406" max="9406" width="108.88671875" style="76" customWidth="1"/>
    <col min="9407" max="9407" width="14.44140625" style="76" customWidth="1"/>
    <col min="9408" max="9416" width="6.6640625" style="76" customWidth="1"/>
    <col min="9417" max="9423" width="8.88671875" style="76"/>
    <col min="9424" max="9425" width="6.33203125" style="76" customWidth="1"/>
    <col min="9426" max="9654" width="8.88671875" style="76"/>
    <col min="9655" max="9655" width="18.109375" style="76" customWidth="1"/>
    <col min="9656" max="9656" width="18.33203125" style="76" customWidth="1"/>
    <col min="9657" max="9659" width="13" style="76" customWidth="1"/>
    <col min="9660" max="9661" width="18.88671875" style="76" customWidth="1"/>
    <col min="9662" max="9662" width="108.88671875" style="76" customWidth="1"/>
    <col min="9663" max="9663" width="14.44140625" style="76" customWidth="1"/>
    <col min="9664" max="9672" width="6.6640625" style="76" customWidth="1"/>
    <col min="9673" max="9679" width="8.88671875" style="76"/>
    <col min="9680" max="9681" width="6.33203125" style="76" customWidth="1"/>
    <col min="9682" max="9910" width="8.88671875" style="76"/>
    <col min="9911" max="9911" width="18.109375" style="76" customWidth="1"/>
    <col min="9912" max="9912" width="18.33203125" style="76" customWidth="1"/>
    <col min="9913" max="9915" width="13" style="76" customWidth="1"/>
    <col min="9916" max="9917" width="18.88671875" style="76" customWidth="1"/>
    <col min="9918" max="9918" width="108.88671875" style="76" customWidth="1"/>
    <col min="9919" max="9919" width="14.44140625" style="76" customWidth="1"/>
    <col min="9920" max="9928" width="6.6640625" style="76" customWidth="1"/>
    <col min="9929" max="9935" width="8.88671875" style="76"/>
    <col min="9936" max="9937" width="6.33203125" style="76" customWidth="1"/>
    <col min="9938" max="10166" width="8.88671875" style="76"/>
    <col min="10167" max="10167" width="18.109375" style="76" customWidth="1"/>
    <col min="10168" max="10168" width="18.33203125" style="76" customWidth="1"/>
    <col min="10169" max="10171" width="13" style="76" customWidth="1"/>
    <col min="10172" max="10173" width="18.88671875" style="76" customWidth="1"/>
    <col min="10174" max="10174" width="108.88671875" style="76" customWidth="1"/>
    <col min="10175" max="10175" width="14.44140625" style="76" customWidth="1"/>
    <col min="10176" max="10184" width="6.6640625" style="76" customWidth="1"/>
    <col min="10185" max="10191" width="8.88671875" style="76"/>
    <col min="10192" max="10193" width="6.33203125" style="76" customWidth="1"/>
    <col min="10194" max="10422" width="8.88671875" style="76"/>
    <col min="10423" max="10423" width="18.109375" style="76" customWidth="1"/>
    <col min="10424" max="10424" width="18.33203125" style="76" customWidth="1"/>
    <col min="10425" max="10427" width="13" style="76" customWidth="1"/>
    <col min="10428" max="10429" width="18.88671875" style="76" customWidth="1"/>
    <col min="10430" max="10430" width="108.88671875" style="76" customWidth="1"/>
    <col min="10431" max="10431" width="14.44140625" style="76" customWidth="1"/>
    <col min="10432" max="10440" width="6.6640625" style="76" customWidth="1"/>
    <col min="10441" max="10447" width="8.88671875" style="76"/>
    <col min="10448" max="10449" width="6.33203125" style="76" customWidth="1"/>
    <col min="10450" max="10678" width="8.88671875" style="76"/>
    <col min="10679" max="10679" width="18.109375" style="76" customWidth="1"/>
    <col min="10680" max="10680" width="18.33203125" style="76" customWidth="1"/>
    <col min="10681" max="10683" width="13" style="76" customWidth="1"/>
    <col min="10684" max="10685" width="18.88671875" style="76" customWidth="1"/>
    <col min="10686" max="10686" width="108.88671875" style="76" customWidth="1"/>
    <col min="10687" max="10687" width="14.44140625" style="76" customWidth="1"/>
    <col min="10688" max="10696" width="6.6640625" style="76" customWidth="1"/>
    <col min="10697" max="10703" width="8.88671875" style="76"/>
    <col min="10704" max="10705" width="6.33203125" style="76" customWidth="1"/>
    <col min="10706" max="10934" width="8.88671875" style="76"/>
    <col min="10935" max="10935" width="18.109375" style="76" customWidth="1"/>
    <col min="10936" max="10936" width="18.33203125" style="76" customWidth="1"/>
    <col min="10937" max="10939" width="13" style="76" customWidth="1"/>
    <col min="10940" max="10941" width="18.88671875" style="76" customWidth="1"/>
    <col min="10942" max="10942" width="108.88671875" style="76" customWidth="1"/>
    <col min="10943" max="10943" width="14.44140625" style="76" customWidth="1"/>
    <col min="10944" max="10952" width="6.6640625" style="76" customWidth="1"/>
    <col min="10953" max="10959" width="8.88671875" style="76"/>
    <col min="10960" max="10961" width="6.33203125" style="76" customWidth="1"/>
    <col min="10962" max="11190" width="8.88671875" style="76"/>
    <col min="11191" max="11191" width="18.109375" style="76" customWidth="1"/>
    <col min="11192" max="11192" width="18.33203125" style="76" customWidth="1"/>
    <col min="11193" max="11195" width="13" style="76" customWidth="1"/>
    <col min="11196" max="11197" width="18.88671875" style="76" customWidth="1"/>
    <col min="11198" max="11198" width="108.88671875" style="76" customWidth="1"/>
    <col min="11199" max="11199" width="14.44140625" style="76" customWidth="1"/>
    <col min="11200" max="11208" width="6.6640625" style="76" customWidth="1"/>
    <col min="11209" max="11215" width="8.88671875" style="76"/>
    <col min="11216" max="11217" width="6.33203125" style="76" customWidth="1"/>
    <col min="11218" max="11446" width="8.88671875" style="76"/>
    <col min="11447" max="11447" width="18.109375" style="76" customWidth="1"/>
    <col min="11448" max="11448" width="18.33203125" style="76" customWidth="1"/>
    <col min="11449" max="11451" width="13" style="76" customWidth="1"/>
    <col min="11452" max="11453" width="18.88671875" style="76" customWidth="1"/>
    <col min="11454" max="11454" width="108.88671875" style="76" customWidth="1"/>
    <col min="11455" max="11455" width="14.44140625" style="76" customWidth="1"/>
    <col min="11456" max="11464" width="6.6640625" style="76" customWidth="1"/>
    <col min="11465" max="11471" width="8.88671875" style="76"/>
    <col min="11472" max="11473" width="6.33203125" style="76" customWidth="1"/>
    <col min="11474" max="11702" width="8.88671875" style="76"/>
    <col min="11703" max="11703" width="18.109375" style="76" customWidth="1"/>
    <col min="11704" max="11704" width="18.33203125" style="76" customWidth="1"/>
    <col min="11705" max="11707" width="13" style="76" customWidth="1"/>
    <col min="11708" max="11709" width="18.88671875" style="76" customWidth="1"/>
    <col min="11710" max="11710" width="108.88671875" style="76" customWidth="1"/>
    <col min="11711" max="11711" width="14.44140625" style="76" customWidth="1"/>
    <col min="11712" max="11720" width="6.6640625" style="76" customWidth="1"/>
    <col min="11721" max="11727" width="8.88671875" style="76"/>
    <col min="11728" max="11729" width="6.33203125" style="76" customWidth="1"/>
    <col min="11730" max="11958" width="8.88671875" style="76"/>
    <col min="11959" max="11959" width="18.109375" style="76" customWidth="1"/>
    <col min="11960" max="11960" width="18.33203125" style="76" customWidth="1"/>
    <col min="11961" max="11963" width="13" style="76" customWidth="1"/>
    <col min="11964" max="11965" width="18.88671875" style="76" customWidth="1"/>
    <col min="11966" max="11966" width="108.88671875" style="76" customWidth="1"/>
    <col min="11967" max="11967" width="14.44140625" style="76" customWidth="1"/>
    <col min="11968" max="11976" width="6.6640625" style="76" customWidth="1"/>
    <col min="11977" max="11983" width="8.88671875" style="76"/>
    <col min="11984" max="11985" width="6.33203125" style="76" customWidth="1"/>
    <col min="11986" max="12214" width="8.88671875" style="76"/>
    <col min="12215" max="12215" width="18.109375" style="76" customWidth="1"/>
    <col min="12216" max="12216" width="18.33203125" style="76" customWidth="1"/>
    <col min="12217" max="12219" width="13" style="76" customWidth="1"/>
    <col min="12220" max="12221" width="18.88671875" style="76" customWidth="1"/>
    <col min="12222" max="12222" width="108.88671875" style="76" customWidth="1"/>
    <col min="12223" max="12223" width="14.44140625" style="76" customWidth="1"/>
    <col min="12224" max="12232" width="6.6640625" style="76" customWidth="1"/>
    <col min="12233" max="12239" width="8.88671875" style="76"/>
    <col min="12240" max="12241" width="6.33203125" style="76" customWidth="1"/>
    <col min="12242" max="12470" width="8.88671875" style="76"/>
    <col min="12471" max="12471" width="18.109375" style="76" customWidth="1"/>
    <col min="12472" max="12472" width="18.33203125" style="76" customWidth="1"/>
    <col min="12473" max="12475" width="13" style="76" customWidth="1"/>
    <col min="12476" max="12477" width="18.88671875" style="76" customWidth="1"/>
    <col min="12478" max="12478" width="108.88671875" style="76" customWidth="1"/>
    <col min="12479" max="12479" width="14.44140625" style="76" customWidth="1"/>
    <col min="12480" max="12488" width="6.6640625" style="76" customWidth="1"/>
    <col min="12489" max="12495" width="8.88671875" style="76"/>
    <col min="12496" max="12497" width="6.33203125" style="76" customWidth="1"/>
    <col min="12498" max="12726" width="8.88671875" style="76"/>
    <col min="12727" max="12727" width="18.109375" style="76" customWidth="1"/>
    <col min="12728" max="12728" width="18.33203125" style="76" customWidth="1"/>
    <col min="12729" max="12731" width="13" style="76" customWidth="1"/>
    <col min="12732" max="12733" width="18.88671875" style="76" customWidth="1"/>
    <col min="12734" max="12734" width="108.88671875" style="76" customWidth="1"/>
    <col min="12735" max="12735" width="14.44140625" style="76" customWidth="1"/>
    <col min="12736" max="12744" width="6.6640625" style="76" customWidth="1"/>
    <col min="12745" max="12751" width="8.88671875" style="76"/>
    <col min="12752" max="12753" width="6.33203125" style="76" customWidth="1"/>
    <col min="12754" max="12982" width="8.88671875" style="76"/>
    <col min="12983" max="12983" width="18.109375" style="76" customWidth="1"/>
    <col min="12984" max="12984" width="18.33203125" style="76" customWidth="1"/>
    <col min="12985" max="12987" width="13" style="76" customWidth="1"/>
    <col min="12988" max="12989" width="18.88671875" style="76" customWidth="1"/>
    <col min="12990" max="12990" width="108.88671875" style="76" customWidth="1"/>
    <col min="12991" max="12991" width="14.44140625" style="76" customWidth="1"/>
    <col min="12992" max="13000" width="6.6640625" style="76" customWidth="1"/>
    <col min="13001" max="13007" width="8.88671875" style="76"/>
    <col min="13008" max="13009" width="6.33203125" style="76" customWidth="1"/>
    <col min="13010" max="13238" width="8.88671875" style="76"/>
    <col min="13239" max="13239" width="18.109375" style="76" customWidth="1"/>
    <col min="13240" max="13240" width="18.33203125" style="76" customWidth="1"/>
    <col min="13241" max="13243" width="13" style="76" customWidth="1"/>
    <col min="13244" max="13245" width="18.88671875" style="76" customWidth="1"/>
    <col min="13246" max="13246" width="108.88671875" style="76" customWidth="1"/>
    <col min="13247" max="13247" width="14.44140625" style="76" customWidth="1"/>
    <col min="13248" max="13256" width="6.6640625" style="76" customWidth="1"/>
    <col min="13257" max="13263" width="8.88671875" style="76"/>
    <col min="13264" max="13265" width="6.33203125" style="76" customWidth="1"/>
    <col min="13266" max="13494" width="8.88671875" style="76"/>
    <col min="13495" max="13495" width="18.109375" style="76" customWidth="1"/>
    <col min="13496" max="13496" width="18.33203125" style="76" customWidth="1"/>
    <col min="13497" max="13499" width="13" style="76" customWidth="1"/>
    <col min="13500" max="13501" width="18.88671875" style="76" customWidth="1"/>
    <col min="13502" max="13502" width="108.88671875" style="76" customWidth="1"/>
    <col min="13503" max="13503" width="14.44140625" style="76" customWidth="1"/>
    <col min="13504" max="13512" width="6.6640625" style="76" customWidth="1"/>
    <col min="13513" max="13519" width="8.88671875" style="76"/>
    <col min="13520" max="13521" width="6.33203125" style="76" customWidth="1"/>
    <col min="13522" max="13750" width="8.88671875" style="76"/>
    <col min="13751" max="13751" width="18.109375" style="76" customWidth="1"/>
    <col min="13752" max="13752" width="18.33203125" style="76" customWidth="1"/>
    <col min="13753" max="13755" width="13" style="76" customWidth="1"/>
    <col min="13756" max="13757" width="18.88671875" style="76" customWidth="1"/>
    <col min="13758" max="13758" width="108.88671875" style="76" customWidth="1"/>
    <col min="13759" max="13759" width="14.44140625" style="76" customWidth="1"/>
    <col min="13760" max="13768" width="6.6640625" style="76" customWidth="1"/>
    <col min="13769" max="13775" width="8.88671875" style="76"/>
    <col min="13776" max="13777" width="6.33203125" style="76" customWidth="1"/>
    <col min="13778" max="14006" width="8.88671875" style="76"/>
    <col min="14007" max="14007" width="18.109375" style="76" customWidth="1"/>
    <col min="14008" max="14008" width="18.33203125" style="76" customWidth="1"/>
    <col min="14009" max="14011" width="13" style="76" customWidth="1"/>
    <col min="14012" max="14013" width="18.88671875" style="76" customWidth="1"/>
    <col min="14014" max="14014" width="108.88671875" style="76" customWidth="1"/>
    <col min="14015" max="14015" width="14.44140625" style="76" customWidth="1"/>
    <col min="14016" max="14024" width="6.6640625" style="76" customWidth="1"/>
    <col min="14025" max="14031" width="8.88671875" style="76"/>
    <col min="14032" max="14033" width="6.33203125" style="76" customWidth="1"/>
    <col min="14034" max="14262" width="8.88671875" style="76"/>
    <col min="14263" max="14263" width="18.109375" style="76" customWidth="1"/>
    <col min="14264" max="14264" width="18.33203125" style="76" customWidth="1"/>
    <col min="14265" max="14267" width="13" style="76" customWidth="1"/>
    <col min="14268" max="14269" width="18.88671875" style="76" customWidth="1"/>
    <col min="14270" max="14270" width="108.88671875" style="76" customWidth="1"/>
    <col min="14271" max="14271" width="14.44140625" style="76" customWidth="1"/>
    <col min="14272" max="14280" width="6.6640625" style="76" customWidth="1"/>
    <col min="14281" max="14287" width="8.88671875" style="76"/>
    <col min="14288" max="14289" width="6.33203125" style="76" customWidth="1"/>
    <col min="14290" max="14518" width="8.88671875" style="76"/>
    <col min="14519" max="14519" width="18.109375" style="76" customWidth="1"/>
    <col min="14520" max="14520" width="18.33203125" style="76" customWidth="1"/>
    <col min="14521" max="14523" width="13" style="76" customWidth="1"/>
    <col min="14524" max="14525" width="18.88671875" style="76" customWidth="1"/>
    <col min="14526" max="14526" width="108.88671875" style="76" customWidth="1"/>
    <col min="14527" max="14527" width="14.44140625" style="76" customWidth="1"/>
    <col min="14528" max="14536" width="6.6640625" style="76" customWidth="1"/>
    <col min="14537" max="14543" width="8.88671875" style="76"/>
    <col min="14544" max="14545" width="6.33203125" style="76" customWidth="1"/>
    <col min="14546" max="14774" width="8.88671875" style="76"/>
    <col min="14775" max="14775" width="18.109375" style="76" customWidth="1"/>
    <col min="14776" max="14776" width="18.33203125" style="76" customWidth="1"/>
    <col min="14777" max="14779" width="13" style="76" customWidth="1"/>
    <col min="14780" max="14781" width="18.88671875" style="76" customWidth="1"/>
    <col min="14782" max="14782" width="108.88671875" style="76" customWidth="1"/>
    <col min="14783" max="14783" width="14.44140625" style="76" customWidth="1"/>
    <col min="14784" max="14792" width="6.6640625" style="76" customWidth="1"/>
    <col min="14793" max="14799" width="8.88671875" style="76"/>
    <col min="14800" max="14801" width="6.33203125" style="76" customWidth="1"/>
    <col min="14802" max="15030" width="8.88671875" style="76"/>
    <col min="15031" max="15031" width="18.109375" style="76" customWidth="1"/>
    <col min="15032" max="15032" width="18.33203125" style="76" customWidth="1"/>
    <col min="15033" max="15035" width="13" style="76" customWidth="1"/>
    <col min="15036" max="15037" width="18.88671875" style="76" customWidth="1"/>
    <col min="15038" max="15038" width="108.88671875" style="76" customWidth="1"/>
    <col min="15039" max="15039" width="14.44140625" style="76" customWidth="1"/>
    <col min="15040" max="15048" width="6.6640625" style="76" customWidth="1"/>
    <col min="15049" max="15055" width="8.88671875" style="76"/>
    <col min="15056" max="15057" width="6.33203125" style="76" customWidth="1"/>
    <col min="15058" max="15286" width="8.88671875" style="76"/>
    <col min="15287" max="15287" width="18.109375" style="76" customWidth="1"/>
    <col min="15288" max="15288" width="18.33203125" style="76" customWidth="1"/>
    <col min="15289" max="15291" width="13" style="76" customWidth="1"/>
    <col min="15292" max="15293" width="18.88671875" style="76" customWidth="1"/>
    <col min="15294" max="15294" width="108.88671875" style="76" customWidth="1"/>
    <col min="15295" max="15295" width="14.44140625" style="76" customWidth="1"/>
    <col min="15296" max="15304" width="6.6640625" style="76" customWidth="1"/>
    <col min="15305" max="15311" width="8.88671875" style="76"/>
    <col min="15312" max="15313" width="6.33203125" style="76" customWidth="1"/>
    <col min="15314" max="15542" width="8.88671875" style="76"/>
    <col min="15543" max="15543" width="18.109375" style="76" customWidth="1"/>
    <col min="15544" max="15544" width="18.33203125" style="76" customWidth="1"/>
    <col min="15545" max="15547" width="13" style="76" customWidth="1"/>
    <col min="15548" max="15549" width="18.88671875" style="76" customWidth="1"/>
    <col min="15550" max="15550" width="108.88671875" style="76" customWidth="1"/>
    <col min="15551" max="15551" width="14.44140625" style="76" customWidth="1"/>
    <col min="15552" max="15560" width="6.6640625" style="76" customWidth="1"/>
    <col min="15561" max="15567" width="8.88671875" style="76"/>
    <col min="15568" max="15569" width="6.33203125" style="76" customWidth="1"/>
    <col min="15570" max="15798" width="8.88671875" style="76"/>
    <col min="15799" max="15799" width="18.109375" style="76" customWidth="1"/>
    <col min="15800" max="15800" width="18.33203125" style="76" customWidth="1"/>
    <col min="15801" max="15803" width="13" style="76" customWidth="1"/>
    <col min="15804" max="15805" width="18.88671875" style="76" customWidth="1"/>
    <col min="15806" max="15806" width="108.88671875" style="76" customWidth="1"/>
    <col min="15807" max="15807" width="14.44140625" style="76" customWidth="1"/>
    <col min="15808" max="15816" width="6.6640625" style="76" customWidth="1"/>
    <col min="15817" max="15823" width="8.88671875" style="76"/>
    <col min="15824" max="15825" width="6.33203125" style="76" customWidth="1"/>
    <col min="15826" max="16054" width="8.88671875" style="76"/>
    <col min="16055" max="16055" width="18.109375" style="76" customWidth="1"/>
    <col min="16056" max="16056" width="18.33203125" style="76" customWidth="1"/>
    <col min="16057" max="16059" width="13" style="76" customWidth="1"/>
    <col min="16060" max="16061" width="18.88671875" style="76" customWidth="1"/>
    <col min="16062" max="16062" width="108.88671875" style="76" customWidth="1"/>
    <col min="16063" max="16063" width="14.44140625" style="76" customWidth="1"/>
    <col min="16064" max="16072" width="6.6640625" style="76" customWidth="1"/>
    <col min="16073" max="16079" width="8.88671875" style="76"/>
    <col min="16080" max="16081" width="6.33203125" style="76" customWidth="1"/>
    <col min="16082" max="16372" width="8.88671875" style="76"/>
    <col min="16373" max="16384" width="9.109375" style="76" customWidth="1"/>
  </cols>
  <sheetData>
    <row r="1" spans="1:2" s="80" customFormat="1" ht="42.75" customHeight="1" x14ac:dyDescent="0.25">
      <c r="A1" s="77" t="s">
        <v>64</v>
      </c>
      <c r="B1" s="78" t="s">
        <v>53</v>
      </c>
    </row>
    <row r="2" spans="1:2" s="80" customFormat="1" ht="21.75" customHeight="1" x14ac:dyDescent="0.25">
      <c r="A2" s="81">
        <v>1</v>
      </c>
      <c r="B2" s="82">
        <v>2</v>
      </c>
    </row>
    <row r="3" spans="1:2" customFormat="1" ht="30" customHeight="1" x14ac:dyDescent="0.25">
      <c r="A3" s="62" t="s">
        <v>2560</v>
      </c>
      <c r="B3" s="87" t="s">
        <v>300</v>
      </c>
    </row>
    <row r="4" spans="1:2" customFormat="1" ht="30" customHeight="1" x14ac:dyDescent="0.25">
      <c r="A4" s="62" t="s">
        <v>2561</v>
      </c>
      <c r="B4" s="87" t="s">
        <v>2298</v>
      </c>
    </row>
    <row r="5" spans="1:2" customFormat="1" ht="30" customHeight="1" x14ac:dyDescent="0.25">
      <c r="A5" s="62" t="s">
        <v>2562</v>
      </c>
      <c r="B5" s="87" t="s">
        <v>451</v>
      </c>
    </row>
    <row r="6" spans="1:2" customFormat="1" ht="30" customHeight="1" x14ac:dyDescent="0.25">
      <c r="A6" s="62" t="s">
        <v>2563</v>
      </c>
      <c r="B6" s="87" t="s">
        <v>553</v>
      </c>
    </row>
    <row r="7" spans="1:2" customFormat="1" ht="30" customHeight="1" x14ac:dyDescent="0.25">
      <c r="A7" s="62" t="s">
        <v>2564</v>
      </c>
      <c r="B7" s="87" t="s">
        <v>1123</v>
      </c>
    </row>
    <row r="8" spans="1:2" customFormat="1" ht="30" customHeight="1" x14ac:dyDescent="0.25">
      <c r="A8" s="62" t="s">
        <v>2565</v>
      </c>
      <c r="B8" s="87" t="s">
        <v>953</v>
      </c>
    </row>
    <row r="9" spans="1:2" customFormat="1" ht="30" customHeight="1" x14ac:dyDescent="0.25">
      <c r="A9" s="62" t="s">
        <v>77</v>
      </c>
      <c r="B9" s="87" t="s">
        <v>2335</v>
      </c>
    </row>
    <row r="10" spans="1:2" customFormat="1" ht="30" customHeight="1" x14ac:dyDescent="0.25">
      <c r="A10" s="62" t="s">
        <v>2566</v>
      </c>
      <c r="B10" s="87" t="s">
        <v>962</v>
      </c>
    </row>
    <row r="11" spans="1:2" customFormat="1" ht="30" customHeight="1" x14ac:dyDescent="0.25">
      <c r="A11" s="62" t="s">
        <v>2567</v>
      </c>
      <c r="B11" s="87" t="s">
        <v>1015</v>
      </c>
    </row>
    <row r="12" spans="1:2" customFormat="1" ht="30" customHeight="1" x14ac:dyDescent="0.25">
      <c r="A12" s="62" t="s">
        <v>2568</v>
      </c>
      <c r="B12" s="87" t="s">
        <v>1059</v>
      </c>
    </row>
    <row r="13" spans="1:2" customFormat="1" ht="30" customHeight="1" x14ac:dyDescent="0.25">
      <c r="A13" s="62" t="s">
        <v>2569</v>
      </c>
      <c r="B13" s="87" t="s">
        <v>1144</v>
      </c>
    </row>
    <row r="14" spans="1:2" customFormat="1" ht="30" customHeight="1" x14ac:dyDescent="0.25">
      <c r="A14" s="62" t="s">
        <v>2570</v>
      </c>
      <c r="B14" s="87" t="s">
        <v>1238</v>
      </c>
    </row>
    <row r="15" spans="1:2" customFormat="1" ht="30" customHeight="1" x14ac:dyDescent="0.25">
      <c r="A15" s="62" t="s">
        <v>183</v>
      </c>
      <c r="B15" s="87" t="s">
        <v>2571</v>
      </c>
    </row>
    <row r="16" spans="1:2" customFormat="1" ht="30" customHeight="1" x14ac:dyDescent="0.25">
      <c r="A16" s="62" t="s">
        <v>2572</v>
      </c>
      <c r="B16" s="87" t="s">
        <v>2430</v>
      </c>
    </row>
    <row r="17" spans="1:2" customFormat="1" ht="30" customHeight="1" x14ac:dyDescent="0.25">
      <c r="A17" s="62" t="s">
        <v>2573</v>
      </c>
      <c r="B17" s="87" t="s">
        <v>1601</v>
      </c>
    </row>
    <row r="18" spans="1:2" customFormat="1" ht="30" customHeight="1" x14ac:dyDescent="0.25">
      <c r="A18" s="62" t="s">
        <v>2574</v>
      </c>
      <c r="B18" s="87" t="s">
        <v>1605</v>
      </c>
    </row>
    <row r="19" spans="1:2" customFormat="1" ht="30" customHeight="1" x14ac:dyDescent="0.25">
      <c r="A19" s="62" t="s">
        <v>2575</v>
      </c>
      <c r="B19" s="87" t="s">
        <v>1618</v>
      </c>
    </row>
    <row r="20" spans="1:2" s="90" customFormat="1" ht="30" customHeight="1" x14ac:dyDescent="0.25">
      <c r="A20" s="62" t="s">
        <v>2576</v>
      </c>
      <c r="B20" s="87" t="s">
        <v>1772</v>
      </c>
    </row>
    <row r="21" spans="1:2" customFormat="1" ht="30" customHeight="1" x14ac:dyDescent="0.25">
      <c r="A21" s="62" t="s">
        <v>2577</v>
      </c>
      <c r="B21" s="87" t="s">
        <v>1788</v>
      </c>
    </row>
    <row r="22" spans="1:2" s="90" customFormat="1" ht="30" customHeight="1" x14ac:dyDescent="0.25">
      <c r="A22" s="62" t="s">
        <v>2578</v>
      </c>
      <c r="B22" s="87" t="s">
        <v>1801</v>
      </c>
    </row>
    <row r="23" spans="1:2" customFormat="1" ht="30" customHeight="1" x14ac:dyDescent="0.25">
      <c r="A23" s="62" t="s">
        <v>2579</v>
      </c>
      <c r="B23" s="87" t="s">
        <v>1890</v>
      </c>
    </row>
    <row r="24" spans="1:2" s="90" customFormat="1" ht="30" customHeight="1" x14ac:dyDescent="0.25">
      <c r="A24" s="62" t="s">
        <v>135</v>
      </c>
      <c r="B24" s="87" t="s">
        <v>2015</v>
      </c>
    </row>
    <row r="25" spans="1:2" customFormat="1" ht="30" customHeight="1" x14ac:dyDescent="0.25">
      <c r="A25" s="62" t="s">
        <v>2580</v>
      </c>
      <c r="B25" s="87" t="s">
        <v>2168</v>
      </c>
    </row>
    <row r="26" spans="1:2" customFormat="1" ht="30" customHeight="1" x14ac:dyDescent="0.25"/>
    <row r="27" spans="1:2" customFormat="1" ht="30" customHeight="1" x14ac:dyDescent="0.25"/>
    <row r="28" spans="1:2" customFormat="1" ht="30" customHeight="1" x14ac:dyDescent="0.25"/>
    <row r="29" spans="1:2" customFormat="1" ht="30" customHeight="1" x14ac:dyDescent="0.25"/>
    <row r="30" spans="1:2" customFormat="1" ht="30" customHeight="1" x14ac:dyDescent="0.25"/>
    <row r="31" spans="1:2" customFormat="1" ht="30" customHeight="1" x14ac:dyDescent="0.25"/>
    <row r="32" spans="1:2" customFormat="1" ht="30" customHeight="1" x14ac:dyDescent="0.25"/>
    <row r="33" customFormat="1" ht="30" customHeight="1" x14ac:dyDescent="0.25"/>
    <row r="34" customFormat="1" ht="30" customHeight="1" x14ac:dyDescent="0.25"/>
    <row r="35" customFormat="1" ht="30" customHeight="1" x14ac:dyDescent="0.25"/>
    <row r="36" customFormat="1" ht="30" customHeight="1" x14ac:dyDescent="0.25"/>
    <row r="37" customFormat="1" ht="30" customHeight="1" x14ac:dyDescent="0.25"/>
    <row r="38" customFormat="1" ht="30" customHeight="1" x14ac:dyDescent="0.25"/>
    <row r="39" customFormat="1" ht="30" customHeight="1" x14ac:dyDescent="0.25"/>
    <row r="40" customFormat="1" ht="30" customHeight="1" x14ac:dyDescent="0.25"/>
    <row r="41" customFormat="1" ht="30" customHeight="1" x14ac:dyDescent="0.25"/>
    <row r="42" customFormat="1" ht="30" customHeight="1" x14ac:dyDescent="0.25"/>
    <row r="43" customFormat="1" ht="30" customHeight="1" x14ac:dyDescent="0.25"/>
    <row r="44" customFormat="1" ht="30" customHeight="1" x14ac:dyDescent="0.25"/>
    <row r="45" customFormat="1" ht="30" customHeight="1" x14ac:dyDescent="0.25"/>
    <row r="46" customFormat="1" ht="30" customHeight="1" x14ac:dyDescent="0.25"/>
    <row r="47" customFormat="1" ht="30" customHeight="1" x14ac:dyDescent="0.25"/>
    <row r="48" customFormat="1" ht="30" customHeight="1" x14ac:dyDescent="0.25"/>
    <row r="49" customFormat="1" ht="30" customHeight="1" x14ac:dyDescent="0.25"/>
    <row r="50" customFormat="1" ht="30" customHeight="1" x14ac:dyDescent="0.25"/>
    <row r="51" customFormat="1" ht="30" customHeight="1" x14ac:dyDescent="0.25"/>
    <row r="52" customFormat="1" ht="30" customHeight="1" x14ac:dyDescent="0.25"/>
    <row r="53" customFormat="1" ht="30" customHeight="1" x14ac:dyDescent="0.25"/>
    <row r="54" customFormat="1" ht="30" customHeight="1" x14ac:dyDescent="0.25"/>
    <row r="55" customFormat="1" ht="30" customHeight="1" x14ac:dyDescent="0.25"/>
    <row r="56" customFormat="1" ht="30" customHeight="1" x14ac:dyDescent="0.25"/>
    <row r="57" customFormat="1" ht="30" customHeight="1" x14ac:dyDescent="0.25"/>
    <row r="58" customFormat="1" ht="30" customHeight="1" x14ac:dyDescent="0.25"/>
    <row r="59" customFormat="1" ht="30" customHeight="1" x14ac:dyDescent="0.25"/>
    <row r="60" customFormat="1" ht="30" customHeight="1" x14ac:dyDescent="0.25"/>
    <row r="61" customFormat="1" ht="30" customHeight="1" x14ac:dyDescent="0.25"/>
    <row r="62" customFormat="1" ht="30" customHeight="1" x14ac:dyDescent="0.25"/>
    <row r="63" customFormat="1" ht="30" customHeight="1" x14ac:dyDescent="0.25"/>
    <row r="64" customFormat="1" ht="30" customHeight="1" x14ac:dyDescent="0.25"/>
    <row r="65" customFormat="1" ht="30" customHeight="1" x14ac:dyDescent="0.25"/>
    <row r="66" customFormat="1" ht="30" customHeight="1" x14ac:dyDescent="0.25"/>
    <row r="67" customFormat="1" ht="30" customHeight="1" x14ac:dyDescent="0.25"/>
    <row r="68" customFormat="1" ht="30" customHeight="1" x14ac:dyDescent="0.25"/>
    <row r="69" customFormat="1" ht="30" customHeight="1" x14ac:dyDescent="0.25"/>
    <row r="70" customFormat="1" ht="30" customHeight="1" x14ac:dyDescent="0.25"/>
    <row r="71" customFormat="1" ht="30" customHeight="1" x14ac:dyDescent="0.25"/>
    <row r="72" customFormat="1" ht="30" customHeight="1" x14ac:dyDescent="0.25"/>
    <row r="73" customFormat="1" ht="30" customHeight="1" x14ac:dyDescent="0.25"/>
    <row r="74" customFormat="1" ht="30" customHeight="1" x14ac:dyDescent="0.25"/>
    <row r="75" customFormat="1" ht="30" customHeight="1" x14ac:dyDescent="0.25"/>
    <row r="76" customFormat="1" ht="30" customHeight="1" x14ac:dyDescent="0.25"/>
    <row r="77" customFormat="1" ht="30" customHeight="1" x14ac:dyDescent="0.25"/>
    <row r="78" customFormat="1" ht="30" customHeight="1" x14ac:dyDescent="0.25"/>
    <row r="79" customFormat="1" ht="30" customHeight="1" x14ac:dyDescent="0.25"/>
    <row r="80" customFormat="1" ht="30" customHeight="1" x14ac:dyDescent="0.25"/>
    <row r="81" customFormat="1" ht="30" customHeight="1" x14ac:dyDescent="0.25"/>
    <row r="82" customFormat="1" ht="30" customHeight="1" x14ac:dyDescent="0.25"/>
    <row r="83" customFormat="1" ht="30" customHeight="1" x14ac:dyDescent="0.25"/>
    <row r="84" customFormat="1" ht="30" customHeight="1" x14ac:dyDescent="0.25"/>
    <row r="85" customFormat="1" ht="30" customHeight="1" x14ac:dyDescent="0.25"/>
    <row r="86" customFormat="1" ht="30" customHeight="1" x14ac:dyDescent="0.25"/>
    <row r="87" customFormat="1" ht="30" customHeight="1" x14ac:dyDescent="0.25"/>
    <row r="88" customFormat="1" ht="30" customHeight="1" x14ac:dyDescent="0.25"/>
    <row r="89" customFormat="1" ht="30" customHeight="1" x14ac:dyDescent="0.25"/>
    <row r="90" customFormat="1" ht="30" customHeight="1" x14ac:dyDescent="0.25"/>
    <row r="91" customFormat="1" ht="30" customHeight="1" x14ac:dyDescent="0.25"/>
    <row r="92" customFormat="1" ht="30" customHeight="1" x14ac:dyDescent="0.25"/>
    <row r="93" customFormat="1" ht="30" customHeight="1" x14ac:dyDescent="0.25"/>
    <row r="94" customFormat="1" ht="30" customHeight="1" x14ac:dyDescent="0.25"/>
    <row r="95" customFormat="1" ht="30" customHeight="1" x14ac:dyDescent="0.25"/>
    <row r="96" customFormat="1" ht="30" customHeight="1" x14ac:dyDescent="0.25"/>
    <row r="97" customFormat="1" ht="30" customHeight="1" x14ac:dyDescent="0.25"/>
    <row r="98" customFormat="1" ht="30" customHeight="1" x14ac:dyDescent="0.25"/>
    <row r="99" customFormat="1" ht="30" customHeight="1" x14ac:dyDescent="0.25"/>
    <row r="100" customFormat="1" ht="30" customHeight="1" x14ac:dyDescent="0.25"/>
    <row r="101" customFormat="1" ht="30" customHeight="1" x14ac:dyDescent="0.25"/>
    <row r="102" customFormat="1" ht="30" customHeight="1" x14ac:dyDescent="0.25"/>
    <row r="103" customFormat="1" ht="30" customHeight="1" x14ac:dyDescent="0.25"/>
    <row r="104" customFormat="1" ht="30" customHeight="1" x14ac:dyDescent="0.25"/>
    <row r="105" customFormat="1" ht="30" customHeight="1" x14ac:dyDescent="0.25"/>
    <row r="106" customFormat="1" ht="30" customHeight="1" x14ac:dyDescent="0.25"/>
    <row r="107" customFormat="1" ht="30" customHeight="1" x14ac:dyDescent="0.25"/>
    <row r="108" customFormat="1" ht="30" customHeight="1" x14ac:dyDescent="0.25"/>
    <row r="109" customFormat="1" ht="30" customHeight="1" x14ac:dyDescent="0.25"/>
    <row r="110" customFormat="1" ht="30" customHeight="1" x14ac:dyDescent="0.25"/>
    <row r="111" customFormat="1" ht="30" customHeight="1" x14ac:dyDescent="0.25"/>
    <row r="112" customFormat="1" ht="30" customHeight="1" x14ac:dyDescent="0.25"/>
    <row r="113" customFormat="1" ht="30" customHeight="1" x14ac:dyDescent="0.25"/>
    <row r="114" customFormat="1" ht="30" customHeight="1" x14ac:dyDescent="0.25"/>
    <row r="115" customFormat="1" ht="30" customHeight="1" x14ac:dyDescent="0.25"/>
    <row r="116" customFormat="1" ht="30" customHeight="1" x14ac:dyDescent="0.25"/>
    <row r="117" customFormat="1" ht="30" customHeight="1" x14ac:dyDescent="0.25"/>
    <row r="118" customFormat="1" ht="30" customHeight="1" x14ac:dyDescent="0.25"/>
    <row r="119" customFormat="1" ht="30" customHeight="1" x14ac:dyDescent="0.25"/>
    <row r="120" customFormat="1" ht="30" customHeight="1" x14ac:dyDescent="0.25"/>
    <row r="121" customFormat="1" ht="30" customHeight="1" x14ac:dyDescent="0.25"/>
    <row r="122" customFormat="1" ht="30" customHeight="1" x14ac:dyDescent="0.25"/>
    <row r="123" customFormat="1" ht="30" customHeight="1" x14ac:dyDescent="0.25"/>
    <row r="124" customFormat="1" ht="30" customHeight="1" x14ac:dyDescent="0.25"/>
    <row r="125" customFormat="1" ht="30" customHeight="1" x14ac:dyDescent="0.25"/>
    <row r="126" customFormat="1" ht="30" customHeight="1" x14ac:dyDescent="0.25"/>
    <row r="127" customFormat="1" ht="30" customHeight="1" x14ac:dyDescent="0.25"/>
    <row r="128" customFormat="1" ht="30" customHeight="1" x14ac:dyDescent="0.25"/>
    <row r="129" customFormat="1" ht="30" customHeight="1" x14ac:dyDescent="0.25"/>
    <row r="130" customFormat="1" ht="30" customHeight="1" x14ac:dyDescent="0.25"/>
    <row r="131" customFormat="1" ht="30" customHeight="1" x14ac:dyDescent="0.25"/>
    <row r="132" customFormat="1" ht="30" customHeight="1" x14ac:dyDescent="0.25"/>
    <row r="133" customFormat="1" ht="30" customHeight="1" x14ac:dyDescent="0.25"/>
    <row r="134" customFormat="1" ht="30" customHeight="1" x14ac:dyDescent="0.25"/>
    <row r="135" customFormat="1" ht="30" customHeight="1" x14ac:dyDescent="0.25"/>
    <row r="136" customFormat="1" ht="30" customHeight="1" x14ac:dyDescent="0.25"/>
    <row r="137" customFormat="1" ht="30" customHeight="1" x14ac:dyDescent="0.25"/>
    <row r="138" customFormat="1" ht="30" customHeight="1" x14ac:dyDescent="0.25"/>
    <row r="139" customFormat="1" ht="30" customHeight="1" x14ac:dyDescent="0.25"/>
    <row r="140" customFormat="1" ht="30" customHeight="1" x14ac:dyDescent="0.25"/>
    <row r="141" customFormat="1" ht="30" customHeight="1" x14ac:dyDescent="0.25"/>
    <row r="142" customFormat="1" ht="30" customHeight="1" x14ac:dyDescent="0.25"/>
    <row r="143" customFormat="1" ht="30" customHeight="1" x14ac:dyDescent="0.25"/>
    <row r="144" customFormat="1" ht="30" customHeight="1" x14ac:dyDescent="0.25"/>
    <row r="145" customFormat="1" ht="30" customHeight="1" x14ac:dyDescent="0.25"/>
    <row r="146" customFormat="1" ht="30" customHeight="1" x14ac:dyDescent="0.25"/>
    <row r="147" customFormat="1" ht="30" customHeight="1" x14ac:dyDescent="0.25"/>
    <row r="148" customFormat="1" ht="30" customHeight="1" x14ac:dyDescent="0.25"/>
    <row r="149" customFormat="1" ht="30" customHeight="1" x14ac:dyDescent="0.25"/>
    <row r="150" customFormat="1" ht="30" customHeight="1" x14ac:dyDescent="0.25"/>
    <row r="151" customFormat="1" ht="30" customHeight="1" x14ac:dyDescent="0.25"/>
    <row r="152" customFormat="1" ht="30" customHeight="1" x14ac:dyDescent="0.25"/>
    <row r="153" customFormat="1" ht="30" customHeight="1" x14ac:dyDescent="0.25"/>
    <row r="154" customFormat="1" ht="30" customHeight="1" x14ac:dyDescent="0.25"/>
    <row r="155" customFormat="1" ht="30" customHeight="1" x14ac:dyDescent="0.25"/>
    <row r="156" customFormat="1" ht="30" customHeight="1" x14ac:dyDescent="0.25"/>
    <row r="157" customFormat="1" ht="30" customHeight="1" x14ac:dyDescent="0.25"/>
    <row r="158" customFormat="1" ht="30" customHeight="1" x14ac:dyDescent="0.25"/>
    <row r="159" customFormat="1" ht="30" customHeight="1" x14ac:dyDescent="0.25"/>
    <row r="160" customFormat="1" ht="30" customHeight="1" x14ac:dyDescent="0.25"/>
    <row r="161" customFormat="1" ht="30" customHeight="1" x14ac:dyDescent="0.25"/>
    <row r="162" customFormat="1" ht="30" customHeight="1" x14ac:dyDescent="0.25"/>
    <row r="163" customFormat="1" ht="30" customHeight="1" x14ac:dyDescent="0.25"/>
    <row r="164" customFormat="1" ht="30" customHeight="1" x14ac:dyDescent="0.25"/>
    <row r="165" customFormat="1" ht="30" customHeight="1" x14ac:dyDescent="0.25"/>
    <row r="166" customFormat="1" ht="30" customHeight="1" x14ac:dyDescent="0.25"/>
    <row r="167" customFormat="1" ht="30" customHeight="1" x14ac:dyDescent="0.25"/>
    <row r="168" customFormat="1" ht="30" customHeight="1" x14ac:dyDescent="0.25"/>
    <row r="169" customFormat="1" ht="30" customHeight="1" x14ac:dyDescent="0.25"/>
    <row r="170" customFormat="1" ht="30" customHeight="1" x14ac:dyDescent="0.25"/>
    <row r="171" customFormat="1" ht="30" customHeight="1" x14ac:dyDescent="0.25"/>
    <row r="172" customFormat="1" ht="30" customHeight="1" x14ac:dyDescent="0.25"/>
    <row r="173" customFormat="1" ht="30" customHeight="1" x14ac:dyDescent="0.25"/>
    <row r="174" customFormat="1" ht="30" customHeight="1" x14ac:dyDescent="0.25"/>
    <row r="175" customFormat="1" ht="30" customHeight="1" x14ac:dyDescent="0.25"/>
    <row r="176" customFormat="1" ht="30" customHeight="1" x14ac:dyDescent="0.25"/>
    <row r="177" customFormat="1" ht="30" customHeight="1" x14ac:dyDescent="0.25"/>
    <row r="178" customFormat="1" ht="30" customHeight="1" x14ac:dyDescent="0.25"/>
    <row r="179" ht="30" customHeight="1" x14ac:dyDescent="0.25"/>
    <row r="180" ht="30" customHeight="1" x14ac:dyDescent="0.25"/>
    <row r="181" ht="30" customHeight="1" x14ac:dyDescent="0.25"/>
    <row r="182" ht="30" customHeight="1" x14ac:dyDescent="0.25"/>
    <row r="183" ht="30" customHeight="1" x14ac:dyDescent="0.25"/>
    <row r="184" ht="30" customHeight="1" x14ac:dyDescent="0.25"/>
    <row r="185" ht="30" customHeight="1" x14ac:dyDescent="0.25"/>
    <row r="186" ht="30" customHeight="1" x14ac:dyDescent="0.25"/>
    <row r="187" ht="30" customHeight="1" x14ac:dyDescent="0.25"/>
    <row r="188" customFormat="1" ht="30" customHeight="1" x14ac:dyDescent="0.25"/>
    <row r="189" customFormat="1" ht="30" customHeight="1" x14ac:dyDescent="0.25"/>
    <row r="190" ht="30" customHeight="1" x14ac:dyDescent="0.25"/>
    <row r="191" customFormat="1" ht="30" customHeight="1" x14ac:dyDescent="0.25"/>
    <row r="192" ht="30" customHeight="1" x14ac:dyDescent="0.25"/>
    <row r="193" ht="30" customHeight="1" x14ac:dyDescent="0.25"/>
    <row r="194" ht="30" customHeight="1" x14ac:dyDescent="0.25"/>
    <row r="195" ht="30" customHeight="1" x14ac:dyDescent="0.25"/>
    <row r="196" ht="30" customHeight="1" x14ac:dyDescent="0.25"/>
    <row r="197" ht="30" customHeight="1" x14ac:dyDescent="0.25"/>
    <row r="198" ht="30" customHeight="1" x14ac:dyDescent="0.25"/>
    <row r="199" ht="30" customHeight="1" x14ac:dyDescent="0.25"/>
    <row r="200" ht="30" customHeight="1" x14ac:dyDescent="0.25"/>
    <row r="201" customFormat="1" ht="30" customHeight="1" x14ac:dyDescent="0.25"/>
    <row r="202" ht="30" customHeight="1" x14ac:dyDescent="0.25"/>
    <row r="203" ht="30" customHeight="1" x14ac:dyDescent="0.25"/>
    <row r="204" customFormat="1" ht="30" customHeight="1" x14ac:dyDescent="0.25"/>
    <row r="205" ht="30" customHeight="1" x14ac:dyDescent="0.25"/>
    <row r="206" customFormat="1" ht="30" customHeight="1" x14ac:dyDescent="0.25"/>
    <row r="207" ht="30" customHeight="1" x14ac:dyDescent="0.25"/>
    <row r="208" customFormat="1" ht="30" customHeight="1" x14ac:dyDescent="0.25"/>
    <row r="209" customFormat="1" ht="30" customHeight="1" x14ac:dyDescent="0.25"/>
    <row r="210" customFormat="1" ht="30" customHeight="1" x14ac:dyDescent="0.25"/>
    <row r="211" customFormat="1" ht="30" customHeight="1" x14ac:dyDescent="0.25"/>
    <row r="212" ht="30" customHeight="1" x14ac:dyDescent="0.25"/>
    <row r="213" customFormat="1" ht="30" customHeight="1" x14ac:dyDescent="0.25"/>
    <row r="214" ht="30" customHeight="1" x14ac:dyDescent="0.25"/>
    <row r="215" customFormat="1" ht="30" customHeight="1" x14ac:dyDescent="0.25"/>
    <row r="216" ht="30" customHeight="1" x14ac:dyDescent="0.25"/>
    <row r="217" ht="30" customHeight="1" x14ac:dyDescent="0.25"/>
    <row r="218" ht="30" customHeight="1" x14ac:dyDescent="0.25"/>
    <row r="219" ht="30" customHeight="1" x14ac:dyDescent="0.25"/>
    <row r="220" ht="30" customHeight="1" x14ac:dyDescent="0.25"/>
    <row r="221" customFormat="1" ht="30" customHeight="1" x14ac:dyDescent="0.25"/>
    <row r="222" ht="30" customHeight="1" x14ac:dyDescent="0.25"/>
    <row r="223" ht="30" customHeight="1" x14ac:dyDescent="0.25"/>
    <row r="224" customFormat="1" ht="30" customHeight="1" x14ac:dyDescent="0.25"/>
    <row r="225" ht="30" customHeight="1" x14ac:dyDescent="0.25"/>
    <row r="226" ht="30" customHeight="1" x14ac:dyDescent="0.25"/>
    <row r="227" ht="30" customHeight="1" x14ac:dyDescent="0.25"/>
    <row r="228" ht="30" customHeight="1" x14ac:dyDescent="0.25"/>
    <row r="229" ht="30" customHeight="1" x14ac:dyDescent="0.25"/>
    <row r="230" ht="30" customHeight="1" x14ac:dyDescent="0.25"/>
    <row r="231" ht="30" customHeight="1" x14ac:dyDescent="0.25"/>
    <row r="232" customFormat="1" ht="30" customHeight="1" x14ac:dyDescent="0.25"/>
    <row r="233" customFormat="1" ht="30" customHeight="1" x14ac:dyDescent="0.25"/>
    <row r="234" customFormat="1" ht="30" customHeight="1" x14ac:dyDescent="0.25"/>
    <row r="235" customFormat="1" ht="30" customHeight="1" x14ac:dyDescent="0.25"/>
    <row r="236" customFormat="1" ht="30" customHeight="1" x14ac:dyDescent="0.25"/>
    <row r="237" customFormat="1" ht="30" customHeight="1" x14ac:dyDescent="0.25"/>
    <row r="238" customFormat="1" ht="30" customHeight="1" x14ac:dyDescent="0.25"/>
    <row r="239" customFormat="1" ht="30" customHeight="1" x14ac:dyDescent="0.25"/>
    <row r="240" customFormat="1" ht="30" customHeight="1" x14ac:dyDescent="0.25"/>
    <row r="241" customFormat="1" ht="30" customHeight="1" x14ac:dyDescent="0.25"/>
    <row r="242" customFormat="1" ht="30" customHeight="1" x14ac:dyDescent="0.25"/>
    <row r="243" customFormat="1" ht="30" customHeight="1" x14ac:dyDescent="0.25"/>
    <row r="244" customFormat="1" ht="30" customHeight="1" x14ac:dyDescent="0.25"/>
    <row r="245" customFormat="1" ht="30" customHeight="1" x14ac:dyDescent="0.25"/>
    <row r="246" customFormat="1" ht="30" customHeight="1" x14ac:dyDescent="0.25"/>
    <row r="247" customFormat="1" ht="30" customHeight="1" x14ac:dyDescent="0.25"/>
    <row r="248" customFormat="1" ht="30" customHeight="1" x14ac:dyDescent="0.25"/>
    <row r="249" customFormat="1" ht="30" customHeight="1" x14ac:dyDescent="0.25"/>
    <row r="250" customFormat="1" ht="30" customHeight="1" x14ac:dyDescent="0.25"/>
    <row r="251" customFormat="1" ht="30" customHeight="1" x14ac:dyDescent="0.25"/>
    <row r="252" customFormat="1" ht="30" customHeight="1" x14ac:dyDescent="0.25"/>
    <row r="253" ht="30" customHeight="1" x14ac:dyDescent="0.25"/>
    <row r="254" ht="30" customHeight="1" x14ac:dyDescent="0.25"/>
    <row r="255" customFormat="1" ht="30" customHeight="1" x14ac:dyDescent="0.25"/>
    <row r="256" ht="30" customHeight="1" x14ac:dyDescent="0.25"/>
    <row r="257" ht="30" customHeight="1" x14ac:dyDescent="0.25"/>
    <row r="258" ht="30" customHeight="1" x14ac:dyDescent="0.25"/>
    <row r="259" ht="30" customHeight="1" x14ac:dyDescent="0.25"/>
    <row r="260" ht="30" customHeight="1" x14ac:dyDescent="0.25"/>
    <row r="261" ht="30" customHeight="1" x14ac:dyDescent="0.25"/>
    <row r="262" ht="30" customHeight="1" x14ac:dyDescent="0.25"/>
    <row r="263" customFormat="1" ht="30" customHeight="1" x14ac:dyDescent="0.25"/>
    <row r="264" customFormat="1" ht="30" customHeight="1" x14ac:dyDescent="0.25"/>
    <row r="265" customFormat="1" ht="30" customHeight="1" x14ac:dyDescent="0.25"/>
    <row r="266" customFormat="1" ht="30" customHeight="1" x14ac:dyDescent="0.25"/>
    <row r="267" customFormat="1" ht="30" customHeight="1" x14ac:dyDescent="0.25"/>
    <row r="268" customFormat="1" ht="30" customHeight="1" x14ac:dyDescent="0.25"/>
    <row r="269" customFormat="1" ht="30" customHeight="1" x14ac:dyDescent="0.25"/>
    <row r="270" customFormat="1" ht="30" customHeight="1" x14ac:dyDescent="0.25"/>
    <row r="271" customFormat="1" ht="30" customHeight="1" x14ac:dyDescent="0.25"/>
    <row r="272" customFormat="1" ht="30" customHeight="1" x14ac:dyDescent="0.25"/>
    <row r="273" customFormat="1" ht="30" customHeight="1" x14ac:dyDescent="0.25"/>
    <row r="274" customFormat="1" ht="30" customHeight="1" x14ac:dyDescent="0.25"/>
    <row r="275" customFormat="1" ht="30" customHeight="1" x14ac:dyDescent="0.25"/>
    <row r="276" customFormat="1" ht="30" customHeight="1" x14ac:dyDescent="0.25"/>
    <row r="277" customFormat="1" ht="30" customHeight="1" x14ac:dyDescent="0.25"/>
    <row r="278" customFormat="1" ht="30" customHeight="1" x14ac:dyDescent="0.25"/>
    <row r="279" customFormat="1" ht="30" customHeight="1" x14ac:dyDescent="0.25"/>
    <row r="280" customFormat="1" ht="30" customHeight="1" x14ac:dyDescent="0.25"/>
    <row r="281" customFormat="1" ht="30" customHeight="1" x14ac:dyDescent="0.25"/>
    <row r="282" customFormat="1" ht="30" customHeight="1" x14ac:dyDescent="0.25"/>
    <row r="283" customFormat="1" ht="30" customHeight="1" x14ac:dyDescent="0.25"/>
    <row r="284" ht="30" customHeight="1" x14ac:dyDescent="0.25"/>
    <row r="285" ht="30" customHeight="1" x14ac:dyDescent="0.25"/>
    <row r="286" ht="30" customHeight="1" x14ac:dyDescent="0.25"/>
    <row r="287" customFormat="1" ht="30" customHeight="1" x14ac:dyDescent="0.25"/>
    <row r="288" ht="30" customHeight="1" x14ac:dyDescent="0.25"/>
    <row r="289" ht="30" customHeight="1" x14ac:dyDescent="0.25"/>
    <row r="290" customFormat="1" ht="30" customHeight="1" x14ac:dyDescent="0.25"/>
    <row r="291" customFormat="1" ht="30" customHeight="1" x14ac:dyDescent="0.25"/>
    <row r="292" ht="30" customHeight="1" x14ac:dyDescent="0.25"/>
    <row r="293" customFormat="1" ht="30" customHeight="1" x14ac:dyDescent="0.25"/>
    <row r="294" ht="30" customHeight="1" x14ac:dyDescent="0.25"/>
    <row r="295" ht="30" customHeight="1" x14ac:dyDescent="0.25"/>
    <row r="296" customFormat="1" ht="30" customHeight="1" x14ac:dyDescent="0.25"/>
    <row r="297" customFormat="1" ht="30" customHeight="1" x14ac:dyDescent="0.25"/>
    <row r="298" ht="30" customHeight="1" x14ac:dyDescent="0.25"/>
    <row r="299" ht="30" customHeight="1" x14ac:dyDescent="0.25"/>
    <row r="300" ht="30" customHeight="1" x14ac:dyDescent="0.25"/>
    <row r="301" customFormat="1" ht="30" customHeight="1" x14ac:dyDescent="0.25"/>
    <row r="302" customFormat="1" ht="30" customHeight="1" x14ac:dyDescent="0.25"/>
    <row r="303" customFormat="1" ht="30" customHeight="1" x14ac:dyDescent="0.25"/>
    <row r="304" customFormat="1" ht="30" customHeight="1" x14ac:dyDescent="0.25"/>
    <row r="305" customFormat="1" ht="30" customHeight="1" x14ac:dyDescent="0.25"/>
    <row r="306" customFormat="1" ht="30" customHeight="1" x14ac:dyDescent="0.25"/>
    <row r="307" customFormat="1" ht="30" customHeight="1" x14ac:dyDescent="0.25"/>
    <row r="308" customFormat="1" ht="30" customHeight="1" x14ac:dyDescent="0.25"/>
    <row r="309" customFormat="1" ht="30" customHeight="1" x14ac:dyDescent="0.25"/>
    <row r="310" customFormat="1" ht="30" customHeight="1" x14ac:dyDescent="0.25"/>
    <row r="311" customFormat="1" ht="30" customHeight="1" x14ac:dyDescent="0.25"/>
    <row r="312" ht="30" customHeight="1" x14ac:dyDescent="0.25"/>
    <row r="313" ht="30" customHeight="1" x14ac:dyDescent="0.25"/>
    <row r="314" ht="30" customHeight="1" x14ac:dyDescent="0.25"/>
    <row r="315" ht="30" customHeight="1" x14ac:dyDescent="0.25"/>
    <row r="316" ht="30" customHeight="1" x14ac:dyDescent="0.25"/>
    <row r="317" ht="30" customHeight="1" x14ac:dyDescent="0.25"/>
    <row r="318" ht="30" customHeight="1" x14ac:dyDescent="0.25"/>
    <row r="319" ht="30" customHeight="1" x14ac:dyDescent="0.25"/>
    <row r="320" customFormat="1" ht="30" customHeight="1" x14ac:dyDescent="0.25"/>
    <row r="321" ht="30" customHeight="1" x14ac:dyDescent="0.25"/>
    <row r="322" ht="30" customHeight="1" x14ac:dyDescent="0.25"/>
    <row r="323" customFormat="1" ht="30" customHeight="1" x14ac:dyDescent="0.25"/>
    <row r="324" ht="30" customHeight="1" x14ac:dyDescent="0.25"/>
    <row r="325" ht="30" customHeight="1" x14ac:dyDescent="0.25"/>
    <row r="326" customFormat="1" ht="30" customHeight="1" x14ac:dyDescent="0.25"/>
    <row r="327" ht="30" customHeight="1" x14ac:dyDescent="0.25"/>
    <row r="328" ht="30" customHeight="1" x14ac:dyDescent="0.25"/>
    <row r="329" customFormat="1" ht="30" customHeight="1" x14ac:dyDescent="0.25"/>
    <row r="330" ht="30" customHeight="1" x14ac:dyDescent="0.25"/>
    <row r="331" ht="30" customHeight="1" x14ac:dyDescent="0.25"/>
    <row r="332" customFormat="1" ht="30" customHeight="1" x14ac:dyDescent="0.25"/>
    <row r="333" customFormat="1" ht="30" customHeight="1" x14ac:dyDescent="0.25"/>
    <row r="334" customFormat="1" ht="30" customHeight="1" x14ac:dyDescent="0.25"/>
    <row r="335" ht="30" customHeight="1" x14ac:dyDescent="0.25"/>
    <row r="336" customFormat="1" ht="30" customHeight="1" x14ac:dyDescent="0.25"/>
    <row r="337" customFormat="1" ht="30" customHeight="1" x14ac:dyDescent="0.25"/>
    <row r="338" customFormat="1" ht="30" customHeight="1" x14ac:dyDescent="0.25"/>
    <row r="339" customFormat="1" ht="30" customHeight="1" x14ac:dyDescent="0.25"/>
    <row r="340" customFormat="1" ht="30" customHeight="1" x14ac:dyDescent="0.25"/>
    <row r="341" customFormat="1" ht="30" customHeight="1" x14ac:dyDescent="0.25"/>
    <row r="342" customFormat="1" ht="30" customHeight="1" x14ac:dyDescent="0.25"/>
    <row r="343" customFormat="1" ht="30" customHeight="1" x14ac:dyDescent="0.25"/>
    <row r="344" customFormat="1" ht="30" customHeight="1" x14ac:dyDescent="0.25"/>
    <row r="345" customFormat="1" ht="30" customHeight="1" x14ac:dyDescent="0.25"/>
    <row r="346" customFormat="1" ht="30" customHeight="1" x14ac:dyDescent="0.25"/>
    <row r="347" customFormat="1" ht="30" customHeight="1" x14ac:dyDescent="0.25"/>
    <row r="348" customFormat="1" ht="30" customHeight="1" x14ac:dyDescent="0.25"/>
    <row r="349" customFormat="1" ht="30" customHeight="1" x14ac:dyDescent="0.25"/>
    <row r="350" customFormat="1" ht="30" customHeight="1" x14ac:dyDescent="0.25"/>
    <row r="351" customFormat="1" ht="30" customHeight="1" x14ac:dyDescent="0.25"/>
    <row r="352" customFormat="1" ht="30" customHeight="1" x14ac:dyDescent="0.25"/>
    <row r="353" customFormat="1" ht="30" customHeight="1" x14ac:dyDescent="0.25"/>
    <row r="354" customFormat="1" ht="30" customHeight="1" x14ac:dyDescent="0.25"/>
    <row r="355" customFormat="1" ht="30" customHeight="1" x14ac:dyDescent="0.25"/>
    <row r="356" customFormat="1" ht="30" customHeight="1" x14ac:dyDescent="0.25"/>
    <row r="357" customFormat="1" ht="30" customHeight="1" x14ac:dyDescent="0.25"/>
    <row r="358" customFormat="1" ht="30" customHeight="1" x14ac:dyDescent="0.25"/>
    <row r="359" ht="30" customHeight="1" x14ac:dyDescent="0.25"/>
    <row r="360" ht="30" customHeight="1" x14ac:dyDescent="0.25"/>
    <row r="361" ht="30" customHeight="1" x14ac:dyDescent="0.25"/>
    <row r="362" ht="30" customHeight="1" x14ac:dyDescent="0.25"/>
    <row r="363" ht="30" customHeight="1" x14ac:dyDescent="0.25"/>
    <row r="364" ht="30" customHeight="1" x14ac:dyDescent="0.25"/>
    <row r="365" customFormat="1" ht="30" customHeight="1" x14ac:dyDescent="0.25"/>
    <row r="366" ht="30" customHeight="1" x14ac:dyDescent="0.25"/>
    <row r="367" ht="30" customHeight="1" x14ac:dyDescent="0.25"/>
    <row r="368" customFormat="1" ht="30" customHeight="1" x14ac:dyDescent="0.25"/>
    <row r="369" customFormat="1" ht="30" customHeight="1" x14ac:dyDescent="0.25"/>
    <row r="370" customFormat="1" ht="30" customHeight="1" x14ac:dyDescent="0.25"/>
    <row r="371" customFormat="1" ht="30" customHeight="1" x14ac:dyDescent="0.25"/>
    <row r="372" ht="30" customHeight="1" x14ac:dyDescent="0.25"/>
    <row r="373" ht="30" customHeight="1" x14ac:dyDescent="0.25"/>
    <row r="374" ht="30" customHeight="1" x14ac:dyDescent="0.25"/>
    <row r="375" ht="30" customHeight="1" x14ac:dyDescent="0.25"/>
    <row r="376" ht="30" customHeight="1" x14ac:dyDescent="0.25"/>
    <row r="377" ht="30" customHeight="1" x14ac:dyDescent="0.25"/>
    <row r="378" customFormat="1" ht="30" customHeight="1" x14ac:dyDescent="0.25"/>
    <row r="379" ht="30" customHeight="1" x14ac:dyDescent="0.25"/>
    <row r="380" ht="30" customHeight="1" x14ac:dyDescent="0.25"/>
    <row r="381" ht="30" customHeight="1" x14ac:dyDescent="0.25"/>
    <row r="382" customFormat="1" ht="30" customHeight="1" x14ac:dyDescent="0.25"/>
    <row r="383" ht="30" customHeight="1" x14ac:dyDescent="0.25"/>
    <row r="384" ht="30" customHeight="1" x14ac:dyDescent="0.25"/>
    <row r="385" ht="30" customHeight="1" x14ac:dyDescent="0.25"/>
    <row r="386" customFormat="1" ht="30" customHeight="1" x14ac:dyDescent="0.25"/>
    <row r="387" ht="30" customHeight="1" x14ac:dyDescent="0.25"/>
    <row r="388" ht="30" customHeight="1" x14ac:dyDescent="0.25"/>
    <row r="389" ht="30" customHeight="1" x14ac:dyDescent="0.25"/>
    <row r="390" customFormat="1" ht="30" customHeight="1" x14ac:dyDescent="0.25"/>
    <row r="391" ht="30" customHeight="1" x14ac:dyDescent="0.25"/>
    <row r="392" ht="30" customHeight="1" x14ac:dyDescent="0.25"/>
    <row r="393" customFormat="1" ht="30" customHeight="1" x14ac:dyDescent="0.25"/>
    <row r="394" customFormat="1" ht="30" customHeight="1" x14ac:dyDescent="0.25"/>
    <row r="395" customFormat="1" ht="30" customHeight="1" x14ac:dyDescent="0.25"/>
    <row r="396" customFormat="1" ht="30" customHeight="1" x14ac:dyDescent="0.25"/>
    <row r="397" customFormat="1" ht="30" customHeight="1" x14ac:dyDescent="0.25"/>
    <row r="398" customFormat="1" ht="30" customHeight="1" x14ac:dyDescent="0.25"/>
    <row r="399" customFormat="1" ht="30" customHeight="1" x14ac:dyDescent="0.25"/>
    <row r="400" customFormat="1" ht="30" customHeight="1" x14ac:dyDescent="0.25"/>
    <row r="401" customFormat="1" ht="30" customHeight="1" x14ac:dyDescent="0.25"/>
    <row r="402" customFormat="1" ht="30" customHeight="1" x14ac:dyDescent="0.25"/>
    <row r="403" customFormat="1" ht="30" customHeight="1" x14ac:dyDescent="0.25"/>
    <row r="404" customFormat="1" ht="30" customHeight="1" x14ac:dyDescent="0.25"/>
    <row r="405" customFormat="1" ht="30" customHeight="1" x14ac:dyDescent="0.25"/>
    <row r="406" customFormat="1" ht="30" customHeight="1" x14ac:dyDescent="0.25"/>
    <row r="407" customFormat="1" ht="30" customHeight="1" x14ac:dyDescent="0.25"/>
    <row r="408" customFormat="1" ht="30" customHeight="1" x14ac:dyDescent="0.25"/>
    <row r="409" customFormat="1" ht="30" customHeight="1" x14ac:dyDescent="0.25"/>
    <row r="410" customFormat="1" ht="30" customHeight="1" x14ac:dyDescent="0.25"/>
    <row r="411" customFormat="1" ht="30" customHeight="1" x14ac:dyDescent="0.25"/>
    <row r="412" customFormat="1" ht="30" customHeight="1" x14ac:dyDescent="0.25"/>
    <row r="413" customFormat="1" ht="30" customHeight="1" x14ac:dyDescent="0.25"/>
    <row r="414" ht="30" customHeight="1" x14ac:dyDescent="0.25"/>
    <row r="415" ht="30" customHeight="1" x14ac:dyDescent="0.25"/>
    <row r="416" customFormat="1" ht="30" customHeight="1" x14ac:dyDescent="0.25"/>
    <row r="417" ht="30" customHeight="1" x14ac:dyDescent="0.25"/>
    <row r="418" ht="30" customHeight="1" x14ac:dyDescent="0.25"/>
    <row r="419" ht="30" customHeight="1" x14ac:dyDescent="0.25"/>
    <row r="420" ht="30" customHeight="1" x14ac:dyDescent="0.25"/>
    <row r="421" ht="30" customHeight="1" x14ac:dyDescent="0.25"/>
    <row r="422" customFormat="1" ht="30" customHeight="1" x14ac:dyDescent="0.25"/>
    <row r="423" ht="30" customHeight="1" x14ac:dyDescent="0.25"/>
    <row r="424" ht="30" customHeight="1" x14ac:dyDescent="0.25"/>
    <row r="425" ht="30" customHeight="1" x14ac:dyDescent="0.25"/>
    <row r="426" customFormat="1" ht="30" customHeight="1" x14ac:dyDescent="0.25"/>
    <row r="427" ht="30" customHeight="1" x14ac:dyDescent="0.25"/>
    <row r="428" ht="30" customHeight="1" x14ac:dyDescent="0.25"/>
    <row r="429" ht="30" customHeight="1" x14ac:dyDescent="0.25"/>
    <row r="430" ht="30" customHeight="1" x14ac:dyDescent="0.25"/>
    <row r="431" ht="30" customHeight="1" x14ac:dyDescent="0.25"/>
    <row r="432" ht="30" customHeight="1" x14ac:dyDescent="0.25"/>
    <row r="433" customFormat="1" ht="30" customHeight="1" x14ac:dyDescent="0.25"/>
    <row r="434" ht="30" customHeight="1" x14ac:dyDescent="0.25"/>
    <row r="435" ht="30" customHeight="1" x14ac:dyDescent="0.25"/>
    <row r="436" customFormat="1" ht="30" customHeight="1" x14ac:dyDescent="0.25"/>
    <row r="437" ht="30" customHeight="1" x14ac:dyDescent="0.25"/>
    <row r="438" ht="30" customHeight="1" x14ac:dyDescent="0.25"/>
    <row r="439" ht="30" customHeight="1" x14ac:dyDescent="0.25"/>
    <row r="440" ht="30" customHeight="1" x14ac:dyDescent="0.25"/>
    <row r="441" ht="30" customHeight="1" x14ac:dyDescent="0.25"/>
    <row r="442" customFormat="1" ht="30" customHeight="1" x14ac:dyDescent="0.25"/>
    <row r="443" ht="30" customHeight="1" x14ac:dyDescent="0.25"/>
    <row r="444" customFormat="1" ht="30" customHeight="1" x14ac:dyDescent="0.25"/>
    <row r="445" customFormat="1" ht="30" customHeight="1" x14ac:dyDescent="0.25"/>
    <row r="446" ht="30" customHeight="1" x14ac:dyDescent="0.25"/>
    <row r="447" ht="30" customHeight="1" x14ac:dyDescent="0.25"/>
    <row r="448" ht="30" customHeight="1" x14ac:dyDescent="0.25"/>
    <row r="449" ht="30" customHeight="1" x14ac:dyDescent="0.25"/>
    <row r="450" ht="30" customHeight="1" x14ac:dyDescent="0.25"/>
    <row r="451" ht="30" customHeight="1" x14ac:dyDescent="0.25"/>
    <row r="452" ht="30" customHeight="1" x14ac:dyDescent="0.25"/>
    <row r="453" customFormat="1" ht="30" customHeight="1" x14ac:dyDescent="0.25"/>
    <row r="454" ht="30" customHeight="1" x14ac:dyDescent="0.25"/>
    <row r="455" ht="30" customHeight="1" x14ac:dyDescent="0.25"/>
    <row r="456" customFormat="1" ht="30" customHeight="1" x14ac:dyDescent="0.25"/>
    <row r="457" customFormat="1" ht="30" customHeight="1" x14ac:dyDescent="0.25"/>
    <row r="458" customFormat="1" ht="30" customHeight="1" x14ac:dyDescent="0.25"/>
    <row r="459" customFormat="1" ht="30" customHeight="1" x14ac:dyDescent="0.25"/>
    <row r="460" customFormat="1" ht="30" customHeight="1" x14ac:dyDescent="0.25"/>
    <row r="461" customFormat="1" ht="30" customHeight="1" x14ac:dyDescent="0.25"/>
    <row r="462" customFormat="1" ht="30" customHeight="1" x14ac:dyDescent="0.25"/>
    <row r="463" customFormat="1" ht="30" customHeight="1" x14ac:dyDescent="0.25"/>
    <row r="464" customFormat="1" ht="30" customHeight="1" x14ac:dyDescent="0.25"/>
    <row r="465" customFormat="1" ht="30" customHeight="1" x14ac:dyDescent="0.25"/>
    <row r="466" customFormat="1" ht="30" customHeight="1" x14ac:dyDescent="0.25"/>
    <row r="467" customFormat="1" ht="30" customHeight="1" x14ac:dyDescent="0.25"/>
    <row r="468" customFormat="1" ht="30" customHeight="1" x14ac:dyDescent="0.25"/>
    <row r="469" customFormat="1" ht="30" customHeight="1" x14ac:dyDescent="0.25"/>
    <row r="470" customFormat="1" ht="30" customHeight="1" x14ac:dyDescent="0.25"/>
    <row r="471" customFormat="1" ht="30" customHeight="1" x14ac:dyDescent="0.25"/>
    <row r="472" customFormat="1" ht="30" customHeight="1" x14ac:dyDescent="0.25"/>
    <row r="473" customFormat="1" ht="30" customHeight="1" x14ac:dyDescent="0.25"/>
    <row r="474" customFormat="1" ht="30" customHeight="1" x14ac:dyDescent="0.25"/>
    <row r="475" ht="30" customHeight="1" x14ac:dyDescent="0.25"/>
    <row r="476" ht="30" customHeight="1" x14ac:dyDescent="0.25"/>
    <row r="477" ht="30" customHeight="1" x14ac:dyDescent="0.25"/>
    <row r="478" ht="30" customHeight="1" x14ac:dyDescent="0.25"/>
    <row r="479" ht="30" customHeight="1" x14ac:dyDescent="0.25"/>
    <row r="480" ht="30" customHeight="1" x14ac:dyDescent="0.25"/>
    <row r="481" ht="30" customHeight="1" x14ac:dyDescent="0.25"/>
    <row r="482" ht="30" customHeight="1" x14ac:dyDescent="0.25"/>
    <row r="483" ht="30" customHeight="1" x14ac:dyDescent="0.25"/>
    <row r="484" customFormat="1" ht="30" customHeight="1" x14ac:dyDescent="0.25"/>
    <row r="485" customFormat="1" ht="30" customHeight="1" x14ac:dyDescent="0.25"/>
    <row r="486" customFormat="1" ht="30" customHeight="1" x14ac:dyDescent="0.25"/>
    <row r="487" customFormat="1" ht="30" customHeight="1" x14ac:dyDescent="0.25"/>
    <row r="488" ht="30" customHeight="1" x14ac:dyDescent="0.25"/>
    <row r="489" ht="30" customHeight="1" x14ac:dyDescent="0.25"/>
    <row r="490" ht="30" customHeight="1" x14ac:dyDescent="0.25"/>
    <row r="491" ht="30" customHeight="1" x14ac:dyDescent="0.25"/>
    <row r="492" customFormat="1" ht="30" customHeight="1" x14ac:dyDescent="0.25"/>
    <row r="493" ht="30" customHeight="1" x14ac:dyDescent="0.25"/>
    <row r="494" ht="30" customHeight="1" x14ac:dyDescent="0.25"/>
    <row r="495" customFormat="1" ht="30" customHeight="1" x14ac:dyDescent="0.25"/>
    <row r="496" customFormat="1" ht="30" customHeight="1" x14ac:dyDescent="0.25"/>
    <row r="497" customFormat="1" ht="30" customHeight="1" x14ac:dyDescent="0.25"/>
    <row r="498" customFormat="1" ht="30" customHeight="1" x14ac:dyDescent="0.25"/>
    <row r="499" customFormat="1" ht="30" customHeight="1" x14ac:dyDescent="0.25"/>
    <row r="500" customFormat="1" ht="30" customHeight="1" x14ac:dyDescent="0.25"/>
    <row r="501" customFormat="1" ht="30" customHeight="1" x14ac:dyDescent="0.25"/>
    <row r="502" customFormat="1" ht="30" customHeight="1" x14ac:dyDescent="0.25"/>
    <row r="503" customFormat="1" ht="30" customHeight="1" x14ac:dyDescent="0.25"/>
    <row r="504" customFormat="1" ht="30" customHeight="1" x14ac:dyDescent="0.25"/>
    <row r="505" customFormat="1" ht="30" customHeight="1" x14ac:dyDescent="0.25"/>
    <row r="506" customFormat="1" ht="30" customHeight="1" x14ac:dyDescent="0.25"/>
    <row r="507" customFormat="1" ht="30" customHeight="1" x14ac:dyDescent="0.25"/>
    <row r="508" customFormat="1" ht="30" customHeight="1" x14ac:dyDescent="0.25"/>
    <row r="509" customFormat="1" ht="30" customHeight="1" x14ac:dyDescent="0.25"/>
    <row r="510" customFormat="1" ht="30" customHeight="1" x14ac:dyDescent="0.25"/>
    <row r="511" customFormat="1" ht="30" customHeight="1" x14ac:dyDescent="0.25"/>
    <row r="512" customFormat="1" ht="30" customHeight="1" x14ac:dyDescent="0.25"/>
    <row r="513" ht="30" customHeight="1" x14ac:dyDescent="0.25"/>
    <row r="514" ht="30" customHeight="1" x14ac:dyDescent="0.25"/>
    <row r="515" ht="30" customHeight="1" x14ac:dyDescent="0.25"/>
    <row r="516" ht="30" customHeight="1" x14ac:dyDescent="0.25"/>
    <row r="517" ht="30" customHeight="1" x14ac:dyDescent="0.25"/>
    <row r="518" ht="30" customHeight="1" x14ac:dyDescent="0.25"/>
    <row r="519" ht="30" customHeight="1" x14ac:dyDescent="0.25"/>
    <row r="520" ht="30" customHeight="1" x14ac:dyDescent="0.25"/>
    <row r="521" ht="30" customHeight="1" x14ac:dyDescent="0.25"/>
    <row r="522" ht="30" customHeight="1" x14ac:dyDescent="0.25"/>
    <row r="523" ht="30" customHeight="1" x14ac:dyDescent="0.25"/>
    <row r="524" ht="30" customHeight="1" x14ac:dyDescent="0.25"/>
    <row r="525" ht="30" customHeight="1" x14ac:dyDescent="0.25"/>
    <row r="526" ht="30" customHeight="1" x14ac:dyDescent="0.25"/>
    <row r="527" ht="30" customHeight="1" x14ac:dyDescent="0.25"/>
    <row r="528" ht="30" customHeight="1" x14ac:dyDescent="0.25"/>
    <row r="529" ht="30" customHeight="1" x14ac:dyDescent="0.25"/>
    <row r="530" ht="30" customHeight="1" x14ac:dyDescent="0.25"/>
    <row r="531" ht="30" customHeight="1" x14ac:dyDescent="0.25"/>
    <row r="532" ht="30" customHeight="1" x14ac:dyDescent="0.25"/>
    <row r="533" ht="30" customHeight="1" x14ac:dyDescent="0.25"/>
    <row r="534" ht="30" customHeight="1" x14ac:dyDescent="0.25"/>
    <row r="535" ht="30" customHeight="1" x14ac:dyDescent="0.25"/>
    <row r="536" ht="30" customHeight="1" x14ac:dyDescent="0.25"/>
    <row r="537" customFormat="1" ht="30" customHeight="1" x14ac:dyDescent="0.25"/>
    <row r="538" customFormat="1" ht="30" customHeight="1" x14ac:dyDescent="0.25"/>
    <row r="539" customFormat="1" ht="30" customHeight="1" x14ac:dyDescent="0.25"/>
    <row r="540" customFormat="1" ht="30" customHeight="1" x14ac:dyDescent="0.25"/>
    <row r="541" customFormat="1" ht="30" customHeight="1" x14ac:dyDescent="0.25"/>
    <row r="542" customFormat="1" ht="30" customHeight="1" x14ac:dyDescent="0.25"/>
    <row r="543" customFormat="1" ht="30" customHeight="1" x14ac:dyDescent="0.25"/>
    <row r="544" customFormat="1" ht="30" customHeight="1" x14ac:dyDescent="0.25"/>
    <row r="545" customFormat="1" ht="30" customHeight="1" x14ac:dyDescent="0.25"/>
    <row r="546" customFormat="1" ht="30" customHeight="1" x14ac:dyDescent="0.25"/>
    <row r="547" customFormat="1" ht="30" customHeight="1" x14ac:dyDescent="0.25"/>
    <row r="548" ht="30" customHeight="1" x14ac:dyDescent="0.25"/>
    <row r="549" ht="30" customHeight="1" x14ac:dyDescent="0.25"/>
    <row r="550" ht="30" customHeight="1" x14ac:dyDescent="0.25"/>
    <row r="551" ht="30" customHeight="1" x14ac:dyDescent="0.25"/>
    <row r="552" customFormat="1" ht="30" customHeight="1" x14ac:dyDescent="0.25"/>
    <row r="553" ht="30" customHeight="1" x14ac:dyDescent="0.25"/>
    <row r="554" ht="30" customHeight="1" x14ac:dyDescent="0.25"/>
    <row r="555" customFormat="1" ht="30" customHeight="1" x14ac:dyDescent="0.25"/>
    <row r="556" customFormat="1" ht="30" customHeight="1" x14ac:dyDescent="0.25"/>
    <row r="557" ht="30" customHeight="1" x14ac:dyDescent="0.25"/>
    <row r="558" customFormat="1" ht="30" customHeight="1" x14ac:dyDescent="0.25"/>
    <row r="559" customFormat="1" ht="30" customHeight="1" x14ac:dyDescent="0.25"/>
    <row r="560" customFormat="1" ht="30" customHeight="1" x14ac:dyDescent="0.25"/>
    <row r="561" customFormat="1" ht="30" customHeight="1" x14ac:dyDescent="0.25"/>
    <row r="562" customFormat="1" ht="30" customHeight="1" x14ac:dyDescent="0.25"/>
    <row r="563" customFormat="1" ht="30" customHeight="1" x14ac:dyDescent="0.25"/>
    <row r="564" customFormat="1" ht="30" customHeight="1" x14ac:dyDescent="0.25"/>
    <row r="565" customFormat="1" ht="30" customHeight="1" x14ac:dyDescent="0.25"/>
    <row r="566" ht="30" customHeight="1" x14ac:dyDescent="0.25"/>
    <row r="567" ht="30" customHeight="1" x14ac:dyDescent="0.25"/>
    <row r="568" customFormat="1" ht="30" customHeight="1" x14ac:dyDescent="0.25"/>
    <row r="569" customFormat="1" ht="30" customHeight="1" x14ac:dyDescent="0.25"/>
    <row r="570" ht="30" customHeight="1" x14ac:dyDescent="0.25"/>
    <row r="571" ht="30" customHeight="1" x14ac:dyDescent="0.25"/>
    <row r="572" ht="30" customHeight="1" x14ac:dyDescent="0.25"/>
    <row r="573" customFormat="1" ht="30" customHeight="1" x14ac:dyDescent="0.25"/>
    <row r="574" ht="30" customHeight="1" x14ac:dyDescent="0.25"/>
    <row r="575" ht="30" customHeight="1" x14ac:dyDescent="0.25"/>
    <row r="576" ht="30" customHeight="1" x14ac:dyDescent="0.25"/>
    <row r="577" ht="30" customHeight="1" x14ac:dyDescent="0.25"/>
    <row r="578" ht="30" customHeight="1" x14ac:dyDescent="0.25"/>
    <row r="579" customFormat="1" ht="30" customHeight="1" x14ac:dyDescent="0.25"/>
    <row r="580" customFormat="1" ht="30" customHeight="1" x14ac:dyDescent="0.25"/>
    <row r="581" customFormat="1" ht="30" customHeight="1" x14ac:dyDescent="0.25"/>
    <row r="582" ht="30" customHeight="1" x14ac:dyDescent="0.25"/>
    <row r="583" ht="30" customHeight="1" x14ac:dyDescent="0.25"/>
    <row r="584" ht="30" customHeight="1" x14ac:dyDescent="0.25"/>
    <row r="585" ht="30" customHeight="1" x14ac:dyDescent="0.25"/>
    <row r="586" ht="30" customHeight="1" x14ac:dyDescent="0.25"/>
    <row r="587" ht="30" customHeight="1" x14ac:dyDescent="0.25"/>
    <row r="588" customFormat="1" ht="30" customHeight="1" x14ac:dyDescent="0.25"/>
    <row r="589" customFormat="1" ht="30" customHeight="1" x14ac:dyDescent="0.25"/>
    <row r="590" customFormat="1" ht="30" customHeight="1" x14ac:dyDescent="0.25"/>
    <row r="591" ht="30" customHeight="1" x14ac:dyDescent="0.25"/>
    <row r="592" ht="30" customHeight="1" x14ac:dyDescent="0.25"/>
    <row r="593" ht="30" customHeight="1" x14ac:dyDescent="0.25"/>
    <row r="594" ht="30" customHeight="1" x14ac:dyDescent="0.25"/>
    <row r="595" ht="30" customHeight="1" x14ac:dyDescent="0.25"/>
    <row r="596" ht="30" customHeight="1" x14ac:dyDescent="0.25"/>
    <row r="597" customFormat="1" ht="30" customHeight="1" x14ac:dyDescent="0.25"/>
    <row r="598" customFormat="1" ht="30" customHeight="1" x14ac:dyDescent="0.25"/>
    <row r="599" customFormat="1" ht="30" customHeight="1" x14ac:dyDescent="0.25"/>
    <row r="600" customFormat="1" ht="30" customHeight="1" x14ac:dyDescent="0.25"/>
    <row r="601" customFormat="1" ht="30" customHeight="1" x14ac:dyDescent="0.25"/>
    <row r="602" customFormat="1" ht="30" customHeight="1" x14ac:dyDescent="0.25"/>
    <row r="603" customFormat="1" ht="30" customHeight="1" x14ac:dyDescent="0.25"/>
    <row r="604" customFormat="1" ht="30" customHeight="1" x14ac:dyDescent="0.25"/>
    <row r="605" ht="30" customHeight="1" x14ac:dyDescent="0.25"/>
    <row r="606" ht="30" customHeight="1" x14ac:dyDescent="0.25"/>
    <row r="607" customFormat="1" ht="30" customHeight="1" x14ac:dyDescent="0.25"/>
    <row r="608" customFormat="1" ht="30" customHeight="1" x14ac:dyDescent="0.25"/>
    <row r="609" ht="30" customHeight="1" x14ac:dyDescent="0.25"/>
    <row r="610" ht="30" customHeight="1" x14ac:dyDescent="0.25"/>
    <row r="611" ht="30" customHeight="1" x14ac:dyDescent="0.25"/>
    <row r="612" ht="30" customHeight="1" x14ac:dyDescent="0.25"/>
    <row r="613" ht="30" customHeight="1" x14ac:dyDescent="0.25"/>
    <row r="614" ht="30" customHeight="1" x14ac:dyDescent="0.25"/>
    <row r="615" customFormat="1" ht="30" customHeight="1" x14ac:dyDescent="0.25"/>
    <row r="616" ht="30" customHeight="1" x14ac:dyDescent="0.25"/>
    <row r="617" ht="30" customHeight="1" x14ac:dyDescent="0.25"/>
    <row r="618" ht="30" customHeight="1" x14ac:dyDescent="0.25"/>
    <row r="619" customFormat="1" ht="30" customHeight="1" x14ac:dyDescent="0.25"/>
    <row r="620" customFormat="1" ht="30" customHeight="1" x14ac:dyDescent="0.25"/>
    <row r="621" customFormat="1" ht="30" customHeight="1" x14ac:dyDescent="0.25"/>
    <row r="622" customFormat="1" ht="30" customHeight="1" x14ac:dyDescent="0.25"/>
    <row r="623" customFormat="1" ht="30" customHeight="1" x14ac:dyDescent="0.25"/>
    <row r="624" customFormat="1" ht="30" customHeight="1" x14ac:dyDescent="0.25"/>
    <row r="625" customFormat="1" ht="30" customHeight="1" x14ac:dyDescent="0.25"/>
    <row r="626" customFormat="1" ht="30" customHeight="1" x14ac:dyDescent="0.25"/>
    <row r="627" customFormat="1" ht="30" customHeight="1" x14ac:dyDescent="0.25"/>
    <row r="628" customFormat="1" ht="30" customHeight="1" x14ac:dyDescent="0.25"/>
    <row r="629" customFormat="1" ht="30" customHeight="1" x14ac:dyDescent="0.25"/>
    <row r="630" customFormat="1" ht="30" customHeight="1" x14ac:dyDescent="0.25"/>
    <row r="631" customFormat="1" ht="30" customHeight="1" x14ac:dyDescent="0.25"/>
    <row r="632" customFormat="1" ht="30" customHeight="1" x14ac:dyDescent="0.25"/>
    <row r="633" customFormat="1" ht="30" customHeight="1" x14ac:dyDescent="0.25"/>
    <row r="634" customFormat="1" ht="30" customHeight="1" x14ac:dyDescent="0.25"/>
    <row r="635" customFormat="1" ht="30" customHeight="1" x14ac:dyDescent="0.25"/>
    <row r="636" customFormat="1" ht="30" customHeight="1" x14ac:dyDescent="0.25"/>
    <row r="637" customFormat="1" ht="30" customHeight="1" x14ac:dyDescent="0.25"/>
    <row r="638" customFormat="1" ht="30" customHeight="1" x14ac:dyDescent="0.25"/>
    <row r="639" customFormat="1" ht="30" customHeight="1" x14ac:dyDescent="0.25"/>
    <row r="640" customFormat="1" ht="30" customHeight="1" x14ac:dyDescent="0.25"/>
    <row r="641" customFormat="1" ht="30" customHeight="1" x14ac:dyDescent="0.25"/>
    <row r="642" customFormat="1" ht="30" customHeight="1" x14ac:dyDescent="0.25"/>
    <row r="643" customFormat="1" ht="30" customHeight="1" x14ac:dyDescent="0.25"/>
    <row r="644" customFormat="1" ht="30" customHeight="1" x14ac:dyDescent="0.25"/>
    <row r="645" customFormat="1" ht="30" customHeight="1" x14ac:dyDescent="0.25"/>
    <row r="646" customFormat="1" ht="30" customHeight="1" x14ac:dyDescent="0.25"/>
    <row r="647" customFormat="1" ht="30" customHeight="1" x14ac:dyDescent="0.25"/>
    <row r="648" customFormat="1" ht="30" customHeight="1" x14ac:dyDescent="0.25"/>
    <row r="649" customFormat="1" ht="30" customHeight="1" x14ac:dyDescent="0.25"/>
    <row r="650" customFormat="1" ht="30" customHeight="1" x14ac:dyDescent="0.25"/>
    <row r="651" customFormat="1" ht="30" customHeight="1" x14ac:dyDescent="0.25"/>
    <row r="652" customFormat="1" ht="30" customHeight="1" x14ac:dyDescent="0.25"/>
    <row r="653" customFormat="1" ht="30" customHeight="1" x14ac:dyDescent="0.25"/>
    <row r="654" customFormat="1" ht="30" customHeight="1" x14ac:dyDescent="0.25"/>
    <row r="655" customFormat="1" ht="30" customHeight="1" x14ac:dyDescent="0.25"/>
    <row r="656" customFormat="1" ht="30" customHeight="1" x14ac:dyDescent="0.25"/>
    <row r="657" customFormat="1" ht="30" customHeight="1" x14ac:dyDescent="0.25"/>
    <row r="658" customFormat="1" ht="30" customHeight="1" x14ac:dyDescent="0.25"/>
    <row r="659" customFormat="1" ht="30" customHeight="1" x14ac:dyDescent="0.25"/>
    <row r="660" customFormat="1" ht="30" customHeight="1" x14ac:dyDescent="0.25"/>
    <row r="661" customFormat="1" ht="30" customHeight="1" x14ac:dyDescent="0.25"/>
    <row r="662" customFormat="1" ht="30" customHeight="1" x14ac:dyDescent="0.25"/>
    <row r="663" customFormat="1" ht="30" customHeight="1" x14ac:dyDescent="0.25"/>
    <row r="664" customFormat="1" ht="30" customHeight="1" x14ac:dyDescent="0.25"/>
    <row r="665" customFormat="1" ht="30" customHeight="1" x14ac:dyDescent="0.25"/>
    <row r="666" customFormat="1" ht="30" customHeight="1" x14ac:dyDescent="0.25"/>
    <row r="667" customFormat="1" ht="30" customHeight="1" x14ac:dyDescent="0.25"/>
    <row r="668" customFormat="1" ht="30" customHeight="1" x14ac:dyDescent="0.25"/>
    <row r="669" customFormat="1" ht="30" customHeight="1" x14ac:dyDescent="0.25"/>
    <row r="670" customFormat="1" ht="30" customHeight="1" x14ac:dyDescent="0.25"/>
    <row r="671" customFormat="1" ht="30" customHeight="1" x14ac:dyDescent="0.25"/>
    <row r="672" customFormat="1" ht="30" customHeight="1" x14ac:dyDescent="0.25"/>
    <row r="673" customFormat="1" ht="30" customHeight="1" x14ac:dyDescent="0.25"/>
    <row r="674" customFormat="1" ht="30" customHeight="1" x14ac:dyDescent="0.25"/>
    <row r="675" customFormat="1" ht="30" customHeight="1" x14ac:dyDescent="0.25"/>
    <row r="676" customFormat="1" ht="30" customHeight="1" x14ac:dyDescent="0.25"/>
    <row r="677" customFormat="1" ht="30" customHeight="1" x14ac:dyDescent="0.25"/>
    <row r="678" customFormat="1" ht="30" customHeight="1" x14ac:dyDescent="0.25"/>
    <row r="679" customFormat="1" ht="30" customHeight="1" x14ac:dyDescent="0.25"/>
    <row r="680" customFormat="1" ht="30" customHeight="1" x14ac:dyDescent="0.25"/>
    <row r="681" customFormat="1" ht="30" customHeight="1" x14ac:dyDescent="0.25"/>
    <row r="682" customFormat="1" ht="30" customHeight="1" x14ac:dyDescent="0.25"/>
    <row r="683" customFormat="1" ht="30" customHeight="1" x14ac:dyDescent="0.25"/>
    <row r="684" customFormat="1" ht="30" customHeight="1" x14ac:dyDescent="0.25"/>
    <row r="685" customFormat="1" ht="30" customHeight="1" x14ac:dyDescent="0.25"/>
    <row r="686" customFormat="1" ht="30" customHeight="1" x14ac:dyDescent="0.25"/>
    <row r="687" customFormat="1" ht="30" customHeight="1" x14ac:dyDescent="0.25"/>
    <row r="688" customFormat="1" ht="30" customHeight="1" x14ac:dyDescent="0.25"/>
    <row r="689" customFormat="1" ht="30" customHeight="1" x14ac:dyDescent="0.25"/>
    <row r="690" customFormat="1" ht="30" customHeight="1" x14ac:dyDescent="0.25"/>
    <row r="691" customFormat="1" ht="30" customHeight="1" x14ac:dyDescent="0.25"/>
    <row r="692" customFormat="1" ht="30" customHeight="1" x14ac:dyDescent="0.25"/>
    <row r="693" customFormat="1" ht="30" customHeight="1" x14ac:dyDescent="0.25"/>
    <row r="694" customFormat="1" ht="30" customHeight="1" x14ac:dyDescent="0.25"/>
    <row r="695" customFormat="1" ht="30" customHeight="1" x14ac:dyDescent="0.25"/>
    <row r="696" customFormat="1" ht="30" customHeight="1" x14ac:dyDescent="0.25"/>
    <row r="697" customFormat="1" ht="30" customHeight="1" x14ac:dyDescent="0.25"/>
    <row r="698" customFormat="1" ht="30" customHeight="1" x14ac:dyDescent="0.25"/>
    <row r="699" customFormat="1" ht="30" customHeight="1" x14ac:dyDescent="0.25"/>
    <row r="700" customFormat="1" ht="30" customHeight="1" x14ac:dyDescent="0.25"/>
    <row r="701" customFormat="1" ht="30" customHeight="1" x14ac:dyDescent="0.25"/>
    <row r="702" customFormat="1" ht="30" customHeight="1" x14ac:dyDescent="0.25"/>
    <row r="703" customFormat="1" ht="30" customHeight="1" x14ac:dyDescent="0.25"/>
    <row r="704" customFormat="1" ht="30" customHeight="1" x14ac:dyDescent="0.25"/>
    <row r="705" customFormat="1" ht="30" customHeight="1" x14ac:dyDescent="0.25"/>
    <row r="706" customFormat="1" ht="30" customHeight="1" x14ac:dyDescent="0.25"/>
    <row r="707" customFormat="1" ht="30" customHeight="1" x14ac:dyDescent="0.25"/>
    <row r="708" customFormat="1" ht="30" customHeight="1" x14ac:dyDescent="0.25"/>
    <row r="709" customFormat="1" ht="30" customHeight="1" x14ac:dyDescent="0.25"/>
    <row r="710" customFormat="1" ht="30" customHeight="1" x14ac:dyDescent="0.25"/>
    <row r="711" customFormat="1" ht="30" customHeight="1" x14ac:dyDescent="0.25"/>
    <row r="712" customFormat="1" ht="30" customHeight="1" x14ac:dyDescent="0.25"/>
    <row r="713" customFormat="1" ht="30" customHeight="1" x14ac:dyDescent="0.25"/>
    <row r="714" customFormat="1" ht="30" customHeight="1" x14ac:dyDescent="0.25"/>
    <row r="715" customFormat="1" ht="30" customHeight="1" x14ac:dyDescent="0.25"/>
    <row r="716" customFormat="1" ht="30" customHeight="1" x14ac:dyDescent="0.25"/>
    <row r="717" customFormat="1" ht="30" customHeight="1" x14ac:dyDescent="0.25"/>
    <row r="718" customFormat="1" ht="30" customHeight="1" x14ac:dyDescent="0.25"/>
    <row r="719" customFormat="1" ht="30" customHeight="1" x14ac:dyDescent="0.25"/>
    <row r="720" customFormat="1" ht="30" customHeight="1" x14ac:dyDescent="0.25"/>
    <row r="721" customFormat="1" ht="30" customHeight="1" x14ac:dyDescent="0.25"/>
    <row r="722" customFormat="1" ht="30" customHeight="1" x14ac:dyDescent="0.25"/>
    <row r="723" customFormat="1" ht="30" customHeight="1" x14ac:dyDescent="0.25"/>
    <row r="724" customFormat="1" ht="30" customHeight="1" x14ac:dyDescent="0.25"/>
    <row r="725" customFormat="1" ht="30" customHeight="1" x14ac:dyDescent="0.25"/>
    <row r="726" customFormat="1" ht="30" customHeight="1" x14ac:dyDescent="0.25"/>
    <row r="727" customFormat="1" ht="30" customHeight="1" x14ac:dyDescent="0.25"/>
    <row r="728" customFormat="1" ht="30" customHeight="1" x14ac:dyDescent="0.25"/>
    <row r="729" customFormat="1" ht="30" customHeight="1" x14ac:dyDescent="0.25"/>
    <row r="730" customFormat="1" ht="30" customHeight="1" x14ac:dyDescent="0.25"/>
    <row r="731" customFormat="1" ht="30" customHeight="1" x14ac:dyDescent="0.25"/>
    <row r="732" customFormat="1" ht="30" customHeight="1" x14ac:dyDescent="0.25"/>
    <row r="733" customFormat="1" ht="30" customHeight="1" x14ac:dyDescent="0.25"/>
    <row r="734" customFormat="1" ht="30" customHeight="1" x14ac:dyDescent="0.25"/>
    <row r="735" customFormat="1" ht="30" customHeight="1" x14ac:dyDescent="0.25"/>
    <row r="736" customFormat="1" ht="30" customHeight="1" x14ac:dyDescent="0.25"/>
    <row r="737" customFormat="1" ht="30" customHeight="1" x14ac:dyDescent="0.25"/>
    <row r="738" customFormat="1" ht="30" customHeight="1" x14ac:dyDescent="0.25"/>
    <row r="739" customFormat="1" ht="30" customHeight="1" x14ac:dyDescent="0.25"/>
    <row r="740" customFormat="1" ht="30" customHeight="1" x14ac:dyDescent="0.25"/>
    <row r="741" customFormat="1" ht="30" customHeight="1" x14ac:dyDescent="0.25"/>
    <row r="742" customFormat="1" ht="30" customHeight="1" x14ac:dyDescent="0.25"/>
    <row r="743" customFormat="1" ht="30" customHeight="1" x14ac:dyDescent="0.25"/>
    <row r="744" customFormat="1" ht="30" customHeight="1" x14ac:dyDescent="0.25"/>
    <row r="745" customFormat="1" ht="30" customHeight="1" x14ac:dyDescent="0.25"/>
    <row r="746" customFormat="1" ht="30" customHeight="1" x14ac:dyDescent="0.25"/>
    <row r="747" customFormat="1" ht="30" customHeight="1" x14ac:dyDescent="0.25"/>
    <row r="748" customFormat="1" ht="30" customHeight="1" x14ac:dyDescent="0.25"/>
    <row r="749" customFormat="1" ht="30" customHeight="1" x14ac:dyDescent="0.25"/>
    <row r="750" customFormat="1" ht="30" customHeight="1" x14ac:dyDescent="0.25"/>
    <row r="751" customFormat="1" ht="30" customHeight="1" x14ac:dyDescent="0.25"/>
    <row r="752" customFormat="1" ht="30" customHeight="1" x14ac:dyDescent="0.25"/>
    <row r="753" customFormat="1" ht="30" customHeight="1" x14ac:dyDescent="0.25"/>
    <row r="754" customFormat="1" ht="30" customHeight="1" x14ac:dyDescent="0.25"/>
    <row r="755" customFormat="1" ht="30" customHeight="1" x14ac:dyDescent="0.25"/>
    <row r="756" customFormat="1" ht="30" customHeight="1" x14ac:dyDescent="0.25"/>
    <row r="757" customFormat="1" ht="30" customHeight="1" x14ac:dyDescent="0.25"/>
    <row r="758" customFormat="1" ht="30" customHeight="1" x14ac:dyDescent="0.25"/>
    <row r="759" customFormat="1" ht="30" customHeight="1" x14ac:dyDescent="0.25"/>
    <row r="760" customFormat="1" ht="30" customHeight="1" x14ac:dyDescent="0.25"/>
    <row r="761" customFormat="1" ht="30" customHeight="1" x14ac:dyDescent="0.25"/>
    <row r="762" customFormat="1" ht="30" customHeight="1" x14ac:dyDescent="0.25"/>
    <row r="763" customFormat="1" ht="30" customHeight="1" x14ac:dyDescent="0.25"/>
    <row r="764" customFormat="1" ht="30" customHeight="1" x14ac:dyDescent="0.25"/>
    <row r="765" customFormat="1" ht="30" customHeight="1" x14ac:dyDescent="0.25"/>
    <row r="766" customFormat="1" ht="30" customHeight="1" x14ac:dyDescent="0.25"/>
    <row r="767" customFormat="1" ht="30" customHeight="1" x14ac:dyDescent="0.25"/>
    <row r="768" customFormat="1" ht="30" customHeight="1" x14ac:dyDescent="0.25"/>
    <row r="769" customFormat="1" ht="30" customHeight="1" x14ac:dyDescent="0.25"/>
    <row r="770" customFormat="1" ht="30" customHeight="1" x14ac:dyDescent="0.25"/>
    <row r="771" customFormat="1" ht="30" customHeight="1" x14ac:dyDescent="0.25"/>
    <row r="772" customFormat="1" ht="30" customHeight="1" x14ac:dyDescent="0.25"/>
    <row r="773" customFormat="1" ht="30" customHeight="1" x14ac:dyDescent="0.25"/>
    <row r="774" customFormat="1" ht="30" customHeight="1" x14ac:dyDescent="0.25"/>
    <row r="775" customFormat="1" ht="30" customHeight="1" x14ac:dyDescent="0.25"/>
    <row r="776" customFormat="1" ht="30" customHeight="1" x14ac:dyDescent="0.25"/>
    <row r="777" customFormat="1" ht="30" customHeight="1" x14ac:dyDescent="0.25"/>
    <row r="778" customFormat="1" ht="30" customHeight="1" x14ac:dyDescent="0.25"/>
    <row r="779" customFormat="1" ht="30" customHeight="1" x14ac:dyDescent="0.25"/>
    <row r="780" customFormat="1" ht="30" customHeight="1" x14ac:dyDescent="0.25"/>
    <row r="781" customFormat="1" ht="30" customHeight="1" x14ac:dyDescent="0.25"/>
    <row r="782" customFormat="1" ht="30" customHeight="1" x14ac:dyDescent="0.25"/>
    <row r="783" customFormat="1" ht="30" customHeight="1" x14ac:dyDescent="0.25"/>
    <row r="784" customFormat="1" ht="30" customHeight="1" x14ac:dyDescent="0.25"/>
    <row r="785" customFormat="1" ht="30" customHeight="1" x14ac:dyDescent="0.25"/>
    <row r="786" customFormat="1" ht="30" customHeight="1" x14ac:dyDescent="0.25"/>
    <row r="787" customFormat="1" ht="30" customHeight="1" x14ac:dyDescent="0.25"/>
    <row r="788" customFormat="1" ht="30" customHeight="1" x14ac:dyDescent="0.25"/>
    <row r="789" customFormat="1" ht="30" customHeight="1" x14ac:dyDescent="0.25"/>
    <row r="790" customFormat="1" ht="30" customHeight="1" x14ac:dyDescent="0.25"/>
    <row r="791" customFormat="1" ht="30" customHeight="1" x14ac:dyDescent="0.25"/>
    <row r="792" customFormat="1" ht="30" customHeight="1" x14ac:dyDescent="0.25"/>
    <row r="793" customFormat="1" ht="30" customHeight="1" x14ac:dyDescent="0.25"/>
    <row r="794" customFormat="1" ht="30" customHeight="1" x14ac:dyDescent="0.25"/>
    <row r="795" customFormat="1" ht="30" customHeight="1" x14ac:dyDescent="0.25"/>
    <row r="796" customFormat="1" ht="30" customHeight="1" x14ac:dyDescent="0.25"/>
    <row r="797" customFormat="1" ht="30" customHeight="1" x14ac:dyDescent="0.25"/>
    <row r="798" customFormat="1" ht="30" customHeight="1" x14ac:dyDescent="0.25"/>
    <row r="799" customFormat="1" ht="30" customHeight="1" x14ac:dyDescent="0.25"/>
    <row r="800" customFormat="1" ht="30" customHeight="1" x14ac:dyDescent="0.25"/>
    <row r="801" customFormat="1" ht="30" customHeight="1" x14ac:dyDescent="0.25"/>
    <row r="802" customFormat="1" ht="30" customHeight="1" x14ac:dyDescent="0.25"/>
    <row r="803" customFormat="1" ht="30" customHeight="1" x14ac:dyDescent="0.25"/>
    <row r="804" customFormat="1" ht="30" customHeight="1" x14ac:dyDescent="0.25"/>
    <row r="805" customFormat="1" ht="30" customHeight="1" x14ac:dyDescent="0.25"/>
    <row r="806" customFormat="1" ht="30" customHeight="1" x14ac:dyDescent="0.25"/>
    <row r="807" customFormat="1" ht="30" customHeight="1" x14ac:dyDescent="0.25"/>
    <row r="808" customFormat="1" ht="30" customHeight="1" x14ac:dyDescent="0.25"/>
    <row r="809" customFormat="1" ht="30" customHeight="1" x14ac:dyDescent="0.25"/>
    <row r="810" customFormat="1" ht="30" customHeight="1" x14ac:dyDescent="0.25"/>
    <row r="811" customFormat="1" ht="30" customHeight="1" x14ac:dyDescent="0.25"/>
    <row r="812" customFormat="1" ht="30" customHeight="1" x14ac:dyDescent="0.25"/>
    <row r="813" customFormat="1" ht="30" customHeight="1" x14ac:dyDescent="0.25"/>
    <row r="814" customFormat="1" ht="30" customHeight="1" x14ac:dyDescent="0.25"/>
    <row r="815" customFormat="1" ht="30" customHeight="1" x14ac:dyDescent="0.25"/>
    <row r="816" customFormat="1" ht="30" customHeight="1" x14ac:dyDescent="0.25"/>
    <row r="817" customFormat="1" ht="30" customHeight="1" x14ac:dyDescent="0.25"/>
    <row r="818" customFormat="1" ht="30" customHeight="1" x14ac:dyDescent="0.25"/>
    <row r="819" customFormat="1" ht="30" customHeight="1" x14ac:dyDescent="0.25"/>
    <row r="820" customFormat="1" ht="30" customHeight="1" x14ac:dyDescent="0.25"/>
    <row r="821" customFormat="1" ht="30" customHeight="1" x14ac:dyDescent="0.25"/>
    <row r="822" customFormat="1" ht="30" customHeight="1" x14ac:dyDescent="0.25"/>
    <row r="823" customFormat="1" ht="30" customHeight="1" x14ac:dyDescent="0.25"/>
    <row r="824" customFormat="1" ht="30" customHeight="1" x14ac:dyDescent="0.25"/>
    <row r="825" customFormat="1" ht="30" customHeight="1" x14ac:dyDescent="0.25"/>
    <row r="826" customFormat="1" ht="30" customHeight="1" x14ac:dyDescent="0.25"/>
    <row r="827" customFormat="1" ht="30" customHeight="1" x14ac:dyDescent="0.25"/>
    <row r="828" customFormat="1" ht="30" customHeight="1" x14ac:dyDescent="0.25"/>
    <row r="829" customFormat="1" ht="30" customHeight="1" x14ac:dyDescent="0.25"/>
    <row r="830" customFormat="1" ht="30" customHeight="1" x14ac:dyDescent="0.25"/>
    <row r="831" customFormat="1" ht="30" customHeight="1" x14ac:dyDescent="0.25"/>
    <row r="832" customFormat="1" ht="30" customHeight="1" x14ac:dyDescent="0.25"/>
    <row r="833" customFormat="1" ht="30" customHeight="1" x14ac:dyDescent="0.25"/>
    <row r="834" customFormat="1" ht="30" customHeight="1" x14ac:dyDescent="0.25"/>
    <row r="835" customFormat="1" ht="30" customHeight="1" x14ac:dyDescent="0.25"/>
    <row r="836" customFormat="1" ht="30" customHeight="1" x14ac:dyDescent="0.25"/>
    <row r="837" customFormat="1" ht="30" customHeight="1" x14ac:dyDescent="0.25"/>
    <row r="838" customFormat="1" ht="30" customHeight="1" x14ac:dyDescent="0.25"/>
    <row r="839" customFormat="1" ht="30" customHeight="1" x14ac:dyDescent="0.25"/>
    <row r="840" customFormat="1" ht="30" customHeight="1" x14ac:dyDescent="0.25"/>
    <row r="841" customFormat="1" ht="30" customHeight="1" x14ac:dyDescent="0.25"/>
    <row r="842" customFormat="1" ht="30" customHeight="1" x14ac:dyDescent="0.25"/>
    <row r="843" customFormat="1" ht="30" customHeight="1" x14ac:dyDescent="0.25"/>
    <row r="844" customFormat="1" ht="30" customHeight="1" x14ac:dyDescent="0.25"/>
    <row r="845" customFormat="1" ht="30" customHeight="1" x14ac:dyDescent="0.25"/>
    <row r="846" customFormat="1" ht="30" customHeight="1" x14ac:dyDescent="0.25"/>
    <row r="847" customFormat="1" ht="30" customHeight="1" x14ac:dyDescent="0.25"/>
    <row r="848" customFormat="1" ht="30" customHeight="1" x14ac:dyDescent="0.25"/>
    <row r="849" customFormat="1" ht="30" customHeight="1" x14ac:dyDescent="0.25"/>
    <row r="850" customFormat="1" ht="30" customHeight="1" x14ac:dyDescent="0.25"/>
    <row r="851" customFormat="1" ht="30" customHeight="1" x14ac:dyDescent="0.25"/>
    <row r="852" customFormat="1" ht="30" customHeight="1" x14ac:dyDescent="0.25"/>
    <row r="853" customFormat="1" ht="30" customHeight="1" x14ac:dyDescent="0.25"/>
    <row r="854" customFormat="1" ht="30" customHeight="1" x14ac:dyDescent="0.25"/>
    <row r="855" customFormat="1" ht="30" customHeight="1" x14ac:dyDescent="0.25"/>
    <row r="856" customFormat="1" ht="30" customHeight="1" x14ac:dyDescent="0.25"/>
    <row r="857" customFormat="1" ht="30" customHeight="1" x14ac:dyDescent="0.25"/>
    <row r="858" customFormat="1" ht="30" customHeight="1" x14ac:dyDescent="0.25"/>
    <row r="859" customFormat="1" ht="30" customHeight="1" x14ac:dyDescent="0.25"/>
    <row r="860" customFormat="1" ht="30" customHeight="1" x14ac:dyDescent="0.25"/>
    <row r="861" customFormat="1" ht="30" customHeight="1" x14ac:dyDescent="0.25"/>
    <row r="862" customFormat="1" ht="30" customHeight="1" x14ac:dyDescent="0.25"/>
    <row r="863" customFormat="1" ht="30" customHeight="1" x14ac:dyDescent="0.25"/>
    <row r="864" customFormat="1" ht="30" customHeight="1" x14ac:dyDescent="0.25"/>
    <row r="865" customFormat="1" ht="30" customHeight="1" x14ac:dyDescent="0.25"/>
    <row r="866" customFormat="1" ht="30" customHeight="1" x14ac:dyDescent="0.25"/>
    <row r="867" customFormat="1" ht="30" customHeight="1" x14ac:dyDescent="0.25"/>
    <row r="868" customFormat="1" ht="30" customHeight="1" x14ac:dyDescent="0.25"/>
    <row r="869" customFormat="1" ht="30" customHeight="1" x14ac:dyDescent="0.25"/>
    <row r="870" customFormat="1" ht="30" customHeight="1" x14ac:dyDescent="0.25"/>
    <row r="871" customFormat="1" ht="30" customHeight="1" x14ac:dyDescent="0.25"/>
    <row r="872" customFormat="1" ht="30" customHeight="1" x14ac:dyDescent="0.25"/>
    <row r="873" customFormat="1" ht="30" customHeight="1" x14ac:dyDescent="0.25"/>
    <row r="874" customFormat="1" ht="30" customHeight="1" x14ac:dyDescent="0.25"/>
    <row r="875" customFormat="1" ht="30" customHeight="1" x14ac:dyDescent="0.25"/>
    <row r="876" customFormat="1" ht="30" customHeight="1" x14ac:dyDescent="0.25"/>
    <row r="877" customFormat="1" ht="30" customHeight="1" x14ac:dyDescent="0.25"/>
    <row r="878" customFormat="1" ht="30" customHeight="1" x14ac:dyDescent="0.25"/>
    <row r="879" customFormat="1" ht="30" customHeight="1" x14ac:dyDescent="0.25"/>
    <row r="880" customFormat="1" ht="30" customHeight="1" x14ac:dyDescent="0.25"/>
    <row r="881" customFormat="1" ht="30" customHeight="1" x14ac:dyDescent="0.25"/>
    <row r="882" customFormat="1" ht="30" customHeight="1" x14ac:dyDescent="0.25"/>
    <row r="883" customFormat="1" ht="30" customHeight="1" x14ac:dyDescent="0.25"/>
    <row r="884" customFormat="1" ht="30" customHeight="1" x14ac:dyDescent="0.25"/>
    <row r="885" customFormat="1" ht="30" customHeight="1" x14ac:dyDescent="0.25"/>
    <row r="886" customFormat="1" ht="30" customHeight="1" x14ac:dyDescent="0.25"/>
    <row r="887" customFormat="1" ht="30" customHeight="1" x14ac:dyDescent="0.25"/>
    <row r="888" customFormat="1" ht="30" customHeight="1" x14ac:dyDescent="0.25"/>
    <row r="889" customFormat="1" ht="30" customHeight="1" x14ac:dyDescent="0.25"/>
    <row r="890" customFormat="1" ht="30" customHeight="1" x14ac:dyDescent="0.25"/>
    <row r="891" customFormat="1" ht="30" customHeight="1" x14ac:dyDescent="0.25"/>
    <row r="892" customFormat="1" ht="30" customHeight="1" x14ac:dyDescent="0.25"/>
    <row r="893" customFormat="1" ht="30" customHeight="1" x14ac:dyDescent="0.25"/>
    <row r="894" customFormat="1" ht="30" customHeight="1" x14ac:dyDescent="0.25"/>
    <row r="895" customFormat="1" ht="30" customHeight="1" x14ac:dyDescent="0.25"/>
    <row r="896" customFormat="1" ht="30" customHeight="1" x14ac:dyDescent="0.25"/>
    <row r="897" customFormat="1" ht="30" customHeight="1" x14ac:dyDescent="0.25"/>
    <row r="898" customFormat="1" ht="30" customHeight="1" x14ac:dyDescent="0.25"/>
    <row r="899" customFormat="1" ht="30" customHeight="1" x14ac:dyDescent="0.25"/>
    <row r="900" customFormat="1" ht="30" customHeight="1" x14ac:dyDescent="0.25"/>
    <row r="901" customFormat="1" ht="30" customHeight="1" x14ac:dyDescent="0.25"/>
    <row r="902" customFormat="1" ht="30" customHeight="1" x14ac:dyDescent="0.25"/>
    <row r="903" customFormat="1" ht="30" customHeight="1" x14ac:dyDescent="0.25"/>
    <row r="904" customFormat="1" ht="30" customHeight="1" x14ac:dyDescent="0.25"/>
    <row r="905" customFormat="1" ht="30" customHeight="1" x14ac:dyDescent="0.25"/>
    <row r="906" customFormat="1" ht="30" customHeight="1" x14ac:dyDescent="0.25"/>
    <row r="907" customFormat="1" ht="30" customHeight="1" x14ac:dyDescent="0.25"/>
    <row r="908" customFormat="1" ht="30" customHeight="1" x14ac:dyDescent="0.25"/>
    <row r="909" customFormat="1" ht="30" customHeight="1" x14ac:dyDescent="0.25"/>
    <row r="910" customFormat="1" ht="30" customHeight="1" x14ac:dyDescent="0.25"/>
    <row r="911" customFormat="1" ht="30" customHeight="1" x14ac:dyDescent="0.25"/>
    <row r="912" customFormat="1" ht="30" customHeight="1" x14ac:dyDescent="0.25"/>
    <row r="913" customFormat="1" ht="30" customHeight="1" x14ac:dyDescent="0.25"/>
    <row r="914" customFormat="1" ht="30" customHeight="1" x14ac:dyDescent="0.25"/>
    <row r="915" customFormat="1" ht="30" customHeight="1" x14ac:dyDescent="0.25"/>
    <row r="916" customFormat="1" ht="30" customHeight="1" x14ac:dyDescent="0.25"/>
    <row r="917" customFormat="1" ht="30" customHeight="1" x14ac:dyDescent="0.25"/>
    <row r="918" customFormat="1" ht="30" customHeight="1" x14ac:dyDescent="0.25"/>
    <row r="919" customFormat="1" ht="30" customHeight="1" x14ac:dyDescent="0.25"/>
    <row r="920" customFormat="1" ht="30" customHeight="1" x14ac:dyDescent="0.25"/>
    <row r="921" customFormat="1" ht="30" customHeight="1" x14ac:dyDescent="0.25"/>
    <row r="922" customFormat="1" ht="30" customHeight="1" x14ac:dyDescent="0.25"/>
    <row r="923" customFormat="1" ht="30" customHeight="1" x14ac:dyDescent="0.25"/>
    <row r="924" customFormat="1" ht="30" customHeight="1" x14ac:dyDescent="0.25"/>
    <row r="925" customFormat="1" ht="30" customHeight="1" x14ac:dyDescent="0.25"/>
    <row r="926" customFormat="1" ht="30" customHeight="1" x14ac:dyDescent="0.25"/>
    <row r="927" customFormat="1" ht="30" customHeight="1" x14ac:dyDescent="0.25"/>
    <row r="928" customFormat="1" ht="30" customHeight="1" x14ac:dyDescent="0.25"/>
    <row r="929" customFormat="1" ht="30" customHeight="1" x14ac:dyDescent="0.25"/>
    <row r="930" customFormat="1" ht="30" customHeight="1" x14ac:dyDescent="0.25"/>
    <row r="931" customFormat="1" ht="30" customHeight="1" x14ac:dyDescent="0.25"/>
    <row r="932" customFormat="1" ht="30" customHeight="1" x14ac:dyDescent="0.25"/>
    <row r="933" customFormat="1" ht="30" customHeight="1" x14ac:dyDescent="0.25"/>
    <row r="934" customFormat="1" ht="30" customHeight="1" x14ac:dyDescent="0.25"/>
    <row r="935" customFormat="1" ht="30" customHeight="1" x14ac:dyDescent="0.25"/>
    <row r="936" customFormat="1" ht="30" customHeight="1" x14ac:dyDescent="0.25"/>
    <row r="937" customFormat="1" ht="30" customHeight="1" x14ac:dyDescent="0.25"/>
    <row r="938" customFormat="1" ht="30" customHeight="1" x14ac:dyDescent="0.25"/>
    <row r="939" customFormat="1" ht="30" customHeight="1" x14ac:dyDescent="0.25"/>
    <row r="940" customFormat="1" ht="30" customHeight="1" x14ac:dyDescent="0.25"/>
    <row r="941" customFormat="1" ht="30" customHeight="1" x14ac:dyDescent="0.25"/>
    <row r="942" s="92" customFormat="1" ht="30" customHeight="1" x14ac:dyDescent="0.25"/>
    <row r="943" ht="30" customHeight="1" x14ac:dyDescent="0.25"/>
    <row r="944" ht="30" customHeight="1" x14ac:dyDescent="0.25"/>
    <row r="945" ht="30" customHeight="1" x14ac:dyDescent="0.25"/>
    <row r="946" ht="30" customHeight="1" x14ac:dyDescent="0.25"/>
    <row r="947" ht="30" customHeight="1" x14ac:dyDescent="0.25"/>
    <row r="948" ht="30" customHeight="1" x14ac:dyDescent="0.25"/>
    <row r="949" ht="30" customHeight="1" x14ac:dyDescent="0.25"/>
    <row r="950" ht="30" customHeight="1" x14ac:dyDescent="0.25"/>
    <row r="951" ht="30" customHeight="1" x14ac:dyDescent="0.25"/>
    <row r="952" ht="30" customHeight="1" x14ac:dyDescent="0.25"/>
    <row r="953" ht="30" customHeight="1" x14ac:dyDescent="0.25"/>
    <row r="954" ht="30" customHeight="1" x14ac:dyDescent="0.25"/>
    <row r="955" ht="30" customHeight="1" x14ac:dyDescent="0.25"/>
    <row r="956" ht="30" customHeight="1" x14ac:dyDescent="0.25"/>
    <row r="957" ht="30" customHeight="1" x14ac:dyDescent="0.25"/>
    <row r="958" ht="30" customHeight="1" x14ac:dyDescent="0.25"/>
    <row r="959" ht="30" customHeight="1" x14ac:dyDescent="0.25"/>
    <row r="960" ht="30" customHeight="1" x14ac:dyDescent="0.25"/>
    <row r="961" ht="30" customHeight="1" x14ac:dyDescent="0.25"/>
    <row r="962" ht="30" customHeight="1" x14ac:dyDescent="0.25"/>
    <row r="963" ht="30" customHeight="1" x14ac:dyDescent="0.25"/>
    <row r="964" ht="30" customHeight="1" x14ac:dyDescent="0.25"/>
    <row r="965" ht="30" customHeight="1" x14ac:dyDescent="0.25"/>
    <row r="966" ht="30" customHeight="1" x14ac:dyDescent="0.25"/>
    <row r="967" ht="30" customHeight="1" x14ac:dyDescent="0.25"/>
    <row r="968" ht="30" customHeight="1" x14ac:dyDescent="0.25"/>
    <row r="969" ht="30" customHeight="1" x14ac:dyDescent="0.25"/>
    <row r="970" ht="30" customHeight="1" x14ac:dyDescent="0.25"/>
    <row r="971" ht="30" customHeight="1" x14ac:dyDescent="0.25"/>
    <row r="972" ht="30" customHeight="1" x14ac:dyDescent="0.25"/>
    <row r="973" ht="30" customHeight="1" x14ac:dyDescent="0.25"/>
    <row r="974" ht="30" customHeight="1" x14ac:dyDescent="0.25"/>
    <row r="975" ht="30" customHeight="1" x14ac:dyDescent="0.25"/>
    <row r="976" ht="30" customHeight="1" x14ac:dyDescent="0.25"/>
    <row r="977" ht="30" customHeight="1" x14ac:dyDescent="0.25"/>
    <row r="978" ht="30" customHeight="1" x14ac:dyDescent="0.25"/>
    <row r="979" ht="30" customHeight="1" x14ac:dyDescent="0.25"/>
    <row r="980" ht="30" customHeight="1" x14ac:dyDescent="0.25"/>
    <row r="981" ht="30" customHeight="1" x14ac:dyDescent="0.25"/>
    <row r="982" ht="30" customHeight="1" x14ac:dyDescent="0.25"/>
    <row r="983" ht="30" customHeight="1" x14ac:dyDescent="0.25"/>
    <row r="984" ht="30" customHeight="1" x14ac:dyDescent="0.25"/>
    <row r="985" ht="30" customHeight="1" x14ac:dyDescent="0.25"/>
    <row r="986" ht="30" customHeight="1" x14ac:dyDescent="0.25"/>
    <row r="987" ht="30" customHeight="1" x14ac:dyDescent="0.25"/>
    <row r="988" ht="30" customHeight="1" x14ac:dyDescent="0.25"/>
    <row r="989" ht="30" customHeight="1" x14ac:dyDescent="0.25"/>
    <row r="990" ht="30" customHeight="1" x14ac:dyDescent="0.25"/>
    <row r="991" ht="30" customHeight="1" x14ac:dyDescent="0.25"/>
    <row r="992" ht="30" customHeight="1" x14ac:dyDescent="0.25"/>
    <row r="993" ht="30" customHeight="1" x14ac:dyDescent="0.25"/>
    <row r="994" ht="30" customHeight="1" x14ac:dyDescent="0.25"/>
    <row r="995" ht="30" customHeight="1" x14ac:dyDescent="0.25"/>
    <row r="996" ht="30" customHeight="1" x14ac:dyDescent="0.25"/>
    <row r="997" ht="30" customHeight="1" x14ac:dyDescent="0.25"/>
    <row r="998" ht="30" customHeight="1" x14ac:dyDescent="0.25"/>
    <row r="999" ht="30" customHeight="1" x14ac:dyDescent="0.25"/>
    <row r="1000" ht="30" customHeight="1" x14ac:dyDescent="0.25"/>
    <row r="1001" ht="30" customHeight="1" x14ac:dyDescent="0.25"/>
    <row r="1002" ht="30" customHeight="1" x14ac:dyDescent="0.25"/>
    <row r="1003" ht="30" customHeight="1" x14ac:dyDescent="0.25"/>
    <row r="1004" ht="30" customHeight="1" x14ac:dyDescent="0.25"/>
    <row r="1005" ht="30" customHeight="1" x14ac:dyDescent="0.25"/>
    <row r="1006" ht="30" customHeight="1" x14ac:dyDescent="0.25"/>
    <row r="1007" ht="30" customHeight="1" x14ac:dyDescent="0.25"/>
    <row r="1008" ht="30" customHeight="1" x14ac:dyDescent="0.25"/>
    <row r="1009" ht="30" customHeight="1" x14ac:dyDescent="0.25"/>
    <row r="1010" ht="30" customHeight="1" x14ac:dyDescent="0.25"/>
    <row r="1011" ht="30" customHeight="1" x14ac:dyDescent="0.25"/>
    <row r="1012" ht="30" customHeight="1" x14ac:dyDescent="0.25"/>
    <row r="1013" ht="30" customHeight="1" x14ac:dyDescent="0.25"/>
    <row r="1014" ht="30" customHeight="1" x14ac:dyDescent="0.25"/>
    <row r="1015" ht="30" customHeight="1" x14ac:dyDescent="0.25"/>
    <row r="1016" ht="30" customHeight="1" x14ac:dyDescent="0.25"/>
    <row r="1017" ht="30" customHeight="1" x14ac:dyDescent="0.25"/>
    <row r="1018" ht="30" customHeight="1" x14ac:dyDescent="0.25"/>
    <row r="1019" ht="30" customHeight="1" x14ac:dyDescent="0.25"/>
    <row r="1020" ht="30" customHeight="1" x14ac:dyDescent="0.25"/>
    <row r="1021" ht="30" customHeight="1" x14ac:dyDescent="0.25"/>
    <row r="1022" ht="30" customHeight="1" x14ac:dyDescent="0.25"/>
    <row r="1023" ht="30" customHeight="1" x14ac:dyDescent="0.25"/>
    <row r="1024" ht="30" customHeight="1" x14ac:dyDescent="0.25"/>
    <row r="1025" ht="30" customHeight="1" x14ac:dyDescent="0.25"/>
    <row r="1026" ht="30" customHeight="1" x14ac:dyDescent="0.25"/>
    <row r="1027" ht="30" customHeight="1" x14ac:dyDescent="0.25"/>
    <row r="1028" ht="30" customHeight="1" x14ac:dyDescent="0.25"/>
    <row r="1029" ht="30" customHeight="1" x14ac:dyDescent="0.25"/>
    <row r="1030" ht="30" customHeight="1" x14ac:dyDescent="0.25"/>
    <row r="1031" ht="30" customHeight="1" x14ac:dyDescent="0.25"/>
    <row r="1032" ht="30" customHeight="1" x14ac:dyDescent="0.25"/>
    <row r="1033" ht="30" customHeight="1" x14ac:dyDescent="0.25"/>
    <row r="1034" ht="30" customHeight="1" x14ac:dyDescent="0.25"/>
    <row r="1035" ht="30" customHeight="1" x14ac:dyDescent="0.25"/>
    <row r="1036" ht="30" customHeight="1" x14ac:dyDescent="0.25"/>
    <row r="1037" ht="30" customHeight="1" x14ac:dyDescent="0.25"/>
    <row r="1038" ht="30" customHeight="1" x14ac:dyDescent="0.25"/>
    <row r="1039" ht="30" customHeight="1" x14ac:dyDescent="0.25"/>
    <row r="1040" ht="30" customHeight="1" x14ac:dyDescent="0.25"/>
    <row r="1041" ht="30" customHeight="1" x14ac:dyDescent="0.25"/>
    <row r="1042" ht="30" customHeight="1" x14ac:dyDescent="0.25"/>
    <row r="1043" ht="30" customHeight="1" x14ac:dyDescent="0.25"/>
    <row r="1044" ht="30" customHeight="1" x14ac:dyDescent="0.25"/>
    <row r="1045" ht="30" customHeight="1" x14ac:dyDescent="0.25"/>
    <row r="1046" ht="30" customHeight="1" x14ac:dyDescent="0.25"/>
    <row r="1047" ht="30" customHeight="1" x14ac:dyDescent="0.25"/>
    <row r="1048" ht="30" customHeight="1" x14ac:dyDescent="0.25"/>
    <row r="1049" ht="30" customHeight="1" x14ac:dyDescent="0.25"/>
    <row r="1050" ht="30" customHeight="1" x14ac:dyDescent="0.25"/>
    <row r="1051" ht="30" customHeight="1" x14ac:dyDescent="0.25"/>
    <row r="1052" ht="30" customHeight="1" x14ac:dyDescent="0.25"/>
    <row r="1053" ht="30" customHeight="1" x14ac:dyDescent="0.25"/>
    <row r="1054" ht="30" customHeight="1" x14ac:dyDescent="0.25"/>
    <row r="1055" ht="30" customHeight="1" x14ac:dyDescent="0.25"/>
    <row r="1056" ht="30" customHeight="1" x14ac:dyDescent="0.25"/>
    <row r="1057" ht="30" customHeight="1" x14ac:dyDescent="0.25"/>
    <row r="1058" ht="30" customHeight="1" x14ac:dyDescent="0.25"/>
    <row r="1059" ht="30" customHeight="1" x14ac:dyDescent="0.25"/>
    <row r="1060" ht="30" customHeight="1" x14ac:dyDescent="0.25"/>
    <row r="1061" ht="30" customHeight="1" x14ac:dyDescent="0.25"/>
    <row r="1062" ht="30" customHeight="1" x14ac:dyDescent="0.25"/>
    <row r="1063" ht="30" customHeight="1" x14ac:dyDescent="0.25"/>
    <row r="1064" ht="30" customHeight="1" x14ac:dyDescent="0.25"/>
    <row r="1065" ht="30" customHeight="1" x14ac:dyDescent="0.25"/>
    <row r="1066" ht="30" customHeight="1" x14ac:dyDescent="0.25"/>
    <row r="1067" ht="30" customHeight="1" x14ac:dyDescent="0.25"/>
    <row r="1068" ht="30" customHeight="1" x14ac:dyDescent="0.25"/>
    <row r="1069" ht="30" customHeight="1" x14ac:dyDescent="0.25"/>
    <row r="1070" ht="30" customHeight="1" x14ac:dyDescent="0.25"/>
    <row r="1071" ht="30" customHeight="1" x14ac:dyDescent="0.25"/>
    <row r="1072" ht="30" customHeight="1" x14ac:dyDescent="0.25"/>
    <row r="1073" ht="30" customHeight="1" x14ac:dyDescent="0.25"/>
    <row r="1074" ht="30" customHeight="1" x14ac:dyDescent="0.25"/>
    <row r="1075" ht="30" customHeight="1" x14ac:dyDescent="0.25"/>
    <row r="1076" ht="30" customHeight="1" x14ac:dyDescent="0.25"/>
    <row r="1077" ht="30" customHeight="1" x14ac:dyDescent="0.25"/>
    <row r="1078" ht="30" customHeight="1" x14ac:dyDescent="0.25"/>
    <row r="1079" ht="30" customHeight="1" x14ac:dyDescent="0.25"/>
    <row r="1080" ht="30" customHeight="1" x14ac:dyDescent="0.25"/>
    <row r="1081" ht="30" customHeight="1" x14ac:dyDescent="0.25"/>
    <row r="1082" ht="30" customHeight="1" x14ac:dyDescent="0.25"/>
    <row r="1083" ht="30" customHeight="1" x14ac:dyDescent="0.25"/>
    <row r="1084" ht="30" customHeight="1" x14ac:dyDescent="0.25"/>
    <row r="1085" ht="30" customHeight="1" x14ac:dyDescent="0.25"/>
    <row r="1086" ht="30" customHeight="1" x14ac:dyDescent="0.25"/>
    <row r="1087" ht="30" customHeight="1" x14ac:dyDescent="0.25"/>
    <row r="1088" ht="30" customHeight="1" x14ac:dyDescent="0.25"/>
    <row r="1089" ht="30" customHeight="1" x14ac:dyDescent="0.25"/>
    <row r="1090" ht="30" customHeight="1" x14ac:dyDescent="0.25"/>
    <row r="1091" ht="30" customHeight="1" x14ac:dyDescent="0.25"/>
    <row r="1092" ht="30" customHeight="1" x14ac:dyDescent="0.25"/>
    <row r="1093" ht="30" customHeight="1" x14ac:dyDescent="0.25"/>
    <row r="1094" ht="30" customHeight="1" x14ac:dyDescent="0.25"/>
    <row r="1095" ht="30" customHeight="1" x14ac:dyDescent="0.25"/>
    <row r="1096" ht="30" customHeight="1" x14ac:dyDescent="0.25"/>
    <row r="1097" ht="30" customHeight="1" x14ac:dyDescent="0.25"/>
    <row r="1098" ht="30" customHeight="1" x14ac:dyDescent="0.25"/>
    <row r="1099" ht="30" customHeight="1" x14ac:dyDescent="0.25"/>
    <row r="1100" ht="30" customHeight="1" x14ac:dyDescent="0.25"/>
    <row r="1101" ht="30" customHeight="1" x14ac:dyDescent="0.25"/>
    <row r="1102" ht="30" customHeight="1" x14ac:dyDescent="0.25"/>
    <row r="1103" ht="30" customHeight="1" x14ac:dyDescent="0.25"/>
    <row r="1104" ht="30" customHeight="1" x14ac:dyDescent="0.25"/>
    <row r="1105" ht="30" customHeight="1" x14ac:dyDescent="0.25"/>
    <row r="1106" ht="30" customHeight="1" x14ac:dyDescent="0.25"/>
    <row r="1107" ht="30" customHeight="1" x14ac:dyDescent="0.25"/>
    <row r="1108" ht="30" customHeight="1" x14ac:dyDescent="0.25"/>
    <row r="1109" ht="30" customHeight="1" x14ac:dyDescent="0.25"/>
    <row r="1110" ht="30" customHeight="1" x14ac:dyDescent="0.25"/>
    <row r="1111" ht="30" customHeight="1" x14ac:dyDescent="0.25"/>
    <row r="1112" ht="30" customHeight="1" x14ac:dyDescent="0.25"/>
    <row r="1113" ht="30" customHeight="1" x14ac:dyDescent="0.25"/>
    <row r="1114" ht="30" customHeight="1" x14ac:dyDescent="0.25"/>
    <row r="1115" ht="30" customHeight="1" x14ac:dyDescent="0.25"/>
    <row r="1116" ht="30" customHeight="1" x14ac:dyDescent="0.25"/>
    <row r="1117" ht="30" customHeight="1" x14ac:dyDescent="0.25"/>
    <row r="1118" ht="30" customHeight="1" x14ac:dyDescent="0.25"/>
    <row r="1119" ht="30" customHeight="1" x14ac:dyDescent="0.25"/>
    <row r="1120" ht="30" customHeight="1" x14ac:dyDescent="0.25"/>
    <row r="1121" ht="30" customHeight="1" x14ac:dyDescent="0.25"/>
    <row r="1122" ht="30" customHeight="1" x14ac:dyDescent="0.25"/>
    <row r="1123" ht="30" customHeight="1" x14ac:dyDescent="0.25"/>
    <row r="1124" ht="30" customHeight="1" x14ac:dyDescent="0.25"/>
    <row r="1125" ht="30" customHeight="1" x14ac:dyDescent="0.25"/>
    <row r="1126" ht="30" customHeight="1" x14ac:dyDescent="0.25"/>
    <row r="1127" ht="30" customHeight="1" x14ac:dyDescent="0.25"/>
    <row r="1128" ht="30" customHeight="1" x14ac:dyDescent="0.25"/>
    <row r="1129" ht="30" customHeight="1" x14ac:dyDescent="0.25"/>
    <row r="1130" ht="30" customHeight="1" x14ac:dyDescent="0.25"/>
    <row r="1131" ht="30" customHeight="1" x14ac:dyDescent="0.25"/>
    <row r="1132" ht="30" customHeight="1" x14ac:dyDescent="0.25"/>
    <row r="1133" ht="30" customHeight="1" x14ac:dyDescent="0.25"/>
    <row r="1134" ht="30" customHeight="1" x14ac:dyDescent="0.25"/>
    <row r="1135" ht="30" customHeight="1" x14ac:dyDescent="0.25"/>
    <row r="1136" ht="30" customHeight="1" x14ac:dyDescent="0.25"/>
    <row r="1137" ht="30" customHeight="1" x14ac:dyDescent="0.25"/>
    <row r="1138" ht="30" customHeight="1" x14ac:dyDescent="0.25"/>
    <row r="1139" ht="30" customHeight="1" x14ac:dyDescent="0.25"/>
    <row r="1140" ht="30" customHeight="1" x14ac:dyDescent="0.25"/>
    <row r="1141" ht="30" customHeight="1" x14ac:dyDescent="0.25"/>
    <row r="1142" ht="30" customHeight="1" x14ac:dyDescent="0.25"/>
    <row r="1143" ht="30" customHeight="1" x14ac:dyDescent="0.25"/>
    <row r="1144" ht="30" customHeight="1" x14ac:dyDescent="0.25"/>
    <row r="1145" ht="30" customHeight="1" x14ac:dyDescent="0.25"/>
    <row r="1146" ht="30" customHeight="1" x14ac:dyDescent="0.25"/>
    <row r="1147" ht="30" customHeight="1" x14ac:dyDescent="0.25"/>
    <row r="1148" ht="30" customHeight="1" x14ac:dyDescent="0.25"/>
    <row r="1149" ht="30" customHeight="1" x14ac:dyDescent="0.25"/>
    <row r="1150" ht="30" customHeight="1" x14ac:dyDescent="0.25"/>
    <row r="1151" ht="30" customHeight="1" x14ac:dyDescent="0.25"/>
    <row r="1152" ht="30" customHeight="1" x14ac:dyDescent="0.25"/>
    <row r="1153" ht="30" customHeight="1" x14ac:dyDescent="0.25"/>
    <row r="1154" ht="30" customHeight="1" x14ac:dyDescent="0.25"/>
    <row r="1155" ht="30" customHeight="1" x14ac:dyDescent="0.25"/>
    <row r="1156" ht="30" customHeight="1" x14ac:dyDescent="0.25"/>
    <row r="1157" ht="30" customHeight="1" x14ac:dyDescent="0.25"/>
    <row r="1158" ht="30" customHeight="1" x14ac:dyDescent="0.25"/>
    <row r="1159" ht="30" customHeight="1" x14ac:dyDescent="0.25"/>
    <row r="1160" ht="30" customHeight="1" x14ac:dyDescent="0.25"/>
    <row r="1161" ht="30" customHeight="1" x14ac:dyDescent="0.25"/>
    <row r="1162" ht="30" customHeight="1" x14ac:dyDescent="0.25"/>
    <row r="1163" ht="30" customHeight="1" x14ac:dyDescent="0.25"/>
    <row r="1164" ht="30" customHeight="1" x14ac:dyDescent="0.25"/>
    <row r="1165" ht="30" customHeight="1" x14ac:dyDescent="0.25"/>
    <row r="1166" ht="30" customHeight="1" x14ac:dyDescent="0.25"/>
    <row r="1167" ht="30" customHeight="1" x14ac:dyDescent="0.25"/>
    <row r="1168" ht="30" customHeight="1" x14ac:dyDescent="0.25"/>
    <row r="1169" ht="30" customHeight="1" x14ac:dyDescent="0.25"/>
    <row r="1170" ht="30" customHeight="1" x14ac:dyDescent="0.25"/>
    <row r="1171" ht="30" customHeight="1" x14ac:dyDescent="0.25"/>
    <row r="1172" ht="30" customHeight="1" x14ac:dyDescent="0.25"/>
    <row r="1173" ht="30" customHeight="1" x14ac:dyDescent="0.25"/>
    <row r="1174" ht="30" customHeight="1" x14ac:dyDescent="0.25"/>
    <row r="1175" ht="30" customHeight="1" x14ac:dyDescent="0.25"/>
    <row r="1176" ht="30" customHeight="1" x14ac:dyDescent="0.25"/>
    <row r="1177" ht="30" customHeight="1" x14ac:dyDescent="0.25"/>
    <row r="1178" ht="30" customHeight="1" x14ac:dyDescent="0.25"/>
    <row r="1179" ht="30" customHeight="1" x14ac:dyDescent="0.25"/>
    <row r="1180" ht="30" customHeight="1" x14ac:dyDescent="0.25"/>
    <row r="1181" ht="30" customHeight="1" x14ac:dyDescent="0.25"/>
    <row r="1182" ht="30" customHeight="1" x14ac:dyDescent="0.25"/>
    <row r="1183" ht="30" customHeight="1" x14ac:dyDescent="0.25"/>
    <row r="1184" ht="30" customHeight="1" x14ac:dyDescent="0.25"/>
    <row r="1185" ht="30" customHeight="1" x14ac:dyDescent="0.25"/>
    <row r="1186" ht="30" customHeight="1" x14ac:dyDescent="0.25"/>
    <row r="1187" ht="30" customHeight="1" x14ac:dyDescent="0.25"/>
    <row r="1188" ht="30" customHeight="1" x14ac:dyDescent="0.25"/>
    <row r="1189" ht="30" customHeight="1" x14ac:dyDescent="0.25"/>
    <row r="1190" ht="30" customHeight="1" x14ac:dyDescent="0.25"/>
    <row r="1191" ht="30" customHeight="1" x14ac:dyDescent="0.25"/>
    <row r="1192" ht="30" customHeight="1" x14ac:dyDescent="0.25"/>
    <row r="1193" ht="30" customHeight="1" x14ac:dyDescent="0.25"/>
    <row r="1194" ht="30" customHeight="1" x14ac:dyDescent="0.25"/>
    <row r="1195" ht="30" customHeight="1" x14ac:dyDescent="0.25"/>
    <row r="1196" ht="30" customHeight="1" x14ac:dyDescent="0.25"/>
    <row r="1197" ht="30" customHeight="1" x14ac:dyDescent="0.25"/>
    <row r="1198" ht="30" customHeight="1" x14ac:dyDescent="0.25"/>
    <row r="1199" ht="30" customHeight="1" x14ac:dyDescent="0.25"/>
    <row r="1200" ht="30" customHeight="1" x14ac:dyDescent="0.25"/>
    <row r="1201" ht="30" customHeight="1" x14ac:dyDescent="0.25"/>
    <row r="1202" ht="30" customHeight="1" x14ac:dyDescent="0.25"/>
    <row r="1203" ht="30" customHeight="1" x14ac:dyDescent="0.25"/>
    <row r="1204" ht="30" customHeight="1" x14ac:dyDescent="0.25"/>
    <row r="1205" ht="30" customHeight="1" x14ac:dyDescent="0.25"/>
    <row r="1206" ht="30" customHeight="1" x14ac:dyDescent="0.25"/>
    <row r="1207" ht="30" customHeight="1" x14ac:dyDescent="0.25"/>
    <row r="1208" ht="30" customHeight="1" x14ac:dyDescent="0.25"/>
    <row r="1209" ht="30" customHeight="1" x14ac:dyDescent="0.25"/>
    <row r="1210" ht="30" customHeight="1" x14ac:dyDescent="0.25"/>
    <row r="1211" ht="30" customHeight="1" x14ac:dyDescent="0.25"/>
    <row r="1212" ht="30" customHeight="1" x14ac:dyDescent="0.25"/>
    <row r="1213" ht="30" customHeight="1" x14ac:dyDescent="0.25"/>
    <row r="1214" ht="30" customHeight="1" x14ac:dyDescent="0.25"/>
    <row r="1215" ht="30" customHeight="1" x14ac:dyDescent="0.25"/>
    <row r="1216" ht="30" customHeight="1" x14ac:dyDescent="0.25"/>
    <row r="1217" ht="30" customHeight="1" x14ac:dyDescent="0.25"/>
    <row r="1218" ht="30" customHeight="1" x14ac:dyDescent="0.25"/>
    <row r="1219" ht="30" customHeight="1" x14ac:dyDescent="0.25"/>
    <row r="1220" ht="30" customHeight="1" x14ac:dyDescent="0.25"/>
    <row r="1221" ht="30" customHeight="1" x14ac:dyDescent="0.25"/>
    <row r="1222" ht="30" customHeight="1" x14ac:dyDescent="0.25"/>
    <row r="1223" ht="30" customHeight="1" x14ac:dyDescent="0.25"/>
    <row r="1224" ht="30" customHeight="1" x14ac:dyDescent="0.25"/>
    <row r="1225" ht="30" customHeight="1" x14ac:dyDescent="0.25"/>
    <row r="1226" ht="30" customHeight="1" x14ac:dyDescent="0.25"/>
    <row r="1227" ht="30" customHeight="1" x14ac:dyDescent="0.25"/>
    <row r="1228" ht="30" customHeight="1" x14ac:dyDescent="0.25"/>
    <row r="1229" ht="30" customHeight="1" x14ac:dyDescent="0.25"/>
    <row r="1230" ht="30" customHeight="1" x14ac:dyDescent="0.25"/>
    <row r="1231" ht="30" customHeight="1" x14ac:dyDescent="0.25"/>
    <row r="1232" ht="30" customHeight="1" x14ac:dyDescent="0.25"/>
    <row r="1233" ht="30" customHeight="1" x14ac:dyDescent="0.25"/>
    <row r="1234" ht="30" customHeight="1" x14ac:dyDescent="0.25"/>
    <row r="1235" ht="30" customHeight="1" x14ac:dyDescent="0.25"/>
    <row r="1236" ht="30" customHeight="1" x14ac:dyDescent="0.25"/>
    <row r="1237" ht="30" customHeight="1" x14ac:dyDescent="0.25"/>
    <row r="1238" ht="30" customHeight="1" x14ac:dyDescent="0.25"/>
    <row r="1239" ht="30" customHeight="1" x14ac:dyDescent="0.25"/>
    <row r="1240" ht="30" customHeight="1" x14ac:dyDescent="0.25"/>
    <row r="1241" ht="30" customHeight="1" x14ac:dyDescent="0.25"/>
    <row r="1242" ht="30" customHeight="1" x14ac:dyDescent="0.25"/>
    <row r="1243" ht="30" customHeight="1" x14ac:dyDescent="0.25"/>
    <row r="1244" ht="30" customHeight="1" x14ac:dyDescent="0.25"/>
    <row r="1245" ht="30" customHeight="1" x14ac:dyDescent="0.25"/>
    <row r="1246" ht="30" customHeight="1" x14ac:dyDescent="0.25"/>
    <row r="1247" ht="30" customHeight="1" x14ac:dyDescent="0.25"/>
    <row r="1248" ht="30" customHeight="1" x14ac:dyDescent="0.25"/>
    <row r="1249" ht="30" customHeight="1" x14ac:dyDescent="0.25"/>
    <row r="1250" ht="30" customHeight="1" x14ac:dyDescent="0.25"/>
    <row r="1251" ht="30" customHeight="1" x14ac:dyDescent="0.25"/>
    <row r="1252" ht="30" customHeight="1" x14ac:dyDescent="0.25"/>
    <row r="1253" ht="30" customHeight="1" x14ac:dyDescent="0.25"/>
    <row r="1254" ht="30" customHeight="1" x14ac:dyDescent="0.25"/>
    <row r="1255" ht="30" customHeight="1" x14ac:dyDescent="0.25"/>
    <row r="1256" ht="30" customHeight="1" x14ac:dyDescent="0.25"/>
    <row r="1257" ht="30" customHeight="1" x14ac:dyDescent="0.25"/>
    <row r="1258" ht="30" customHeight="1" x14ac:dyDescent="0.25"/>
    <row r="1259" ht="30" customHeight="1" x14ac:dyDescent="0.25"/>
    <row r="1260" ht="30" customHeight="1" x14ac:dyDescent="0.25"/>
    <row r="1261" ht="30" customHeight="1" x14ac:dyDescent="0.25"/>
    <row r="1262" ht="30" customHeight="1" x14ac:dyDescent="0.25"/>
    <row r="1263" ht="30" customHeight="1" x14ac:dyDescent="0.25"/>
    <row r="1264" ht="30" customHeight="1" x14ac:dyDescent="0.25"/>
    <row r="1265" ht="30" customHeight="1" x14ac:dyDescent="0.25"/>
    <row r="1266" ht="30" customHeight="1" x14ac:dyDescent="0.25"/>
    <row r="1267" ht="30" customHeight="1" x14ac:dyDescent="0.25"/>
    <row r="1268" ht="30" customHeight="1" x14ac:dyDescent="0.25"/>
    <row r="1269" ht="30" customHeight="1" x14ac:dyDescent="0.25"/>
    <row r="1270" ht="30" customHeight="1" x14ac:dyDescent="0.25"/>
    <row r="1271" ht="30" customHeight="1" x14ac:dyDescent="0.25"/>
    <row r="1272" ht="30" customHeight="1" x14ac:dyDescent="0.25"/>
    <row r="1273" ht="30" customHeight="1" x14ac:dyDescent="0.25"/>
    <row r="1274" ht="30" customHeight="1" x14ac:dyDescent="0.25"/>
    <row r="1275" ht="30" customHeight="1" x14ac:dyDescent="0.25"/>
    <row r="1276" ht="30" customHeight="1" x14ac:dyDescent="0.25"/>
    <row r="1277" ht="30" customHeight="1" x14ac:dyDescent="0.25"/>
    <row r="1278" ht="30" customHeight="1" x14ac:dyDescent="0.25"/>
    <row r="1279" ht="30" customHeight="1" x14ac:dyDescent="0.25"/>
    <row r="1280" ht="30" customHeight="1" x14ac:dyDescent="0.25"/>
    <row r="1281" ht="30" customHeight="1" x14ac:dyDescent="0.25"/>
    <row r="1282" ht="30" customHeight="1" x14ac:dyDescent="0.25"/>
    <row r="1283" ht="30" customHeight="1" x14ac:dyDescent="0.25"/>
    <row r="1284" ht="30" customHeight="1" x14ac:dyDescent="0.25"/>
    <row r="1285" ht="30" customHeight="1" x14ac:dyDescent="0.25"/>
    <row r="1286" ht="30" customHeight="1" x14ac:dyDescent="0.25"/>
    <row r="1287" ht="30" customHeight="1" x14ac:dyDescent="0.25"/>
    <row r="1288" ht="30" customHeight="1" x14ac:dyDescent="0.25"/>
    <row r="1289" ht="30" customHeight="1" x14ac:dyDescent="0.25"/>
    <row r="1290" ht="30" customHeight="1" x14ac:dyDescent="0.25"/>
    <row r="1291" ht="30" customHeight="1" x14ac:dyDescent="0.25"/>
    <row r="1292" ht="30" customHeight="1" x14ac:dyDescent="0.25"/>
    <row r="1293" ht="30" customHeight="1" x14ac:dyDescent="0.25"/>
    <row r="1294" ht="30" customHeight="1" x14ac:dyDescent="0.25"/>
    <row r="1295" ht="30" customHeight="1" x14ac:dyDescent="0.25"/>
    <row r="1296" ht="30" customHeight="1" x14ac:dyDescent="0.25"/>
    <row r="1297" ht="30" customHeight="1" x14ac:dyDescent="0.25"/>
    <row r="1298" ht="30" customHeight="1" x14ac:dyDescent="0.25"/>
    <row r="1299" ht="30" customHeight="1" x14ac:dyDescent="0.25"/>
    <row r="1300" ht="30" customHeight="1" x14ac:dyDescent="0.25"/>
    <row r="1301" ht="30" customHeight="1" x14ac:dyDescent="0.25"/>
    <row r="1302" ht="30" customHeight="1" x14ac:dyDescent="0.25"/>
    <row r="1303" ht="30" customHeight="1" x14ac:dyDescent="0.25"/>
    <row r="1304" ht="30" customHeight="1" x14ac:dyDescent="0.25"/>
    <row r="1305" ht="30" customHeight="1" x14ac:dyDescent="0.25"/>
    <row r="1306" ht="30" customHeight="1" x14ac:dyDescent="0.25"/>
    <row r="1307" ht="30" customHeight="1" x14ac:dyDescent="0.25"/>
    <row r="1308" ht="30" customHeight="1" x14ac:dyDescent="0.25"/>
    <row r="1309" ht="30" customHeight="1" x14ac:dyDescent="0.25"/>
    <row r="1310" ht="30" customHeight="1" x14ac:dyDescent="0.25"/>
    <row r="1311" ht="30" customHeight="1" x14ac:dyDescent="0.25"/>
    <row r="1312" ht="30" customHeight="1" x14ac:dyDescent="0.25"/>
    <row r="1313" ht="30" customHeight="1" x14ac:dyDescent="0.25"/>
    <row r="1314" ht="30" customHeight="1" x14ac:dyDescent="0.25"/>
    <row r="1315" ht="30" customHeight="1" x14ac:dyDescent="0.25"/>
    <row r="1316" ht="30" customHeight="1" x14ac:dyDescent="0.25"/>
    <row r="1317" ht="30" customHeight="1" x14ac:dyDescent="0.25"/>
    <row r="1318" ht="30" customHeight="1" x14ac:dyDescent="0.25"/>
    <row r="1319" ht="30" customHeight="1" x14ac:dyDescent="0.25"/>
    <row r="1320" ht="30" customHeight="1" x14ac:dyDescent="0.25"/>
    <row r="1321" ht="30" customHeight="1" x14ac:dyDescent="0.25"/>
    <row r="1322" ht="30" customHeight="1" x14ac:dyDescent="0.25"/>
    <row r="1323" ht="30" customHeight="1" x14ac:dyDescent="0.25"/>
    <row r="1324" ht="30" customHeight="1" x14ac:dyDescent="0.25"/>
    <row r="1325" ht="30" customHeight="1" x14ac:dyDescent="0.25"/>
    <row r="1326" ht="30" customHeight="1" x14ac:dyDescent="0.25"/>
    <row r="1327" ht="30" customHeight="1" x14ac:dyDescent="0.25"/>
    <row r="1328" ht="30" customHeight="1" x14ac:dyDescent="0.25"/>
    <row r="1329" ht="30" customHeight="1" x14ac:dyDescent="0.25"/>
    <row r="1330" ht="30" customHeight="1" x14ac:dyDescent="0.25"/>
    <row r="1331" ht="30" customHeight="1" x14ac:dyDescent="0.25"/>
    <row r="1332" ht="30" customHeight="1" x14ac:dyDescent="0.25"/>
    <row r="1333" ht="30" customHeight="1" x14ac:dyDescent="0.25"/>
    <row r="1334" ht="30" customHeight="1" x14ac:dyDescent="0.25"/>
    <row r="1335" ht="30" customHeight="1" x14ac:dyDescent="0.25"/>
    <row r="1336" ht="30" customHeight="1" x14ac:dyDescent="0.25"/>
    <row r="1337" ht="30" customHeight="1" x14ac:dyDescent="0.25"/>
    <row r="1338" ht="30" customHeight="1" x14ac:dyDescent="0.25"/>
    <row r="1339" ht="30" customHeight="1" x14ac:dyDescent="0.25"/>
    <row r="1340" ht="30" customHeight="1" x14ac:dyDescent="0.25"/>
    <row r="1341" ht="30" customHeight="1" x14ac:dyDescent="0.25"/>
    <row r="1342" ht="30" customHeight="1" x14ac:dyDescent="0.25"/>
    <row r="1343" ht="30" customHeight="1" x14ac:dyDescent="0.25"/>
    <row r="1344" ht="30" customHeight="1" x14ac:dyDescent="0.25"/>
  </sheetData>
  <sheetProtection algorithmName="SHA-512" hashValue="Eeyio86C80uMJXUBQs//tBGMdTEB7uEiaWdtpjvA/+tKLjf92aqka2MD7qf8cgd8EfNFtJpiqd7rnOIUBIAN+w==" saltValue="tq7gZrs8OHnN8miPVMPWPw==" spinCount="100000" sheet="1" formatColumns="0" formatRows="0" autoFilter="0"/>
  <autoFilter ref="B2:B1344" xr:uid="{00000000-0009-0000-0000-000003000000}"/>
  <pageMargins left="0.118055555555556" right="0" top="0.74791666666666701" bottom="0.74791666666666701" header="0.511811023622047" footer="0.511811023622047"/>
  <pageSetup paperSize="9" scale="9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8"/>
  <sheetViews>
    <sheetView showZeros="0" zoomScale="80" zoomScaleNormal="80" workbookViewId="0">
      <pane xSplit="1" ySplit="4" topLeftCell="B46" activePane="bottomRight" state="frozen"/>
      <selection pane="topRight" activeCell="B1" sqref="B1"/>
      <selection pane="bottomLeft" activeCell="A22" sqref="A22"/>
      <selection pane="bottomRight" activeCell="B57" sqref="B57"/>
    </sheetView>
  </sheetViews>
  <sheetFormatPr defaultColWidth="9.109375" defaultRowHeight="12.75" customHeight="1" x14ac:dyDescent="0.25"/>
  <cols>
    <col min="1" max="1" width="5.6640625" style="98" customWidth="1"/>
    <col min="2" max="2" width="48" style="98" customWidth="1"/>
    <col min="3" max="3" width="12.6640625" style="98" customWidth="1"/>
    <col min="4" max="4" width="9.44140625" style="98" customWidth="1"/>
    <col min="5" max="5" width="11.109375" style="98" customWidth="1"/>
    <col min="6" max="6" width="10.88671875" style="98" customWidth="1"/>
    <col min="7" max="7" width="10.6640625" style="99" customWidth="1"/>
    <col min="8" max="8" width="27.44140625" style="98" customWidth="1"/>
    <col min="9" max="16384" width="9.109375" style="98"/>
  </cols>
  <sheetData>
    <row r="1" spans="1:8" ht="18" customHeight="1" x14ac:dyDescent="0.25">
      <c r="A1" s="153" t="s">
        <v>2581</v>
      </c>
      <c r="B1" s="153"/>
      <c r="C1" s="153"/>
      <c r="D1" s="153"/>
      <c r="E1" s="153"/>
      <c r="F1" s="153"/>
      <c r="G1" s="153"/>
      <c r="H1" s="153"/>
    </row>
    <row r="2" spans="1:8" ht="7.5" customHeight="1" x14ac:dyDescent="0.25">
      <c r="A2" s="100"/>
    </row>
    <row r="3" spans="1:8" ht="54.75" customHeight="1" x14ac:dyDescent="0.25">
      <c r="A3" s="101" t="s">
        <v>2582</v>
      </c>
      <c r="B3" s="101" t="s">
        <v>2583</v>
      </c>
      <c r="C3" s="101" t="s">
        <v>2584</v>
      </c>
      <c r="D3" s="101" t="s">
        <v>2585</v>
      </c>
      <c r="E3" s="101" t="s">
        <v>2586</v>
      </c>
      <c r="F3" s="101" t="s">
        <v>2587</v>
      </c>
      <c r="G3" s="101" t="s">
        <v>2588</v>
      </c>
      <c r="H3" s="101" t="s">
        <v>2589</v>
      </c>
    </row>
    <row r="4" spans="1:8" ht="13.2" x14ac:dyDescent="0.25">
      <c r="A4" s="102">
        <v>1</v>
      </c>
      <c r="B4" s="102">
        <v>2</v>
      </c>
      <c r="C4" s="102">
        <v>3</v>
      </c>
      <c r="D4" s="102">
        <v>4</v>
      </c>
      <c r="E4" s="102">
        <v>5</v>
      </c>
      <c r="F4" s="102">
        <v>5</v>
      </c>
      <c r="G4" s="102">
        <v>7</v>
      </c>
      <c r="H4" s="102">
        <v>6</v>
      </c>
    </row>
    <row r="5" spans="1:8" ht="14.25" customHeight="1" x14ac:dyDescent="0.25">
      <c r="A5" s="103">
        <v>1</v>
      </c>
      <c r="B5" s="104" t="s">
        <v>2590</v>
      </c>
      <c r="C5" s="104" t="s">
        <v>2591</v>
      </c>
      <c r="D5" s="105">
        <v>1</v>
      </c>
      <c r="E5" s="106">
        <v>1</v>
      </c>
      <c r="F5" s="107" t="s">
        <v>79</v>
      </c>
      <c r="G5" s="106" t="s">
        <v>2565</v>
      </c>
      <c r="H5" s="108" t="s">
        <v>2592</v>
      </c>
    </row>
    <row r="6" spans="1:8" ht="30" customHeight="1" x14ac:dyDescent="0.25">
      <c r="A6" s="103">
        <v>2</v>
      </c>
      <c r="B6" s="104" t="s">
        <v>2593</v>
      </c>
      <c r="C6" s="104" t="s">
        <v>2594</v>
      </c>
      <c r="D6" s="105">
        <v>1</v>
      </c>
      <c r="E6" s="106">
        <v>1</v>
      </c>
      <c r="F6" s="107" t="s">
        <v>86</v>
      </c>
      <c r="G6" s="106" t="s">
        <v>2595</v>
      </c>
      <c r="H6" s="108" t="s">
        <v>2596</v>
      </c>
    </row>
    <row r="7" spans="1:8" ht="45.75" customHeight="1" x14ac:dyDescent="0.25">
      <c r="A7" s="103">
        <v>3</v>
      </c>
      <c r="B7" s="104" t="s">
        <v>2597</v>
      </c>
      <c r="C7" s="104" t="s">
        <v>2598</v>
      </c>
      <c r="D7" s="105">
        <v>1</v>
      </c>
      <c r="E7" s="106">
        <v>1</v>
      </c>
      <c r="F7" s="107" t="s">
        <v>94</v>
      </c>
      <c r="G7" s="106" t="s">
        <v>2599</v>
      </c>
      <c r="H7" s="108" t="s">
        <v>2600</v>
      </c>
    </row>
    <row r="8" spans="1:8" ht="50.25" customHeight="1" x14ac:dyDescent="0.25">
      <c r="A8" s="103">
        <v>4</v>
      </c>
      <c r="B8" s="104" t="s">
        <v>2601</v>
      </c>
      <c r="C8" s="104" t="s">
        <v>2598</v>
      </c>
      <c r="D8" s="105">
        <v>1</v>
      </c>
      <c r="E8" s="106">
        <v>1</v>
      </c>
      <c r="F8" s="107" t="s">
        <v>2602</v>
      </c>
      <c r="G8" s="106" t="s">
        <v>2603</v>
      </c>
      <c r="H8" s="108" t="s">
        <v>2604</v>
      </c>
    </row>
    <row r="9" spans="1:8" ht="27.6" x14ac:dyDescent="0.25">
      <c r="A9" s="103">
        <v>5</v>
      </c>
      <c r="B9" s="104" t="s">
        <v>2605</v>
      </c>
      <c r="C9" s="104" t="s">
        <v>2598</v>
      </c>
      <c r="D9" s="105">
        <v>1</v>
      </c>
      <c r="E9" s="106">
        <v>1</v>
      </c>
      <c r="F9" s="107" t="s">
        <v>2602</v>
      </c>
      <c r="G9" s="106" t="s">
        <v>2606</v>
      </c>
      <c r="H9" s="108" t="s">
        <v>2600</v>
      </c>
    </row>
    <row r="10" spans="1:8" ht="36" x14ac:dyDescent="0.25">
      <c r="A10" s="103">
        <v>6</v>
      </c>
      <c r="B10" s="104" t="s">
        <v>2607</v>
      </c>
      <c r="C10" s="104" t="s">
        <v>2591</v>
      </c>
      <c r="D10" s="105">
        <v>1</v>
      </c>
      <c r="E10" s="106">
        <v>1</v>
      </c>
      <c r="F10" s="107" t="s">
        <v>2608</v>
      </c>
      <c r="G10" s="106" t="s">
        <v>2608</v>
      </c>
      <c r="H10" s="108" t="s">
        <v>2609</v>
      </c>
    </row>
    <row r="11" spans="1:8" ht="36" x14ac:dyDescent="0.25">
      <c r="A11" s="103">
        <v>7</v>
      </c>
      <c r="B11" s="104" t="s">
        <v>2610</v>
      </c>
      <c r="C11" s="104" t="s">
        <v>2591</v>
      </c>
      <c r="D11" s="105">
        <v>1</v>
      </c>
      <c r="E11" s="106">
        <v>1</v>
      </c>
      <c r="F11" s="107"/>
      <c r="G11" s="106" t="s">
        <v>2611</v>
      </c>
      <c r="H11" s="108" t="s">
        <v>2612</v>
      </c>
    </row>
    <row r="12" spans="1:8" ht="60" x14ac:dyDescent="0.25">
      <c r="A12" s="103">
        <v>8</v>
      </c>
      <c r="B12" s="104" t="s">
        <v>2613</v>
      </c>
      <c r="C12" s="104"/>
      <c r="D12" s="105"/>
      <c r="E12" s="106"/>
      <c r="F12" s="107"/>
      <c r="G12" s="106" t="s">
        <v>2614</v>
      </c>
      <c r="H12" s="108" t="s">
        <v>2615</v>
      </c>
    </row>
    <row r="13" spans="1:8" ht="27.6" x14ac:dyDescent="0.25">
      <c r="A13" s="103">
        <v>9</v>
      </c>
      <c r="B13" s="104" t="s">
        <v>2616</v>
      </c>
      <c r="C13" s="104" t="s">
        <v>2594</v>
      </c>
      <c r="D13" s="105">
        <v>1</v>
      </c>
      <c r="E13" s="106">
        <v>1</v>
      </c>
      <c r="F13" s="107"/>
      <c r="G13" s="106" t="s">
        <v>2617</v>
      </c>
      <c r="H13" s="108" t="s">
        <v>2618</v>
      </c>
    </row>
    <row r="14" spans="1:8" ht="46.5" customHeight="1" x14ac:dyDescent="0.25">
      <c r="A14" s="109">
        <v>10</v>
      </c>
      <c r="B14" s="104" t="s">
        <v>2619</v>
      </c>
      <c r="C14" s="104" t="s">
        <v>2594</v>
      </c>
      <c r="D14" s="105">
        <v>0.05</v>
      </c>
      <c r="E14" s="106">
        <v>0.05</v>
      </c>
      <c r="F14" s="107"/>
      <c r="G14" s="106" t="s">
        <v>2620</v>
      </c>
      <c r="H14" s="108" t="s">
        <v>2621</v>
      </c>
    </row>
    <row r="15" spans="1:8" ht="46.5" customHeight="1" x14ac:dyDescent="0.25">
      <c r="A15" s="109">
        <v>11</v>
      </c>
      <c r="B15" s="104" t="s">
        <v>2622</v>
      </c>
      <c r="C15" s="104" t="s">
        <v>2594</v>
      </c>
      <c r="D15" s="105">
        <v>0.1</v>
      </c>
      <c r="E15" s="106">
        <v>0.1</v>
      </c>
      <c r="F15" s="107"/>
      <c r="G15" s="106" t="s">
        <v>2623</v>
      </c>
      <c r="H15" s="108" t="s">
        <v>2621</v>
      </c>
    </row>
    <row r="16" spans="1:8" ht="45.75" customHeight="1" x14ac:dyDescent="0.25">
      <c r="A16" s="109">
        <v>12</v>
      </c>
      <c r="B16" s="104" t="s">
        <v>2624</v>
      </c>
      <c r="C16" s="104" t="s">
        <v>2594</v>
      </c>
      <c r="D16" s="105">
        <v>0.15</v>
      </c>
      <c r="E16" s="106">
        <v>0.15</v>
      </c>
      <c r="F16" s="107"/>
      <c r="G16" s="106" t="s">
        <v>2625</v>
      </c>
      <c r="H16" s="108" t="s">
        <v>2621</v>
      </c>
    </row>
    <row r="17" spans="1:8" ht="27.6" x14ac:dyDescent="0.25">
      <c r="A17" s="109">
        <v>13</v>
      </c>
      <c r="B17" s="104" t="s">
        <v>2626</v>
      </c>
      <c r="C17" s="104" t="s">
        <v>2627</v>
      </c>
      <c r="D17" s="105">
        <v>1</v>
      </c>
      <c r="E17" s="106">
        <v>1</v>
      </c>
      <c r="F17" s="107" t="s">
        <v>2577</v>
      </c>
      <c r="G17" s="106" t="s">
        <v>2628</v>
      </c>
      <c r="H17" s="108" t="s">
        <v>2629</v>
      </c>
    </row>
    <row r="18" spans="1:8" ht="36.75" customHeight="1" x14ac:dyDescent="0.25">
      <c r="A18" s="109">
        <v>14</v>
      </c>
      <c r="B18" s="104" t="s">
        <v>2630</v>
      </c>
      <c r="C18" s="104" t="s">
        <v>2627</v>
      </c>
      <c r="D18" s="105">
        <v>2</v>
      </c>
      <c r="E18" s="106">
        <v>2</v>
      </c>
      <c r="F18" s="107" t="s">
        <v>2577</v>
      </c>
      <c r="G18" s="106" t="s">
        <v>2631</v>
      </c>
      <c r="H18" s="108" t="s">
        <v>2632</v>
      </c>
    </row>
    <row r="19" spans="1:8" ht="55.2" x14ac:dyDescent="0.25">
      <c r="A19" s="109">
        <v>15</v>
      </c>
      <c r="B19" s="104" t="s">
        <v>2633</v>
      </c>
      <c r="C19" s="104" t="s">
        <v>2627</v>
      </c>
      <c r="D19" s="105">
        <v>1</v>
      </c>
      <c r="E19" s="106">
        <v>1</v>
      </c>
      <c r="F19" s="107" t="s">
        <v>2570</v>
      </c>
      <c r="G19" s="106" t="s">
        <v>2634</v>
      </c>
      <c r="H19" s="108" t="s">
        <v>2629</v>
      </c>
    </row>
    <row r="20" spans="1:8" ht="41.4" x14ac:dyDescent="0.25">
      <c r="A20" s="109">
        <v>16</v>
      </c>
      <c r="B20" s="104" t="s">
        <v>2635</v>
      </c>
      <c r="C20" s="104" t="s">
        <v>2627</v>
      </c>
      <c r="D20" s="105">
        <v>0.33</v>
      </c>
      <c r="E20" s="106">
        <v>0.33</v>
      </c>
      <c r="F20" s="107"/>
      <c r="G20" s="106" t="s">
        <v>2636</v>
      </c>
      <c r="H20" s="108" t="s">
        <v>2637</v>
      </c>
    </row>
    <row r="21" spans="1:8" ht="30.75" customHeight="1" x14ac:dyDescent="0.25">
      <c r="A21" s="109">
        <v>17</v>
      </c>
      <c r="B21" s="104" t="s">
        <v>2638</v>
      </c>
      <c r="C21" s="104" t="s">
        <v>2627</v>
      </c>
      <c r="D21" s="105">
        <v>0.33</v>
      </c>
      <c r="E21" s="106">
        <v>0.33</v>
      </c>
      <c r="F21" s="107"/>
      <c r="G21" s="106" t="s">
        <v>2639</v>
      </c>
      <c r="H21" s="108" t="s">
        <v>2640</v>
      </c>
    </row>
    <row r="22" spans="1:8" ht="47.25" customHeight="1" x14ac:dyDescent="0.25">
      <c r="A22" s="110" t="s">
        <v>2641</v>
      </c>
      <c r="B22" s="104" t="s">
        <v>2642</v>
      </c>
      <c r="C22" s="104" t="s">
        <v>2643</v>
      </c>
      <c r="D22" s="105">
        <v>2</v>
      </c>
      <c r="E22" s="106">
        <v>2</v>
      </c>
      <c r="F22" s="107" t="s">
        <v>2644</v>
      </c>
      <c r="G22" s="106" t="s">
        <v>2645</v>
      </c>
      <c r="H22" s="108" t="s">
        <v>2646</v>
      </c>
    </row>
    <row r="23" spans="1:8" ht="48" customHeight="1" x14ac:dyDescent="0.25">
      <c r="A23" s="110" t="s">
        <v>2647</v>
      </c>
      <c r="B23" s="104" t="s">
        <v>2642</v>
      </c>
      <c r="C23" s="104" t="s">
        <v>2627</v>
      </c>
      <c r="D23" s="105">
        <v>0.5</v>
      </c>
      <c r="E23" s="106">
        <v>0.5</v>
      </c>
      <c r="F23" s="107" t="s">
        <v>2648</v>
      </c>
      <c r="G23" s="106" t="s">
        <v>2649</v>
      </c>
      <c r="H23" s="108" t="s">
        <v>2650</v>
      </c>
    </row>
    <row r="24" spans="1:8" ht="45.75" customHeight="1" x14ac:dyDescent="0.25">
      <c r="A24" s="109">
        <v>19</v>
      </c>
      <c r="B24" s="104" t="s">
        <v>2651</v>
      </c>
      <c r="C24" s="104" t="s">
        <v>2627</v>
      </c>
      <c r="D24" s="105">
        <v>0.5</v>
      </c>
      <c r="E24" s="106">
        <v>0.5</v>
      </c>
      <c r="F24" s="107"/>
      <c r="G24" s="106" t="s">
        <v>2652</v>
      </c>
      <c r="H24" s="108" t="s">
        <v>2653</v>
      </c>
    </row>
    <row r="25" spans="1:8" ht="47.25" customHeight="1" x14ac:dyDescent="0.25">
      <c r="A25" s="109">
        <v>20</v>
      </c>
      <c r="B25" s="104" t="s">
        <v>2654</v>
      </c>
      <c r="C25" s="104" t="s">
        <v>2627</v>
      </c>
      <c r="D25" s="105">
        <v>2</v>
      </c>
      <c r="E25" s="106">
        <v>2</v>
      </c>
      <c r="F25" s="107" t="s">
        <v>2655</v>
      </c>
      <c r="G25" s="106" t="s">
        <v>2656</v>
      </c>
      <c r="H25" s="108" t="s">
        <v>2657</v>
      </c>
    </row>
    <row r="26" spans="1:8" ht="60" customHeight="1" x14ac:dyDescent="0.25">
      <c r="A26" s="109">
        <v>21</v>
      </c>
      <c r="B26" s="104" t="s">
        <v>2658</v>
      </c>
      <c r="C26" s="104" t="s">
        <v>2627</v>
      </c>
      <c r="D26" s="105">
        <v>1</v>
      </c>
      <c r="E26" s="106">
        <v>1</v>
      </c>
      <c r="F26" s="107" t="s">
        <v>2659</v>
      </c>
      <c r="G26" s="106" t="s">
        <v>2660</v>
      </c>
      <c r="H26" s="108" t="s">
        <v>2661</v>
      </c>
    </row>
    <row r="27" spans="1:8" ht="45.75" customHeight="1" x14ac:dyDescent="0.25">
      <c r="A27" s="109">
        <v>22</v>
      </c>
      <c r="B27" s="104" t="s">
        <v>2662</v>
      </c>
      <c r="C27" s="104" t="s">
        <v>2594</v>
      </c>
      <c r="D27" s="105">
        <v>1</v>
      </c>
      <c r="E27" s="106">
        <v>1</v>
      </c>
      <c r="F27" s="107"/>
      <c r="G27" s="106" t="s">
        <v>2663</v>
      </c>
      <c r="H27" s="108" t="s">
        <v>2664</v>
      </c>
    </row>
    <row r="28" spans="1:8" ht="90" customHeight="1" x14ac:dyDescent="0.25">
      <c r="A28" s="111">
        <v>23</v>
      </c>
      <c r="B28" s="104" t="s">
        <v>2665</v>
      </c>
      <c r="C28" s="104" t="s">
        <v>2627</v>
      </c>
      <c r="D28" s="105">
        <v>1.5</v>
      </c>
      <c r="E28" s="106">
        <v>1.5</v>
      </c>
      <c r="F28" s="107" t="s">
        <v>156</v>
      </c>
      <c r="G28" s="106" t="s">
        <v>2666</v>
      </c>
      <c r="H28" s="108" t="s">
        <v>2667</v>
      </c>
    </row>
    <row r="29" spans="1:8" ht="44.25" customHeight="1" x14ac:dyDescent="0.25">
      <c r="A29" s="111">
        <v>24</v>
      </c>
      <c r="B29" s="104" t="s">
        <v>2668</v>
      </c>
      <c r="C29" s="104" t="s">
        <v>2627</v>
      </c>
      <c r="D29" s="105">
        <v>0.75</v>
      </c>
      <c r="E29" s="106">
        <v>0.75</v>
      </c>
      <c r="F29" s="107" t="s">
        <v>2669</v>
      </c>
      <c r="G29" s="106" t="s">
        <v>2670</v>
      </c>
      <c r="H29" s="108" t="s">
        <v>2667</v>
      </c>
    </row>
    <row r="30" spans="1:8" ht="74.25" customHeight="1" x14ac:dyDescent="0.25">
      <c r="A30" s="111">
        <v>25</v>
      </c>
      <c r="B30" s="104" t="s">
        <v>2671</v>
      </c>
      <c r="C30" s="104" t="s">
        <v>2627</v>
      </c>
      <c r="D30" s="105">
        <v>0.75</v>
      </c>
      <c r="E30" s="106">
        <v>0.75</v>
      </c>
      <c r="F30" s="107" t="s">
        <v>2672</v>
      </c>
      <c r="G30" s="106" t="s">
        <v>2673</v>
      </c>
      <c r="H30" s="108" t="s">
        <v>2667</v>
      </c>
    </row>
    <row r="31" spans="1:8" ht="117.75" customHeight="1" x14ac:dyDescent="0.25">
      <c r="A31" s="111">
        <v>26</v>
      </c>
      <c r="B31" s="104" t="s">
        <v>2674</v>
      </c>
      <c r="C31" s="104" t="s">
        <v>2627</v>
      </c>
      <c r="D31" s="105">
        <v>1.5</v>
      </c>
      <c r="E31" s="106">
        <v>1.5</v>
      </c>
      <c r="F31" s="107" t="s">
        <v>168</v>
      </c>
      <c r="G31" s="106" t="s">
        <v>2675</v>
      </c>
      <c r="H31" s="108" t="s">
        <v>2667</v>
      </c>
    </row>
    <row r="32" spans="1:8" ht="63.75" customHeight="1" x14ac:dyDescent="0.25">
      <c r="A32" s="111">
        <v>27</v>
      </c>
      <c r="B32" s="104" t="s">
        <v>2676</v>
      </c>
      <c r="C32" s="104" t="s">
        <v>2627</v>
      </c>
      <c r="D32" s="105">
        <v>0.33</v>
      </c>
      <c r="E32" s="106">
        <v>0.33</v>
      </c>
      <c r="F32" s="107" t="s">
        <v>2677</v>
      </c>
      <c r="G32" s="106" t="s">
        <v>2677</v>
      </c>
      <c r="H32" s="108" t="s">
        <v>2678</v>
      </c>
    </row>
    <row r="33" spans="1:8" ht="63.75" customHeight="1" x14ac:dyDescent="0.25">
      <c r="A33" s="111">
        <v>28</v>
      </c>
      <c r="B33" s="104" t="s">
        <v>2679</v>
      </c>
      <c r="C33" s="104" t="s">
        <v>2627</v>
      </c>
      <c r="D33" s="105">
        <v>1</v>
      </c>
      <c r="E33" s="106">
        <v>1</v>
      </c>
      <c r="F33" s="107" t="s">
        <v>2680</v>
      </c>
      <c r="G33" s="106" t="s">
        <v>2681</v>
      </c>
      <c r="H33" s="108" t="s">
        <v>2682</v>
      </c>
    </row>
    <row r="34" spans="1:8" ht="63.75" customHeight="1" x14ac:dyDescent="0.25">
      <c r="A34" s="111">
        <v>29</v>
      </c>
      <c r="B34" s="104" t="s">
        <v>2683</v>
      </c>
      <c r="C34" s="104" t="s">
        <v>2627</v>
      </c>
      <c r="D34" s="105">
        <v>1.5</v>
      </c>
      <c r="E34" s="106">
        <v>1.5</v>
      </c>
      <c r="F34" s="107" t="s">
        <v>2680</v>
      </c>
      <c r="G34" s="106" t="s">
        <v>2684</v>
      </c>
      <c r="H34" s="108" t="s">
        <v>2682</v>
      </c>
    </row>
    <row r="35" spans="1:8" ht="59.25" customHeight="1" x14ac:dyDescent="0.25">
      <c r="A35" s="111">
        <v>30</v>
      </c>
      <c r="B35" s="104" t="s">
        <v>2685</v>
      </c>
      <c r="C35" s="104" t="s">
        <v>2627</v>
      </c>
      <c r="D35" s="105">
        <v>1.5</v>
      </c>
      <c r="E35" s="106">
        <v>1.5</v>
      </c>
      <c r="F35" s="107" t="s">
        <v>276</v>
      </c>
      <c r="G35" s="106" t="s">
        <v>276</v>
      </c>
      <c r="H35" s="108" t="s">
        <v>2667</v>
      </c>
    </row>
    <row r="36" spans="1:8" ht="30.75" customHeight="1" x14ac:dyDescent="0.25">
      <c r="A36" s="111">
        <v>31</v>
      </c>
      <c r="B36" s="104" t="s">
        <v>2686</v>
      </c>
      <c r="C36" s="104" t="s">
        <v>2627</v>
      </c>
      <c r="D36" s="105">
        <v>0.5</v>
      </c>
      <c r="E36" s="106">
        <v>0.5</v>
      </c>
      <c r="F36" s="107" t="s">
        <v>282</v>
      </c>
      <c r="G36" s="106" t="s">
        <v>2687</v>
      </c>
      <c r="H36" s="108" t="s">
        <v>2688</v>
      </c>
    </row>
    <row r="37" spans="1:8" ht="28.5" customHeight="1" x14ac:dyDescent="0.25">
      <c r="A37" s="111">
        <v>32</v>
      </c>
      <c r="B37" s="104" t="s">
        <v>2689</v>
      </c>
      <c r="C37" s="104" t="s">
        <v>2627</v>
      </c>
      <c r="D37" s="105">
        <v>0.75</v>
      </c>
      <c r="E37" s="106">
        <v>0.75</v>
      </c>
      <c r="F37" s="107" t="s">
        <v>282</v>
      </c>
      <c r="G37" s="106" t="s">
        <v>2690</v>
      </c>
      <c r="H37" s="108" t="s">
        <v>2688</v>
      </c>
    </row>
    <row r="38" spans="1:8" ht="47.25" customHeight="1" x14ac:dyDescent="0.25">
      <c r="A38" s="112">
        <v>33</v>
      </c>
      <c r="B38" s="104" t="s">
        <v>2691</v>
      </c>
      <c r="C38" s="104" t="s">
        <v>2627</v>
      </c>
      <c r="D38" s="105">
        <v>20</v>
      </c>
      <c r="E38" s="106">
        <v>20</v>
      </c>
      <c r="F38" s="107" t="s">
        <v>172</v>
      </c>
      <c r="G38" s="106" t="s">
        <v>2692</v>
      </c>
      <c r="H38" s="108"/>
    </row>
    <row r="39" spans="1:8" ht="50.25" customHeight="1" x14ac:dyDescent="0.25">
      <c r="A39" s="112">
        <v>34</v>
      </c>
      <c r="B39" s="104" t="s">
        <v>2693</v>
      </c>
      <c r="C39" s="104" t="s">
        <v>2627</v>
      </c>
      <c r="D39" s="105">
        <v>30</v>
      </c>
      <c r="E39" s="106">
        <v>30</v>
      </c>
      <c r="F39" s="107" t="s">
        <v>172</v>
      </c>
      <c r="G39" s="106" t="s">
        <v>2694</v>
      </c>
      <c r="H39" s="108"/>
    </row>
    <row r="40" spans="1:8" ht="50.25" customHeight="1" x14ac:dyDescent="0.25">
      <c r="A40" s="112">
        <v>35</v>
      </c>
      <c r="B40" s="104" t="s">
        <v>2695</v>
      </c>
      <c r="C40" s="104" t="s">
        <v>2627</v>
      </c>
      <c r="D40" s="105">
        <v>26</v>
      </c>
      <c r="E40" s="106">
        <v>26</v>
      </c>
      <c r="F40" s="107" t="s">
        <v>172</v>
      </c>
      <c r="G40" s="106" t="s">
        <v>2696</v>
      </c>
      <c r="H40" s="108"/>
    </row>
    <row r="41" spans="1:8" ht="66" customHeight="1" x14ac:dyDescent="0.25">
      <c r="A41" s="112">
        <v>36</v>
      </c>
      <c r="B41" s="104" t="s">
        <v>2697</v>
      </c>
      <c r="C41" s="104" t="s">
        <v>2627</v>
      </c>
      <c r="D41" s="105">
        <v>36</v>
      </c>
      <c r="E41" s="106">
        <v>36</v>
      </c>
      <c r="F41" s="107" t="s">
        <v>172</v>
      </c>
      <c r="G41" s="106" t="s">
        <v>2698</v>
      </c>
      <c r="H41" s="108"/>
    </row>
    <row r="42" spans="1:8" ht="50.25" customHeight="1" x14ac:dyDescent="0.25">
      <c r="A42" s="112">
        <v>37</v>
      </c>
      <c r="B42" s="104" t="s">
        <v>2699</v>
      </c>
      <c r="C42" s="104" t="s">
        <v>2627</v>
      </c>
      <c r="D42" s="105">
        <v>30</v>
      </c>
      <c r="E42" s="106">
        <v>30</v>
      </c>
      <c r="F42" s="107" t="s">
        <v>172</v>
      </c>
      <c r="G42" s="106" t="s">
        <v>2700</v>
      </c>
      <c r="H42" s="108"/>
    </row>
    <row r="43" spans="1:8" ht="50.25" customHeight="1" x14ac:dyDescent="0.25">
      <c r="A43" s="112">
        <v>38</v>
      </c>
      <c r="B43" s="104" t="s">
        <v>2701</v>
      </c>
      <c r="C43" s="104" t="s">
        <v>2627</v>
      </c>
      <c r="D43" s="105">
        <v>40</v>
      </c>
      <c r="E43" s="106">
        <v>40</v>
      </c>
      <c r="F43" s="107" t="s">
        <v>172</v>
      </c>
      <c r="G43" s="106" t="s">
        <v>2702</v>
      </c>
      <c r="H43" s="108"/>
    </row>
    <row r="44" spans="1:8" ht="51" customHeight="1" x14ac:dyDescent="0.25">
      <c r="A44" s="112">
        <v>39</v>
      </c>
      <c r="B44" s="104" t="s">
        <v>2703</v>
      </c>
      <c r="C44" s="104" t="s">
        <v>2627</v>
      </c>
      <c r="D44" s="105">
        <v>5</v>
      </c>
      <c r="E44" s="106">
        <v>5</v>
      </c>
      <c r="F44" s="107" t="s">
        <v>2704</v>
      </c>
      <c r="G44" s="106" t="s">
        <v>174</v>
      </c>
      <c r="H44" s="108" t="s">
        <v>2705</v>
      </c>
    </row>
    <row r="45" spans="1:8" ht="36" customHeight="1" x14ac:dyDescent="0.25">
      <c r="A45" s="112">
        <v>40</v>
      </c>
      <c r="B45" s="104" t="s">
        <v>2706</v>
      </c>
      <c r="C45" s="104" t="s">
        <v>2627</v>
      </c>
      <c r="D45" s="105">
        <v>2</v>
      </c>
      <c r="E45" s="106">
        <v>2</v>
      </c>
      <c r="F45" s="107" t="s">
        <v>174</v>
      </c>
      <c r="G45" s="106" t="s">
        <v>2707</v>
      </c>
      <c r="H45" s="108" t="s">
        <v>2708</v>
      </c>
    </row>
    <row r="46" spans="1:8" ht="27.6" x14ac:dyDescent="0.25">
      <c r="A46" s="112">
        <v>41</v>
      </c>
      <c r="B46" s="104" t="s">
        <v>2709</v>
      </c>
      <c r="C46" s="104" t="s">
        <v>2627</v>
      </c>
      <c r="D46" s="105">
        <v>4</v>
      </c>
      <c r="E46" s="106">
        <v>4</v>
      </c>
      <c r="F46" s="107" t="s">
        <v>174</v>
      </c>
      <c r="G46" s="106" t="s">
        <v>2710</v>
      </c>
      <c r="H46" s="108" t="s">
        <v>2708</v>
      </c>
    </row>
    <row r="47" spans="1:8" ht="27.6" x14ac:dyDescent="0.25">
      <c r="A47" s="112">
        <v>42</v>
      </c>
      <c r="B47" s="104" t="s">
        <v>2711</v>
      </c>
      <c r="C47" s="104" t="s">
        <v>2627</v>
      </c>
      <c r="D47" s="105">
        <v>6</v>
      </c>
      <c r="E47" s="106">
        <v>6</v>
      </c>
      <c r="F47" s="107" t="s">
        <v>174</v>
      </c>
      <c r="G47" s="106" t="s">
        <v>2712</v>
      </c>
      <c r="H47" s="108" t="s">
        <v>2708</v>
      </c>
    </row>
    <row r="48" spans="1:8" ht="32.25" customHeight="1" x14ac:dyDescent="0.25">
      <c r="A48" s="112">
        <v>43</v>
      </c>
      <c r="B48" s="104" t="s">
        <v>2713</v>
      </c>
      <c r="C48" s="104" t="s">
        <v>2594</v>
      </c>
      <c r="D48" s="105">
        <v>2</v>
      </c>
      <c r="E48" s="106">
        <v>2</v>
      </c>
      <c r="F48" s="107" t="s">
        <v>176</v>
      </c>
      <c r="G48" s="106" t="s">
        <v>2714</v>
      </c>
      <c r="H48" s="108" t="s">
        <v>2715</v>
      </c>
    </row>
    <row r="49" spans="1:8" ht="15.75" customHeight="1" x14ac:dyDescent="0.25">
      <c r="A49" s="112" t="s">
        <v>2716</v>
      </c>
      <c r="B49" s="104" t="s">
        <v>2717</v>
      </c>
      <c r="C49" s="104" t="s">
        <v>2627</v>
      </c>
      <c r="D49" s="105">
        <v>0.5</v>
      </c>
      <c r="E49" s="106">
        <v>0.5</v>
      </c>
      <c r="F49" s="107" t="s">
        <v>178</v>
      </c>
      <c r="G49" s="106" t="s">
        <v>178</v>
      </c>
      <c r="H49" s="108" t="s">
        <v>2718</v>
      </c>
    </row>
    <row r="50" spans="1:8" ht="30" customHeight="1" x14ac:dyDescent="0.25">
      <c r="A50" s="112" t="s">
        <v>2719</v>
      </c>
      <c r="B50" s="104" t="s">
        <v>2720</v>
      </c>
      <c r="C50" s="104" t="s">
        <v>2627</v>
      </c>
      <c r="D50" s="105">
        <v>0.1</v>
      </c>
      <c r="E50" s="106">
        <v>0.1</v>
      </c>
      <c r="F50" s="107" t="s">
        <v>2721</v>
      </c>
      <c r="G50" s="106" t="s">
        <v>2721</v>
      </c>
      <c r="H50" s="108" t="s">
        <v>2722</v>
      </c>
    </row>
    <row r="51" spans="1:8" ht="70.5" customHeight="1" x14ac:dyDescent="0.25">
      <c r="A51" s="112" t="s">
        <v>2723</v>
      </c>
      <c r="B51" s="104" t="s">
        <v>2724</v>
      </c>
      <c r="C51" s="104" t="s">
        <v>2627</v>
      </c>
      <c r="D51" s="105">
        <v>0.25</v>
      </c>
      <c r="E51" s="106">
        <v>0.25</v>
      </c>
      <c r="F51" s="107" t="s">
        <v>179</v>
      </c>
      <c r="G51" s="106" t="s">
        <v>179</v>
      </c>
      <c r="H51" s="113" t="s">
        <v>2725</v>
      </c>
    </row>
    <row r="52" spans="1:8" ht="70.5" customHeight="1" x14ac:dyDescent="0.25">
      <c r="A52" s="112" t="s">
        <v>2726</v>
      </c>
      <c r="B52" s="104" t="s">
        <v>2727</v>
      </c>
      <c r="C52" s="104" t="s">
        <v>2627</v>
      </c>
      <c r="D52" s="105">
        <v>0.1</v>
      </c>
      <c r="E52" s="106">
        <v>0.1</v>
      </c>
      <c r="F52" s="107" t="s">
        <v>2728</v>
      </c>
      <c r="G52" s="106" t="s">
        <v>2728</v>
      </c>
      <c r="H52" s="113" t="s">
        <v>2729</v>
      </c>
    </row>
    <row r="53" spans="1:8" ht="15.75" customHeight="1" x14ac:dyDescent="0.25">
      <c r="A53" s="112">
        <v>46</v>
      </c>
      <c r="B53" s="104" t="s">
        <v>2730</v>
      </c>
      <c r="C53" s="104" t="s">
        <v>2627</v>
      </c>
      <c r="D53" s="105">
        <v>0.5</v>
      </c>
      <c r="E53" s="106">
        <v>0.5</v>
      </c>
      <c r="F53" s="107" t="s">
        <v>181</v>
      </c>
      <c r="G53" s="106" t="s">
        <v>181</v>
      </c>
      <c r="H53" s="108"/>
    </row>
    <row r="54" spans="1:8" ht="76.5" customHeight="1" x14ac:dyDescent="0.25">
      <c r="A54" s="114">
        <v>47</v>
      </c>
      <c r="B54" s="104" t="s">
        <v>2731</v>
      </c>
      <c r="C54" s="104" t="s">
        <v>2627</v>
      </c>
      <c r="D54" s="105">
        <v>1</v>
      </c>
      <c r="E54" s="106">
        <v>1</v>
      </c>
      <c r="F54" s="107" t="s">
        <v>2732</v>
      </c>
      <c r="G54" s="106" t="s">
        <v>2733</v>
      </c>
      <c r="H54" s="108" t="s">
        <v>2734</v>
      </c>
    </row>
    <row r="55" spans="1:8" ht="46.5" customHeight="1" x14ac:dyDescent="0.25">
      <c r="A55" s="114">
        <v>48</v>
      </c>
      <c r="B55" s="104" t="s">
        <v>2735</v>
      </c>
      <c r="C55" s="104" t="s">
        <v>2736</v>
      </c>
      <c r="D55" s="105">
        <v>75</v>
      </c>
      <c r="E55" s="106">
        <v>75</v>
      </c>
      <c r="F55" s="107" t="s">
        <v>2737</v>
      </c>
      <c r="G55" s="106" t="s">
        <v>2738</v>
      </c>
      <c r="H55" s="108" t="s">
        <v>2739</v>
      </c>
    </row>
    <row r="56" spans="1:8" ht="44.25" customHeight="1" x14ac:dyDescent="0.25">
      <c r="A56" s="114">
        <v>49</v>
      </c>
      <c r="B56" s="104" t="s">
        <v>2740</v>
      </c>
      <c r="C56" s="104" t="s">
        <v>2736</v>
      </c>
      <c r="D56" s="105">
        <v>100</v>
      </c>
      <c r="E56" s="106">
        <v>100</v>
      </c>
      <c r="F56" s="107" t="s">
        <v>2737</v>
      </c>
      <c r="G56" s="106" t="s">
        <v>2741</v>
      </c>
      <c r="H56" s="108" t="s">
        <v>2739</v>
      </c>
    </row>
    <row r="57" spans="1:8" ht="44.25" customHeight="1" x14ac:dyDescent="0.25">
      <c r="A57" s="114">
        <v>50</v>
      </c>
      <c r="B57" s="104" t="s">
        <v>2742</v>
      </c>
      <c r="C57" s="104" t="s">
        <v>2743</v>
      </c>
      <c r="D57" s="105">
        <v>25</v>
      </c>
      <c r="E57" s="106">
        <v>25</v>
      </c>
      <c r="F57" s="107" t="s">
        <v>2744</v>
      </c>
      <c r="G57" s="106" t="s">
        <v>2745</v>
      </c>
      <c r="H57" s="108" t="s">
        <v>2739</v>
      </c>
    </row>
    <row r="58" spans="1:8" ht="41.4" x14ac:dyDescent="0.25">
      <c r="A58" s="114">
        <v>51</v>
      </c>
      <c r="B58" s="104" t="s">
        <v>2746</v>
      </c>
      <c r="C58" s="104" t="s">
        <v>2627</v>
      </c>
      <c r="D58" s="105">
        <v>0.3</v>
      </c>
      <c r="E58" s="106">
        <v>0.3</v>
      </c>
      <c r="F58" s="107" t="s">
        <v>2747</v>
      </c>
      <c r="G58" s="106"/>
      <c r="H58" s="108" t="s">
        <v>2748</v>
      </c>
    </row>
  </sheetData>
  <sheetProtection algorithmName="SHA-512" hashValue="1HpLC31rxllH32Y2ShfDMn2tOIyyFdTbsgi1dOOXogPaGU5+pilVVxDtl79O3vu6fjgK7UoNN2zjvf4/r/VPeg==" saltValue="3Ypq95Xk5dc16F2nNbv1tA==" spinCount="100000" sheet="1" objects="1" scenarios="1" selectLockedCells="1" autoFilter="0" selectUnlockedCells="1"/>
  <autoFilter ref="A4:H58" xr:uid="{00000000-0009-0000-0000-000004000000}"/>
  <mergeCells count="1">
    <mergeCell ref="A1:H1"/>
  </mergeCells>
  <pageMargins left="0.78749999999999998" right="0.39374999999999999" top="0.59027777777777801" bottom="0.39374999999999999" header="0.511811023622047" footer="0.511811023622047"/>
  <pageSetup paperSize="9" fitToHeight="3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6"/>
  <sheetViews>
    <sheetView showZeros="0" topLeftCell="A31" zoomScale="80" zoomScaleNormal="80" workbookViewId="0">
      <selection activeCell="A65" sqref="A65:XFD65"/>
    </sheetView>
  </sheetViews>
  <sheetFormatPr defaultColWidth="8.88671875" defaultRowHeight="15.75" customHeight="1" outlineLevelRow="1" x14ac:dyDescent="0.3"/>
  <cols>
    <col min="1" max="1" width="11.88671875" style="115" customWidth="1"/>
    <col min="2" max="2" width="112.33203125" style="115" customWidth="1"/>
    <col min="3" max="16384" width="8.88671875" style="115"/>
  </cols>
  <sheetData>
    <row r="1" spans="1:2" ht="15.75" customHeight="1" x14ac:dyDescent="0.3">
      <c r="A1" s="154" t="s">
        <v>9</v>
      </c>
      <c r="B1" s="154"/>
    </row>
    <row r="2" spans="1:2" ht="15.75" customHeight="1" outlineLevel="1" x14ac:dyDescent="0.3">
      <c r="A2" s="116" t="s">
        <v>2749</v>
      </c>
      <c r="B2" s="117" t="s">
        <v>2750</v>
      </c>
    </row>
    <row r="3" spans="1:2" ht="15.75" customHeight="1" outlineLevel="1" x14ac:dyDescent="0.3">
      <c r="A3" s="116" t="s">
        <v>183</v>
      </c>
      <c r="B3" s="117" t="s">
        <v>2751</v>
      </c>
    </row>
    <row r="4" spans="1:2" ht="15.75" customHeight="1" outlineLevel="1" x14ac:dyDescent="0.3">
      <c r="A4" s="116" t="s">
        <v>2576</v>
      </c>
      <c r="B4" s="117" t="s">
        <v>2752</v>
      </c>
    </row>
    <row r="6" spans="1:2" ht="15.75" customHeight="1" x14ac:dyDescent="0.3">
      <c r="A6" s="154" t="s">
        <v>10</v>
      </c>
      <c r="B6" s="154"/>
    </row>
    <row r="7" spans="1:2" ht="15.75" customHeight="1" outlineLevel="1" x14ac:dyDescent="0.3">
      <c r="A7" s="116" t="s">
        <v>77</v>
      </c>
      <c r="B7" s="117" t="s">
        <v>2753</v>
      </c>
    </row>
    <row r="8" spans="1:2" ht="15.75" customHeight="1" outlineLevel="1" x14ac:dyDescent="0.3">
      <c r="A8" s="116" t="s">
        <v>2560</v>
      </c>
      <c r="B8" s="117" t="s">
        <v>2754</v>
      </c>
    </row>
    <row r="9" spans="1:2" ht="15.75" customHeight="1" outlineLevel="1" x14ac:dyDescent="0.3">
      <c r="A9" s="116" t="s">
        <v>2570</v>
      </c>
      <c r="B9" s="117" t="s">
        <v>2755</v>
      </c>
    </row>
    <row r="10" spans="1:2" ht="15.75" customHeight="1" outlineLevel="1" x14ac:dyDescent="0.3">
      <c r="A10" s="116" t="s">
        <v>2572</v>
      </c>
      <c r="B10" s="117" t="s">
        <v>2756</v>
      </c>
    </row>
    <row r="11" spans="1:2" ht="15.75" customHeight="1" outlineLevel="1" x14ac:dyDescent="0.3">
      <c r="A11" s="116" t="s">
        <v>2569</v>
      </c>
      <c r="B11" s="117" t="s">
        <v>2757</v>
      </c>
    </row>
    <row r="13" spans="1:2" ht="15.75" customHeight="1" x14ac:dyDescent="0.3">
      <c r="A13" s="154" t="s">
        <v>2758</v>
      </c>
      <c r="B13" s="154"/>
    </row>
    <row r="14" spans="1:2" ht="15.75" customHeight="1" outlineLevel="1" x14ac:dyDescent="0.3">
      <c r="A14" s="116" t="s">
        <v>115</v>
      </c>
      <c r="B14" s="117" t="s">
        <v>2759</v>
      </c>
    </row>
    <row r="15" spans="1:2" ht="15.75" customHeight="1" outlineLevel="1" x14ac:dyDescent="0.3">
      <c r="A15" s="116" t="s">
        <v>83</v>
      </c>
      <c r="B15" s="117" t="s">
        <v>2760</v>
      </c>
    </row>
    <row r="16" spans="1:2" ht="15.75" customHeight="1" outlineLevel="1" x14ac:dyDescent="0.3">
      <c r="A16" s="116" t="s">
        <v>112</v>
      </c>
      <c r="B16" s="117" t="s">
        <v>2761</v>
      </c>
    </row>
    <row r="17" spans="1:2" ht="15.75" customHeight="1" outlineLevel="1" x14ac:dyDescent="0.3">
      <c r="A17" s="116" t="s">
        <v>2762</v>
      </c>
      <c r="B17" s="117" t="s">
        <v>2763</v>
      </c>
    </row>
    <row r="18" spans="1:2" ht="15.75" customHeight="1" outlineLevel="1" x14ac:dyDescent="0.3">
      <c r="A18" s="116" t="s">
        <v>99</v>
      </c>
      <c r="B18" s="117" t="s">
        <v>2764</v>
      </c>
    </row>
    <row r="19" spans="1:2" ht="15.75" customHeight="1" outlineLevel="1" x14ac:dyDescent="0.3">
      <c r="A19" s="116" t="s">
        <v>2765</v>
      </c>
      <c r="B19" s="117" t="s">
        <v>2766</v>
      </c>
    </row>
    <row r="20" spans="1:2" ht="15.75" customHeight="1" outlineLevel="1" x14ac:dyDescent="0.3">
      <c r="A20" s="118" t="s">
        <v>148</v>
      </c>
      <c r="B20" s="117" t="s">
        <v>149</v>
      </c>
    </row>
    <row r="22" spans="1:2" ht="15.75" customHeight="1" x14ac:dyDescent="0.3">
      <c r="A22" s="154" t="s">
        <v>2767</v>
      </c>
      <c r="B22" s="154"/>
    </row>
    <row r="23" spans="1:2" ht="15.75" customHeight="1" outlineLevel="1" x14ac:dyDescent="0.3">
      <c r="A23" s="116" t="s">
        <v>84</v>
      </c>
      <c r="B23" s="117" t="s">
        <v>2768</v>
      </c>
    </row>
    <row r="24" spans="1:2" ht="15.75" customHeight="1" outlineLevel="1" x14ac:dyDescent="0.3">
      <c r="A24" s="116" t="s">
        <v>116</v>
      </c>
      <c r="B24" s="117" t="s">
        <v>2769</v>
      </c>
    </row>
    <row r="25" spans="1:2" ht="15.75" customHeight="1" outlineLevel="1" x14ac:dyDescent="0.3">
      <c r="A25" s="116" t="s">
        <v>100</v>
      </c>
      <c r="B25" s="117" t="s">
        <v>2770</v>
      </c>
    </row>
    <row r="26" spans="1:2" ht="15.75" customHeight="1" outlineLevel="1" x14ac:dyDescent="0.3">
      <c r="A26" s="116" t="s">
        <v>2771</v>
      </c>
      <c r="B26" s="117" t="s">
        <v>2772</v>
      </c>
    </row>
    <row r="27" spans="1:2" ht="15.75" customHeight="1" outlineLevel="1" x14ac:dyDescent="0.3">
      <c r="A27" s="116" t="s">
        <v>2773</v>
      </c>
      <c r="B27" s="117" t="s">
        <v>2774</v>
      </c>
    </row>
    <row r="28" spans="1:2" ht="15.75" customHeight="1" outlineLevel="1" x14ac:dyDescent="0.3"/>
    <row r="29" spans="1:2" ht="15.75" customHeight="1" x14ac:dyDescent="0.3">
      <c r="A29" s="154" t="s">
        <v>29</v>
      </c>
      <c r="B29" s="154"/>
    </row>
    <row r="30" spans="1:2" ht="15.75" customHeight="1" outlineLevel="1" x14ac:dyDescent="0.3">
      <c r="A30" s="118" t="s">
        <v>2775</v>
      </c>
      <c r="B30" s="117" t="s">
        <v>2776</v>
      </c>
    </row>
    <row r="31" spans="1:2" ht="15.75" customHeight="1" outlineLevel="1" x14ac:dyDescent="0.3">
      <c r="A31" s="116" t="s">
        <v>2777</v>
      </c>
      <c r="B31" s="117" t="s">
        <v>2778</v>
      </c>
    </row>
    <row r="32" spans="1:2" ht="15.75" customHeight="1" outlineLevel="1" x14ac:dyDescent="0.3">
      <c r="A32" s="116" t="s">
        <v>2779</v>
      </c>
      <c r="B32" s="117" t="s">
        <v>2780</v>
      </c>
    </row>
    <row r="34" spans="1:2" ht="15.75" customHeight="1" x14ac:dyDescent="0.3">
      <c r="A34" s="154" t="s">
        <v>17</v>
      </c>
      <c r="B34" s="154"/>
    </row>
    <row r="35" spans="1:2" ht="15.75" customHeight="1" outlineLevel="1" x14ac:dyDescent="0.3">
      <c r="A35" s="116" t="s">
        <v>2781</v>
      </c>
      <c r="B35" s="117" t="s">
        <v>2782</v>
      </c>
    </row>
    <row r="36" spans="1:2" ht="15.75" customHeight="1" outlineLevel="1" x14ac:dyDescent="0.3">
      <c r="A36" s="116" t="s">
        <v>95</v>
      </c>
      <c r="B36" s="117" t="s">
        <v>2783</v>
      </c>
    </row>
    <row r="37" spans="1:2" ht="15.75" customHeight="1" outlineLevel="1" x14ac:dyDescent="0.3">
      <c r="A37" s="116" t="s">
        <v>80</v>
      </c>
      <c r="B37" s="117" t="s">
        <v>2784</v>
      </c>
    </row>
    <row r="38" spans="1:2" ht="15.75" customHeight="1" outlineLevel="1" x14ac:dyDescent="0.3">
      <c r="A38" s="116" t="s">
        <v>173</v>
      </c>
      <c r="B38" s="117" t="s">
        <v>2785</v>
      </c>
    </row>
    <row r="39" spans="1:2" ht="15.75" customHeight="1" outlineLevel="1" x14ac:dyDescent="0.3">
      <c r="A39" s="116" t="s">
        <v>180</v>
      </c>
      <c r="B39" s="117" t="s">
        <v>2786</v>
      </c>
    </row>
    <row r="40" spans="1:2" ht="15.75" customHeight="1" outlineLevel="1" x14ac:dyDescent="0.3">
      <c r="A40" s="118" t="s">
        <v>2787</v>
      </c>
      <c r="B40" s="117" t="s">
        <v>2788</v>
      </c>
    </row>
    <row r="41" spans="1:2" ht="15.75" customHeight="1" outlineLevel="1" x14ac:dyDescent="0.3">
      <c r="A41" s="119" t="s">
        <v>2789</v>
      </c>
      <c r="B41" s="117" t="s">
        <v>44</v>
      </c>
    </row>
    <row r="42" spans="1:2" ht="15.75" customHeight="1" outlineLevel="1" x14ac:dyDescent="0.3">
      <c r="A42" s="116" t="s">
        <v>2747</v>
      </c>
      <c r="B42" s="117" t="s">
        <v>2790</v>
      </c>
    </row>
    <row r="44" spans="1:2" ht="15.6" x14ac:dyDescent="0.3">
      <c r="A44" s="154" t="s">
        <v>15</v>
      </c>
      <c r="B44" s="154"/>
    </row>
    <row r="45" spans="1:2" ht="15.6" outlineLevel="1" x14ac:dyDescent="0.3">
      <c r="A45" s="116" t="s">
        <v>79</v>
      </c>
      <c r="B45" s="117" t="s">
        <v>2791</v>
      </c>
    </row>
    <row r="46" spans="1:2" ht="15.6" outlineLevel="1" x14ac:dyDescent="0.3">
      <c r="A46" s="116" t="s">
        <v>94</v>
      </c>
      <c r="B46" s="117" t="s">
        <v>2792</v>
      </c>
    </row>
    <row r="47" spans="1:2" ht="15.6" outlineLevel="1" x14ac:dyDescent="0.3">
      <c r="A47" s="116" t="s">
        <v>86</v>
      </c>
      <c r="B47" s="117" t="s">
        <v>2793</v>
      </c>
    </row>
    <row r="48" spans="1:2" ht="15.6" outlineLevel="1" x14ac:dyDescent="0.3">
      <c r="A48" s="116" t="s">
        <v>2794</v>
      </c>
      <c r="B48" s="117" t="s">
        <v>2795</v>
      </c>
    </row>
    <row r="49" spans="1:2" ht="15.6" outlineLevel="1" x14ac:dyDescent="0.3">
      <c r="A49" s="116" t="s">
        <v>2602</v>
      </c>
      <c r="B49" s="117" t="s">
        <v>2796</v>
      </c>
    </row>
    <row r="50" spans="1:2" ht="15.6" outlineLevel="1" x14ac:dyDescent="0.3">
      <c r="A50" s="116" t="s">
        <v>2797</v>
      </c>
      <c r="B50" s="117" t="s">
        <v>2798</v>
      </c>
    </row>
    <row r="51" spans="1:2" ht="15.6" outlineLevel="1" x14ac:dyDescent="0.3">
      <c r="A51" s="116" t="s">
        <v>2799</v>
      </c>
      <c r="B51" s="117" t="s">
        <v>2800</v>
      </c>
    </row>
    <row r="52" spans="1:2" ht="15.6" outlineLevel="1" x14ac:dyDescent="0.3">
      <c r="A52" s="116" t="s">
        <v>2608</v>
      </c>
      <c r="B52" s="117" t="s">
        <v>2801</v>
      </c>
    </row>
    <row r="53" spans="1:2" ht="15.6" outlineLevel="1" x14ac:dyDescent="0.3">
      <c r="A53" s="116" t="s">
        <v>2644</v>
      </c>
      <c r="B53" s="117" t="s">
        <v>2802</v>
      </c>
    </row>
    <row r="54" spans="1:2" ht="15.6" outlineLevel="1" x14ac:dyDescent="0.3">
      <c r="A54" s="116" t="s">
        <v>2648</v>
      </c>
      <c r="B54" s="117" t="s">
        <v>2803</v>
      </c>
    </row>
    <row r="55" spans="1:2" ht="15.6" outlineLevel="1" x14ac:dyDescent="0.3">
      <c r="A55" s="116" t="s">
        <v>2655</v>
      </c>
      <c r="B55" s="117" t="s">
        <v>2804</v>
      </c>
    </row>
    <row r="56" spans="1:2" ht="15.6" outlineLevel="1" x14ac:dyDescent="0.3">
      <c r="A56" s="116" t="s">
        <v>2659</v>
      </c>
      <c r="B56" s="117" t="s">
        <v>2805</v>
      </c>
    </row>
    <row r="57" spans="1:2" ht="15.6" outlineLevel="1" x14ac:dyDescent="0.3">
      <c r="A57" s="116" t="s">
        <v>2732</v>
      </c>
      <c r="B57" s="117" t="s">
        <v>2806</v>
      </c>
    </row>
    <row r="58" spans="1:2" ht="15.6" outlineLevel="1" x14ac:dyDescent="0.3">
      <c r="A58" s="116" t="s">
        <v>156</v>
      </c>
      <c r="B58" s="117" t="s">
        <v>2807</v>
      </c>
    </row>
    <row r="59" spans="1:2" ht="15.6" outlineLevel="1" x14ac:dyDescent="0.3">
      <c r="A59" s="116" t="s">
        <v>2669</v>
      </c>
      <c r="B59" s="117" t="s">
        <v>2808</v>
      </c>
    </row>
    <row r="60" spans="1:2" ht="15.6" outlineLevel="1" x14ac:dyDescent="0.3">
      <c r="A60" s="116" t="s">
        <v>2672</v>
      </c>
      <c r="B60" s="117" t="s">
        <v>2809</v>
      </c>
    </row>
    <row r="61" spans="1:2" ht="15.6" outlineLevel="1" x14ac:dyDescent="0.3">
      <c r="A61" s="116" t="s">
        <v>2677</v>
      </c>
      <c r="B61" s="117" t="s">
        <v>2810</v>
      </c>
    </row>
    <row r="62" spans="1:2" ht="15.6" outlineLevel="1" x14ac:dyDescent="0.3">
      <c r="A62" s="116" t="s">
        <v>276</v>
      </c>
      <c r="B62" s="117" t="s">
        <v>2811</v>
      </c>
    </row>
    <row r="63" spans="1:2" ht="15.6" outlineLevel="1" x14ac:dyDescent="0.3">
      <c r="A63" s="116" t="s">
        <v>2744</v>
      </c>
      <c r="B63" s="117" t="s">
        <v>2742</v>
      </c>
    </row>
    <row r="64" spans="1:2" ht="15.6" outlineLevel="1" x14ac:dyDescent="0.3">
      <c r="A64" s="116" t="s">
        <v>2812</v>
      </c>
      <c r="B64" s="117" t="s">
        <v>2813</v>
      </c>
    </row>
    <row r="65" spans="1:2" ht="15.6" outlineLevel="1" x14ac:dyDescent="0.3">
      <c r="A65" s="116" t="s">
        <v>168</v>
      </c>
      <c r="B65" s="117" t="s">
        <v>2814</v>
      </c>
    </row>
    <row r="66" spans="1:2" ht="15.6" outlineLevel="1" x14ac:dyDescent="0.3">
      <c r="A66" s="116" t="s">
        <v>2680</v>
      </c>
      <c r="B66" s="117" t="s">
        <v>2815</v>
      </c>
    </row>
    <row r="67" spans="1:2" ht="15.6" outlineLevel="1" x14ac:dyDescent="0.3">
      <c r="A67" s="116" t="s">
        <v>282</v>
      </c>
      <c r="B67" s="117" t="s">
        <v>2816</v>
      </c>
    </row>
    <row r="68" spans="1:2" ht="15.6" outlineLevel="1" x14ac:dyDescent="0.3">
      <c r="A68" s="116" t="s">
        <v>274</v>
      </c>
      <c r="B68" s="117" t="s">
        <v>273</v>
      </c>
    </row>
    <row r="69" spans="1:2" ht="15.6" outlineLevel="1" x14ac:dyDescent="0.3">
      <c r="A69" s="116" t="s">
        <v>172</v>
      </c>
      <c r="B69" s="117" t="s">
        <v>2817</v>
      </c>
    </row>
    <row r="70" spans="1:2" ht="15.6" outlineLevel="1" x14ac:dyDescent="0.3">
      <c r="A70" s="116" t="s">
        <v>2704</v>
      </c>
      <c r="B70" s="117" t="s">
        <v>2818</v>
      </c>
    </row>
    <row r="71" spans="1:2" ht="15.6" outlineLevel="1" x14ac:dyDescent="0.3">
      <c r="A71" s="116" t="s">
        <v>174</v>
      </c>
      <c r="B71" s="117" t="s">
        <v>2819</v>
      </c>
    </row>
    <row r="72" spans="1:2" ht="15.6" outlineLevel="1" x14ac:dyDescent="0.3">
      <c r="A72" s="116" t="s">
        <v>176</v>
      </c>
      <c r="B72" s="117" t="s">
        <v>175</v>
      </c>
    </row>
    <row r="73" spans="1:2" ht="15.6" outlineLevel="1" x14ac:dyDescent="0.3">
      <c r="A73" s="116" t="s">
        <v>181</v>
      </c>
      <c r="B73" s="117" t="s">
        <v>2730</v>
      </c>
    </row>
    <row r="74" spans="1:2" ht="15.6" outlineLevel="1" x14ac:dyDescent="0.3">
      <c r="A74" s="116" t="s">
        <v>178</v>
      </c>
      <c r="B74" s="117" t="s">
        <v>2717</v>
      </c>
    </row>
    <row r="75" spans="1:2" ht="15.6" outlineLevel="1" x14ac:dyDescent="0.3">
      <c r="A75" s="116" t="s">
        <v>179</v>
      </c>
      <c r="B75" s="117" t="s">
        <v>2724</v>
      </c>
    </row>
    <row r="77" spans="1:2" ht="15.6" x14ac:dyDescent="0.3">
      <c r="A77" s="154" t="s">
        <v>2820</v>
      </c>
      <c r="B77" s="154"/>
    </row>
    <row r="78" spans="1:2" ht="15.6" x14ac:dyDescent="0.3">
      <c r="A78" s="116" t="s">
        <v>76</v>
      </c>
      <c r="B78" s="117" t="s">
        <v>2821</v>
      </c>
    </row>
    <row r="79" spans="1:2" ht="15.6" x14ac:dyDescent="0.3">
      <c r="A79" s="116" t="s">
        <v>153</v>
      </c>
      <c r="B79" s="117" t="s">
        <v>2822</v>
      </c>
    </row>
    <row r="80" spans="1:2" ht="15.6" x14ac:dyDescent="0.3">
      <c r="A80" s="116" t="s">
        <v>166</v>
      </c>
      <c r="B80" s="117" t="s">
        <v>2823</v>
      </c>
    </row>
    <row r="81" spans="1:2" ht="15.6" x14ac:dyDescent="0.3">
      <c r="A81" s="116" t="s">
        <v>2824</v>
      </c>
      <c r="B81" s="117" t="s">
        <v>2825</v>
      </c>
    </row>
    <row r="83" spans="1:2" ht="15.6" x14ac:dyDescent="0.3">
      <c r="A83" s="154" t="s">
        <v>2826</v>
      </c>
      <c r="B83" s="154"/>
    </row>
    <row r="84" spans="1:2" ht="15.6" x14ac:dyDescent="0.3">
      <c r="A84" s="116" t="s">
        <v>77</v>
      </c>
      <c r="B84" s="117" t="s">
        <v>2827</v>
      </c>
    </row>
    <row r="85" spans="1:2" ht="15.6" x14ac:dyDescent="0.3">
      <c r="A85" s="116" t="s">
        <v>183</v>
      </c>
      <c r="B85" s="117" t="s">
        <v>2828</v>
      </c>
    </row>
    <row r="86" spans="1:2" ht="15.6" x14ac:dyDescent="0.3">
      <c r="A86" s="116" t="s">
        <v>135</v>
      </c>
      <c r="B86" s="117" t="s">
        <v>2829</v>
      </c>
    </row>
  </sheetData>
  <sheetProtection algorithmName="SHA-512" hashValue="HrmS2ne1r+ngVHKQELqYTeeasDV+mzoX5Rh//vQcQX7rExJ/wCilswb5vp3BvAimsLy7/V87G5xX+UrlgAnxFA==" saltValue="XGrEGpNlsPKnyom4DVaPTw==" spinCount="100000" sheet="1" objects="1" scenarios="1"/>
  <mergeCells count="9">
    <mergeCell ref="A34:B34"/>
    <mergeCell ref="A44:B44"/>
    <mergeCell ref="A77:B77"/>
    <mergeCell ref="A83:B83"/>
    <mergeCell ref="A1:B1"/>
    <mergeCell ref="A6:B6"/>
    <mergeCell ref="A13:B13"/>
    <mergeCell ref="A22:B22"/>
    <mergeCell ref="A29:B29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60</vt:i4>
      </vt:variant>
    </vt:vector>
  </HeadingPairs>
  <TitlesOfParts>
    <vt:vector size="66" baseType="lpstr">
      <vt:lpstr>УН сводная</vt:lpstr>
      <vt:lpstr>ООП</vt:lpstr>
      <vt:lpstr>Список кафедр</vt:lpstr>
      <vt:lpstr>ОУП</vt:lpstr>
      <vt:lpstr>Нормы УР</vt:lpstr>
      <vt:lpstr>Списки</vt:lpstr>
      <vt:lpstr>блок_ООП</vt:lpstr>
      <vt:lpstr>Вид_ПА_ГИА</vt:lpstr>
      <vt:lpstr>Вид_УР</vt:lpstr>
      <vt:lpstr>ВПИБ</vt:lpstr>
      <vt:lpstr>ВПКП</vt:lpstr>
      <vt:lpstr>ВПКР</vt:lpstr>
      <vt:lpstr>ВПр</vt:lpstr>
      <vt:lpstr>Должность</vt:lpstr>
      <vt:lpstr>КдЭк</vt:lpstr>
      <vt:lpstr>ООП!Код_ООП</vt:lpstr>
      <vt:lpstr>ОУП!Код_ООП</vt:lpstr>
      <vt:lpstr>Код_ООП</vt:lpstr>
      <vt:lpstr>Компонета</vt:lpstr>
      <vt:lpstr>КРФРЯ</vt:lpstr>
      <vt:lpstr>Л</vt:lpstr>
      <vt:lpstr>ЛР</vt:lpstr>
      <vt:lpstr>НИРА</vt:lpstr>
      <vt:lpstr>НИРАИ</vt:lpstr>
      <vt:lpstr>НИРМ</vt:lpstr>
      <vt:lpstr>НИРМИн</vt:lpstr>
      <vt:lpstr>ОУП</vt:lpstr>
      <vt:lpstr>ОфВед</vt:lpstr>
      <vt:lpstr>ПАБРС</vt:lpstr>
      <vt:lpstr>ПГ</vt:lpstr>
      <vt:lpstr>ПЗ</vt:lpstr>
      <vt:lpstr>ПрИн</vt:lpstr>
      <vt:lpstr>ПрРЯ</vt:lpstr>
      <vt:lpstr>ПЭФРЯ</vt:lpstr>
      <vt:lpstr>РБ</vt:lpstr>
      <vt:lpstr>РБИ</vt:lpstr>
      <vt:lpstr>РДП</vt:lpstr>
      <vt:lpstr>РефАсп</vt:lpstr>
      <vt:lpstr>РефФил</vt:lpstr>
      <vt:lpstr>РНКР</vt:lpstr>
      <vt:lpstr>РНКРИн</vt:lpstr>
      <vt:lpstr>РПА</vt:lpstr>
      <vt:lpstr>РПП</vt:lpstr>
      <vt:lpstr>РРА</vt:lpstr>
      <vt:lpstr>РРБ</vt:lpstr>
      <vt:lpstr>РРСМ</vt:lpstr>
      <vt:lpstr>РСМ</vt:lpstr>
      <vt:lpstr>РСМИ</vt:lpstr>
      <vt:lpstr>РукИна</vt:lpstr>
      <vt:lpstr>РукПЛ</vt:lpstr>
      <vt:lpstr>РукРФа</vt:lpstr>
      <vt:lpstr>РУП</vt:lpstr>
      <vt:lpstr>РУПЛеч</vt:lpstr>
      <vt:lpstr>СГ</vt:lpstr>
      <vt:lpstr>ТГИЭ</vt:lpstr>
      <vt:lpstr>ТКиРА</vt:lpstr>
      <vt:lpstr>ТКЛВ</vt:lpstr>
      <vt:lpstr>ТКЛД</vt:lpstr>
      <vt:lpstr>ТКЛЗ</vt:lpstr>
      <vt:lpstr>ТУИС</vt:lpstr>
      <vt:lpstr>Уровень_ОП</vt:lpstr>
      <vt:lpstr>Условия_привлечения</vt:lpstr>
      <vt:lpstr>УЭФРЯ</vt:lpstr>
      <vt:lpstr>форма_обучения</vt:lpstr>
      <vt:lpstr>ЦП</vt:lpstr>
      <vt:lpstr>ЧГ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Игнатьев О.В.</dc:creator>
  <cp:keywords>нагрузка</cp:keywords>
  <dc:description/>
  <cp:lastModifiedBy>Пользователь</cp:lastModifiedBy>
  <cp:revision>6</cp:revision>
  <cp:lastPrinted>2018-04-05T12:55:35Z</cp:lastPrinted>
  <dcterms:created xsi:type="dcterms:W3CDTF">1997-08-08T07:41:23Z</dcterms:created>
  <dcterms:modified xsi:type="dcterms:W3CDTF">2025-10-19T19:16:50Z</dcterms:modified>
  <dc:language>ru-RU</dc:language>
</cp:coreProperties>
</file>